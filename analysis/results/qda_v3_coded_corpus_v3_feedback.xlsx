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an Ignacio\.antigravity\projects\milei-climate-narratives\analysis\results\"/>
    </mc:Choice>
  </mc:AlternateContent>
  <xr:revisionPtr revIDLastSave="0" documentId="13_ncr:1_{5AA0464D-1A8B-4C07-B17D-3583F3AB805F}" xr6:coauthVersionLast="47" xr6:coauthVersionMax="47" xr10:uidLastSave="{00000000-0000-0000-0000-000000000000}"/>
  <bookViews>
    <workbookView xWindow="-98" yWindow="-98" windowWidth="20715" windowHeight="13155" xr2:uid="{00000000-000D-0000-FFFF-FFFF00000000}"/>
  </bookViews>
  <sheets>
    <sheet name="Coded Passages" sheetId="1" r:id="rId1"/>
    <sheet name="Freq — By Dimension" sheetId="2" r:id="rId2"/>
    <sheet name="Freq — By Sub-code" sheetId="3" r:id="rId3"/>
    <sheet name="Analysis of categories" sheetId="4" r:id="rId4"/>
  </sheets>
  <definedNames>
    <definedName name="_xlnm._FilterDatabase" localSheetId="0" hidden="1">'Coded Passages'!$A$2:$N$102</definedName>
    <definedName name="_xlnm._FilterDatabase" localSheetId="2" hidden="1">'Freq — By Sub-code'!$A$2:$L$23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DFtvr4P1Cqa7b3mWeYzTUdQ9F21HKj1KGqaczbSuyMM="/>
    </ext>
  </extLst>
</workbook>
</file>

<file path=xl/calcChain.xml><?xml version="1.0" encoding="utf-8"?>
<calcChain xmlns="http://schemas.openxmlformats.org/spreadsheetml/2006/main">
  <c r="H20" i="3" l="1"/>
  <c r="G20" i="3"/>
  <c r="F20" i="3"/>
  <c r="E20" i="3"/>
  <c r="D20" i="3"/>
  <c r="C20" i="3"/>
  <c r="H19" i="3"/>
  <c r="G19" i="3"/>
  <c r="F19" i="3"/>
  <c r="E19" i="3"/>
  <c r="D19" i="3"/>
  <c r="C19" i="3"/>
  <c r="I18" i="3"/>
  <c r="H18" i="3"/>
  <c r="G18" i="3"/>
  <c r="F18" i="3"/>
  <c r="E18" i="3"/>
  <c r="D18" i="3"/>
  <c r="C18" i="3"/>
  <c r="K17" i="3"/>
  <c r="H17" i="3"/>
  <c r="G17" i="3"/>
  <c r="F17" i="3"/>
  <c r="E17" i="3"/>
  <c r="D17" i="3"/>
  <c r="C17" i="3"/>
  <c r="H16" i="3"/>
  <c r="G16" i="3"/>
  <c r="F16" i="3"/>
  <c r="E16" i="3"/>
  <c r="D16" i="3"/>
  <c r="C16" i="3"/>
  <c r="I15" i="3"/>
  <c r="H15" i="3"/>
  <c r="G15" i="3"/>
  <c r="F15" i="3"/>
  <c r="E15" i="3"/>
  <c r="D15" i="3"/>
  <c r="C15" i="3"/>
  <c r="K14" i="3"/>
  <c r="H14" i="3"/>
  <c r="G14" i="3"/>
  <c r="F14" i="3"/>
  <c r="E14" i="3"/>
  <c r="D14" i="3"/>
  <c r="C14" i="3"/>
  <c r="K13" i="3"/>
  <c r="H13" i="3"/>
  <c r="G13" i="3"/>
  <c r="F13" i="3"/>
  <c r="E13" i="3"/>
  <c r="D13" i="3"/>
  <c r="C13" i="3"/>
  <c r="K12" i="3"/>
  <c r="J12" i="3"/>
  <c r="I12" i="3"/>
  <c r="H12" i="3"/>
  <c r="G12" i="3"/>
  <c r="F12" i="3"/>
  <c r="E12" i="3"/>
  <c r="D12" i="3"/>
  <c r="C12" i="3"/>
  <c r="L12" i="3" s="1"/>
  <c r="O12" i="3" s="1"/>
  <c r="I11" i="3"/>
  <c r="H11" i="3"/>
  <c r="G11" i="3"/>
  <c r="F11" i="3"/>
  <c r="E11" i="3"/>
  <c r="D11" i="3"/>
  <c r="C11" i="3"/>
  <c r="I10" i="3"/>
  <c r="H10" i="3"/>
  <c r="G10" i="3"/>
  <c r="F10" i="3"/>
  <c r="E10" i="3"/>
  <c r="D10" i="3"/>
  <c r="C10" i="3"/>
  <c r="K9" i="3"/>
  <c r="J9" i="3"/>
  <c r="H9" i="3"/>
  <c r="G9" i="3"/>
  <c r="F9" i="3"/>
  <c r="E9" i="3"/>
  <c r="D9" i="3"/>
  <c r="C9" i="3"/>
  <c r="H8" i="3"/>
  <c r="G8" i="3"/>
  <c r="F8" i="3"/>
  <c r="E8" i="3"/>
  <c r="D8" i="3"/>
  <c r="C8" i="3"/>
  <c r="K7" i="3"/>
  <c r="J7" i="3"/>
  <c r="I7" i="3"/>
  <c r="H7" i="3"/>
  <c r="G7" i="3"/>
  <c r="F7" i="3"/>
  <c r="E7" i="3"/>
  <c r="D7" i="3"/>
  <c r="C7" i="3"/>
  <c r="L7" i="3" s="1"/>
  <c r="O7" i="3" s="1"/>
  <c r="K6" i="3"/>
  <c r="H6" i="3"/>
  <c r="G6" i="3"/>
  <c r="F6" i="3"/>
  <c r="E6" i="3"/>
  <c r="D6" i="3"/>
  <c r="C6" i="3"/>
  <c r="K5" i="3"/>
  <c r="I5" i="3"/>
  <c r="H5" i="3"/>
  <c r="G5" i="3"/>
  <c r="F5" i="3"/>
  <c r="E5" i="3"/>
  <c r="D5" i="3"/>
  <c r="C5" i="3"/>
  <c r="K4" i="3"/>
  <c r="J4" i="3"/>
  <c r="I4" i="3"/>
  <c r="H4" i="3"/>
  <c r="G4" i="3"/>
  <c r="F4" i="3"/>
  <c r="E4" i="3"/>
  <c r="D4" i="3"/>
  <c r="C4" i="3"/>
  <c r="L4" i="3" s="1"/>
  <c r="O4" i="3" s="1"/>
  <c r="I3" i="3"/>
  <c r="H3" i="3"/>
  <c r="H21" i="3" s="1"/>
  <c r="G3" i="3"/>
  <c r="F3" i="3"/>
  <c r="F21" i="3" s="1"/>
  <c r="E3" i="3"/>
  <c r="E21" i="3" s="1"/>
  <c r="D3" i="3"/>
  <c r="D21" i="3" s="1"/>
  <c r="C3" i="3"/>
  <c r="C21" i="3" s="1"/>
  <c r="K2" i="3"/>
  <c r="K16" i="3" s="1"/>
  <c r="J2" i="3"/>
  <c r="J19" i="3" s="1"/>
  <c r="I2" i="3"/>
  <c r="I14" i="3" s="1"/>
  <c r="I6" i="2"/>
  <c r="H6" i="2"/>
  <c r="G6" i="2"/>
  <c r="F6" i="2"/>
  <c r="E6" i="2"/>
  <c r="D6" i="2"/>
  <c r="C6" i="2"/>
  <c r="J5" i="2"/>
  <c r="H5" i="2"/>
  <c r="G5" i="2"/>
  <c r="F5" i="2"/>
  <c r="E5" i="2"/>
  <c r="D5" i="2"/>
  <c r="C5" i="2"/>
  <c r="I4" i="2"/>
  <c r="H4" i="2"/>
  <c r="G4" i="2"/>
  <c r="F4" i="2"/>
  <c r="E4" i="2"/>
  <c r="D4" i="2"/>
  <c r="C4" i="2"/>
  <c r="J3" i="2"/>
  <c r="H3" i="2"/>
  <c r="H7" i="2" s="1"/>
  <c r="G3" i="2"/>
  <c r="G7" i="2" s="1"/>
  <c r="F3" i="2"/>
  <c r="F7" i="2" s="1"/>
  <c r="E3" i="2"/>
  <c r="E7" i="2" s="1"/>
  <c r="D3" i="2"/>
  <c r="D7" i="2" s="1"/>
  <c r="C3" i="2"/>
  <c r="K2" i="2"/>
  <c r="K6" i="2" s="1"/>
  <c r="J2" i="2"/>
  <c r="J6" i="2" s="1"/>
  <c r="I2" i="2"/>
  <c r="I5" i="2" s="1"/>
  <c r="G21" i="3" l="1"/>
  <c r="L6" i="2"/>
  <c r="P6" i="2" s="1"/>
  <c r="K3" i="2"/>
  <c r="K4" i="2"/>
  <c r="J16" i="3"/>
  <c r="I3" i="2"/>
  <c r="I7" i="2" s="1"/>
  <c r="K3" i="3"/>
  <c r="J6" i="3"/>
  <c r="I9" i="3"/>
  <c r="L9" i="3" s="1"/>
  <c r="O9" i="3" s="1"/>
  <c r="K11" i="3"/>
  <c r="J14" i="3"/>
  <c r="L14" i="3" s="1"/>
  <c r="O14" i="3" s="1"/>
  <c r="I17" i="3"/>
  <c r="L17" i="3" s="1"/>
  <c r="O17" i="3" s="1"/>
  <c r="K19" i="3"/>
  <c r="J17" i="3"/>
  <c r="I20" i="3"/>
  <c r="L20" i="3" s="1"/>
  <c r="O20" i="3" s="1"/>
  <c r="J20" i="3"/>
  <c r="K20" i="3"/>
  <c r="K5" i="2"/>
  <c r="L5" i="2" s="1"/>
  <c r="P5" i="2" s="1"/>
  <c r="C7" i="2"/>
  <c r="J15" i="3"/>
  <c r="L15" i="3" s="1"/>
  <c r="O15" i="3" s="1"/>
  <c r="J10" i="3"/>
  <c r="L10" i="3" s="1"/>
  <c r="O10" i="3" s="1"/>
  <c r="I13" i="3"/>
  <c r="L13" i="3" s="1"/>
  <c r="O13" i="3" s="1"/>
  <c r="K15" i="3"/>
  <c r="J18" i="3"/>
  <c r="L18" i="3" s="1"/>
  <c r="O18" i="3" s="1"/>
  <c r="J4" i="2"/>
  <c r="J7" i="2" s="1"/>
  <c r="J5" i="3"/>
  <c r="L5" i="3" s="1"/>
  <c r="O5" i="3" s="1"/>
  <c r="I8" i="3"/>
  <c r="L8" i="3" s="1"/>
  <c r="O8" i="3" s="1"/>
  <c r="K10" i="3"/>
  <c r="J13" i="3"/>
  <c r="I16" i="3"/>
  <c r="L16" i="3" s="1"/>
  <c r="O16" i="3" s="1"/>
  <c r="K18" i="3"/>
  <c r="I19" i="3"/>
  <c r="L19" i="3" s="1"/>
  <c r="O19" i="3" s="1"/>
  <c r="J8" i="3"/>
  <c r="J3" i="3"/>
  <c r="J21" i="3" s="1"/>
  <c r="I6" i="3"/>
  <c r="L6" i="3" s="1"/>
  <c r="O6" i="3" s="1"/>
  <c r="K8" i="3"/>
  <c r="J11" i="3"/>
  <c r="L11" i="3" s="1"/>
  <c r="O11" i="3" s="1"/>
  <c r="L4" i="2" l="1"/>
  <c r="P4" i="2" s="1"/>
  <c r="I21" i="3"/>
  <c r="K7" i="2"/>
  <c r="L3" i="2"/>
  <c r="L3" i="3"/>
  <c r="K21" i="3"/>
  <c r="L21" i="3" l="1"/>
  <c r="O3" i="3"/>
  <c r="L7" i="2"/>
  <c r="P3" i="2"/>
  <c r="P8" i="2" l="1"/>
  <c r="Q5" i="2" l="1"/>
  <c r="Q6" i="2"/>
  <c r="Q4" i="2"/>
  <c r="Q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000-000002000000}">
      <text>
        <r>
          <rPr>
            <sz val="11"/>
            <color theme="1"/>
            <rFont val="Calibri"/>
            <scheme val="minor"/>
          </rPr>
          <t>======
ID#AAAB9AnhXWk
Juan Ignacio Arroyo    (2026-06-09 03:15:52)
Agregar comentario al estar en desacuerdo con el codeo. 
Sin comentario se toma como OK.</t>
        </r>
      </text>
    </comment>
    <comment ref="G6" authorId="0" shapeId="0" xr:uid="{00000000-0006-0000-0000-000001000000}">
      <text>
        <r>
          <rPr>
            <sz val="11"/>
            <color theme="1"/>
            <rFont val="Calibri"/>
            <scheme val="minor"/>
          </rPr>
          <t>======
ID#AAAB9AnhXWg
Juan Ignacio Arroyo    (2026-06-09 03:02:51)
Does not apply, as it is not a speech of him</t>
        </r>
      </text>
    </comment>
  </commentList>
  <extLst>
    <ext xmlns:r="http://schemas.openxmlformats.org/officeDocument/2006/relationships" uri="GoogleSheetsCustomDataVersion2">
      <go:sheetsCustomData xmlns:go="http://customooxmlschemas.google.com/" r:id="rId1" roundtripDataSignature="AMtx7mgofyRxMY9fAgKnGXa6gpqypjTDXw=="/>
    </ext>
  </extLst>
</comments>
</file>

<file path=xl/sharedStrings.xml><?xml version="1.0" encoding="utf-8"?>
<sst xmlns="http://schemas.openxmlformats.org/spreadsheetml/2006/main" count="1195" uniqueCount="359">
  <si>
    <t>Milei Climate Narratives - v3 Coded Passages  -  Data source for all summary sheets</t>
  </si>
  <si>
    <t>Coded in HTML (v3)</t>
  </si>
  <si>
    <t>Revision &amp; comments</t>
  </si>
  <si>
    <t>#</t>
  </si>
  <si>
    <t>Dimension</t>
  </si>
  <si>
    <t>Sub-dimension</t>
  </si>
  <si>
    <t>Dimension (Full)</t>
  </si>
  <si>
    <t>Sub-code (Full)</t>
  </si>
  <si>
    <t>Quoted Passage</t>
  </si>
  <si>
    <t>Analytical Memo</t>
  </si>
  <si>
    <t>Speech</t>
  </si>
  <si>
    <t>Date</t>
  </si>
  <si>
    <t>Venue / Type</t>
  </si>
  <si>
    <t>Juani</t>
  </si>
  <si>
    <t>Eli</t>
  </si>
  <si>
    <t>Germán</t>
  </si>
  <si>
    <t>D1.2</t>
  </si>
  <si>
    <t>Climate Skepticism or Dismissal</t>
  </si>
  <si>
    <t>D1.2 — Public Science &amp; Expertise</t>
  </si>
  <si>
    <t>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</si>
  <si>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</si>
  <si>
    <t>Debate Presidencial 2023</t>
  </si>
  <si>
    <t>2023-10-08</t>
  </si>
  <si>
    <t>Buenos Aires · Debate</t>
  </si>
  <si>
    <t>ok</t>
  </si>
  <si>
    <t>D1.1</t>
  </si>
  <si>
    <t>Sustainability as Ideological or Harmful</t>
  </si>
  <si>
    <t>D1.1 — State Intervention &amp; Governance</t>
  </si>
  <si>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</si>
  <si>
    <t>Attack on Experts &amp; Technocrats</t>
  </si>
  <si>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</si>
  <si>
    <t xml:space="preserve">Dimension OK. Sub-dimension alternativas podrían ser: 
- References to “pseudo-science” or ideological science
- Delegitimization of scientific and professional institutions
</t>
  </si>
  <si>
    <t xml:space="preserve"> "ref to pesudo-science or ideological science"</t>
  </si>
  <si>
    <t>IND</t>
  </si>
  <si>
    <t>Reported Denial</t>
  </si>
  <si>
    <t>Inductive</t>
  </si>
  <si>
    <t>la destrucción del Planeta es una de las muestras más claras de la irracionalidad de este sistema capitalista... pero [Milei] defiende la libertad de las empresas para contaminar hasta los ríos y llegó a decir que el cambio climático es del socialismo.</t>
  </si>
  <si>
    <t>Bregman's reported-speech paraphrase ("llegó a decir que el cambio climático es del socialismo") functions as inter-discursive corroboration: a nationally televised opponent accurately summarizing a Milei position confirms the claim circulates publicly and is understood as politically legible. The paraphrase maps directly onto D1.3 &gt; Neo_Marxism — framing climate change as caused by or synonymous with socialism. Not primary Milei discourse; coded here for contextual and confirmatory purposes only.</t>
  </si>
  <si>
    <t>N/A (no es dicho por él mismo en este momento, es más bien una referencia de dichos previos en entrevistas)</t>
  </si>
  <si>
    <t>D1.3</t>
  </si>
  <si>
    <t>Civilizational Defense</t>
  </si>
  <si>
    <t>D1.3 — Cultural Backlash</t>
  </si>
  <si>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</si>
  <si>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</si>
  <si>
    <t>WEF Davos 2024</t>
  </si>
  <si>
    <t>2024-01-17</t>
  </si>
  <si>
    <t>Davos · Speech</t>
  </si>
  <si>
    <t>D1 es Dimensión correcta. Parte central de la "Batalla cultural". 
La sub-dimensión VER. Podría ser parte de 'Neo-marxismo'.</t>
  </si>
  <si>
    <t>Subdimension: anti-socialismo (or anti-colectivismo)</t>
  </si>
  <si>
    <t>Anti-Casta (Elite Frame)</t>
  </si>
  <si>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</si>
  <si>
    <t>Market Primacy</t>
  </si>
  <si>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</si>
  <si>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</si>
  <si>
    <t>Selective Empiricism</t>
  </si>
  <si>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</si>
  <si>
    <t>VER</t>
  </si>
  <si>
    <t>Puede ser una subcategoria dentro de "Science and expertice", podria llamarse: Selective scientific empirism</t>
  </si>
  <si>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</si>
  <si>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</si>
  <si>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</si>
  <si>
    <t>Pseudo-Science / Ideological Science</t>
  </si>
  <si>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</si>
  <si>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</si>
  <si>
    <t>VER. Deberíamos definir si la sub-dimensión 'Pseudo-science' sólo aplica a sustainability science o más amplia.</t>
  </si>
  <si>
    <t>ok but also "attacks on experts and technocratics elites"</t>
  </si>
  <si>
    <t>Delegitimization of Regulation</t>
  </si>
  <si>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</si>
  <si>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</si>
  <si>
    <t>Ok, but it would also be "selective scientific evidence (or similar)"</t>
  </si>
  <si>
    <t>Deregulation Benefits</t>
  </si>
  <si>
    <t>El pretexto de un supuesto fallo de mercado se introducen regulaciones que lo único que generan es distorsiones en el sistema de precios, que impiden el cálculo económico, y en consecuencia el ahorro, la inversión y el crecimiento.</t>
  </si>
  <si>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</si>
  <si>
    <t>ok, aunque "bemefits of deregulation" es practicamente igual que "deligitimization of regulation" talvez podemos combinar las dos en una</t>
  </si>
  <si>
    <t>Si las transacciones son voluntarias, el único contexto en el que puede haber un fallo de mercado es si hay coacción. Y el único con la capacidad de coaccionar de manera generalizada es el estado que tiene el monopolio de la violencia. Los fallos de mercado no existen.</t>
  </si>
  <si>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</si>
  <si>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</si>
  <si>
    <t>OJO con codear de más y sobredimensionar la frecuencia de la categoría. Podría unificarse con #14.</t>
  </si>
  <si>
    <t>sub categoria puede ser tamb "anti state" ya que aca formula una critica directa al rol del Estado</t>
  </si>
  <si>
    <t>Anti-State / Anti-Bureaucratic</t>
  </si>
  <si>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</si>
  <si>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</si>
  <si>
    <t>ok, puede ser tamb "anti casta"</t>
  </si>
  <si>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</si>
  <si>
    <t>ok, also "Deligitimazation of regulation", we should merge both sub-dimensions</t>
  </si>
  <si>
    <t>Neo-Marxism</t>
  </si>
  <si>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</si>
  <si>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Environmentalism enters explicitly as the second front in the socialist "new agenda" after gender — "el conflicto del hombre contra la naturaleza." This is Neo_Marxism's core formulation in the corpus: the green agenda is a tactical repositioning by socialists who abandoned classical class struggle. Placement as structurally equivalent to feminism as a manufactured "conflict" denies both its empirical basis and its autonomous political legitimacy.</t>
  </si>
  <si>
    <t>ok. Ver si unificar con #19?</t>
  </si>
  <si>
    <t>ok or "anti socialisim"</t>
  </si>
  <si>
    <t>Woke Bundling</t>
  </si>
  <si>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</si>
  <si>
    <t>ok. Ver si unificar con #18?</t>
  </si>
  <si>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</si>
  <si>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</si>
  <si>
    <t>ok. Aunque esta dimensión también podría ser parte de D1.3. La ciencia ideologizada como parte de la dimensión cultural</t>
  </si>
  <si>
    <t>Rejection of Multilateral Governance</t>
  </si>
  <si>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</si>
  <si>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</si>
  <si>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</si>
  <si>
    <t>ok. Podría unificarse con #23</t>
  </si>
  <si>
    <t>Con herramientas como la emisión monetaria, el endeudamiento, los subsidios, el control de la tasa de interés, los controles de precios y las regulaciones para corregir los supuestos "fallos de mercado", pueden controlar los destinos de millones de seres humanos.</t>
  </si>
  <si>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</si>
  <si>
    <t>ok. Podría unificarse con #22</t>
  </si>
  <si>
    <t>Para finalizar, quiero dejarle un mensaje a todos los empresarios: no se dejen amedrentar ni por la casta política ni por los parásitos que viven del estado.</t>
  </si>
  <si>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</si>
  <si>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</si>
  <si>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</si>
  <si>
    <t>UN General Assembly 79th</t>
  </si>
  <si>
    <t>2024-09-24</t>
  </si>
  <si>
    <t>New York · Speech</t>
  </si>
  <si>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</si>
  <si>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</si>
  <si>
    <t>VER. Dimensión OK. Sub-dimensión podría ser anti-2030 agenda o Neo-marxism. Similar a ID #52</t>
  </si>
  <si>
    <t>ok, pero atencion al overcoding</t>
  </si>
  <si>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</si>
  <si>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</si>
  <si>
    <t>ok.</t>
  </si>
  <si>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</si>
  <si>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</si>
  <si>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</si>
  <si>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</si>
  <si>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</si>
  <si>
    <t>ok. Me parece de las destacables</t>
  </si>
  <si>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</si>
  <si>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</si>
  <si>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</si>
  <si>
    <t>Therefore, I would like to issue a warning: we are at the end of a cycle. Collectivism and moral posturing, of the woke agenda, have collided with reality and no longer have credible solutions to offer to the world's real problems.</t>
  </si>
  <si>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</si>
  <si>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</si>
  <si>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</si>
  <si>
    <t>ok. Es un anuncio. Trackear efecto en formalidad</t>
  </si>
  <si>
    <t>Not sure he reject here multilateral governance, he propose an alternative agenda for such governance, focusing on his interpretation of freedom as the central pilar. I would say it is part of Cultural backlash, with a subcategory of "freedom" or similar</t>
  </si>
  <si>
    <t>From this day on, know that the Argentine Republic will abandon the position of historical neutrality and will be at the forefront of the struggle in defense of freedom.</t>
  </si>
  <si>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</si>
  <si>
    <t xml:space="preserve">VER. Este pasaje es fuerte pero más que un rechazo a la gobernanza multilateral es un posicionamiento dentro de sus reglas. Quizás englobar en ID #37 dentro de D1.3 </t>
  </si>
  <si>
    <t xml:space="preserve">Idem anterior; freedom as key moral principle </t>
  </si>
  <si>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</si>
  <si>
    <t>ok. Quizás esto englobe ID #36</t>
  </si>
  <si>
    <t>ok for the dimension, see for the sub-dimension</t>
  </si>
  <si>
    <t>Because I must say that forums like this one have been protagonists and promoters of the sinister agenda of wokeism that is doing so much damage to the Western world.</t>
  </si>
  <si>
    <t>WEF is named a "protagonist and promoter" of a "sinister agenda" — the institution that convenes global climate governance (the Davos Consensus, net-zero pledges, green capitalism frameworks) is delegitimized as ideologically captured before any specific climate argument is made. This is meta-level Rejection_of_Multilateral_Governance: not objecting to a specific commitment but delegitimizing the entire governance institution, meaning everything it produces — climate targets, ESG standards, green investment pledges — is tainted at source.</t>
  </si>
  <si>
    <t>WEF Davos 2025</t>
  </si>
  <si>
    <t>2025-01-23</t>
  </si>
  <si>
    <t>VER. Podría ir dentro de D1.3 cultural</t>
  </si>
  <si>
    <t>Attack on Universities</t>
  </si>
  <si>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</si>
  <si>
    <t>Universities appear in the list of colonized institutions alongside global governance organizations and media. Universities are the primary sites where climate scientists are trained, climate research is produced, and the expert community underpinning IPCC assessment reports is formed. By framing universities as ideologically colonized, Milei delegitimizes the climate knowledge-production chain at its origin point.</t>
  </si>
  <si>
    <t>NO. Para mi es: D1.2. References to “pseudo-science” or ideological science</t>
  </si>
  <si>
    <t>Rejection of Expert Mediation</t>
  </si>
  <si>
    <t>The enumeration of captured institutions — political parties, global governance organizations, NGOs, universities, media — covers the entire infrastructure of expert mediation in public policy: the channels through which scientific knowledge reaches and legitimizes policy decisions. Claiming all are colonized by a single ideology denies any possibility of legitimate expert mediation in climate governance.</t>
  </si>
  <si>
    <t>UNIFICAR CON ATTACKS ON EXPERTS AND TECHNOCRATIC ELITES</t>
  </si>
  <si>
    <t>These are all various heads of the same beast aimed at justifying the state's expansion through the appropriation and distortion of noble causes.</t>
  </si>
  <si>
    <t>Environmentalism is listed (alongside feminism, gender ideology, and immigration) as one of several "heads of the same beast aimed at justifying the state's expansion." Neo_Marxism's core formulation: these causes are strategic tools for state expansion, not genuine moral concerns. Carbon taxes, green industrial policy, and emissions regulation are Trojan horses for socialist state growth — not environmental management.</t>
  </si>
  <si>
    <t>ok con D1.3.</t>
  </si>
  <si>
    <t>Ver. Si es cultural, entonces diria Woke Bundling; or anti socialisism</t>
  </si>
  <si>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</si>
  <si>
    <t>The pivot from feminism to environmentalism using "Wokism also manifests in..." is the formal Woke_Bundling move: climate governance is positioned as another chapter in the same ideological story, governed by the same analytical template applied to feminism. The concession-then-perversion structure ("a matter of common sense" → "perverted") is more sophisticated than Davos 2024 — acknowledging legitimacy before delegitimizing, making the attack harder to characterize as reactionary denial.</t>
  </si>
  <si>
    <t>ok. Destacable</t>
  </si>
  <si>
    <t>"Economic development is considered little more than a crime against nature" frames climate regulation as anti-civilization and anti-progress ideology. The "cancer" metaphor is analytically notable: Milei applies "cancer" both to woke ideology (which must be cured) and to how environmentalists supposedly view humanity — a double inversion equating climate advocates with those who dehumanize people.</t>
  </si>
  <si>
    <t>ok. Quizás unificaría con #42</t>
  </si>
  <si>
    <t>no, overcoding</t>
  </si>
  <si>
    <t>"Economic development is considered a crime against nature" reframes climate regulation as anti-development ideology. Particularly effective for the Global South dimension: if climate governance criminalizes development, it condemns poor countries to permanent underdevelopment in the name of ideology.</t>
  </si>
  <si>
    <t>And yet, when we argue that the Earth has already gone through five abrupt temperature change cycles, and that during four of those men was not even around, we are called 'Flat Earthers' in order to discredit our ideas, even though science and the data are on our side.</t>
  </si>
  <si>
    <t>The five-cycles argument — Earth has undergone abrupt temperature changes without human presence — is the natural cycles denialist claim deployed as a counter to anthropogenic attribution. This is the clearest direct climate science denial in the corpus. The logical structure ("this happened before without humans, therefore humans are not causing it now") elides attribution science, which isolates the anthropogenic signal from natural variability.</t>
  </si>
  <si>
    <t>OK. DESTACABLE.</t>
  </si>
  <si>
    <t>"Science and the data are on our side" directly appropriates scientific authority for the denialist position. The "Flat Earthers" label is framed as a delegitimation tactic rather than a substantive critique. The epistemic authority reversal: consensus scientists become dogmatists silencing dissent, while the climate skeptic becomes the true empiricist. The move engages with no actual scientific arguments.</t>
  </si>
  <si>
    <t>No, merge with 47</t>
  </si>
  <si>
    <t>Clearest corpus instance of Selective_Empiricism: "science and data are on our side" legitimates the natural-cycles claim while framing the institutional scientific community's response as ideological silencing. The dual move — appropriating empiricism for the denialist side while denying it to the consensus side — is the defining feature of this pattern.</t>
  </si>
  <si>
    <t>NO (para mi ya está abordado en #45 y #46).</t>
  </si>
  <si>
    <t>Ok, to me selective empirisism/evidence is the most important subdimensin here</t>
  </si>
  <si>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</si>
  <si>
    <t>The Malthus-abortion-climate chain is an intensified Woke_Bundling move: climate advocates and abortion advocates are revealed to share a common ideological foundation (Malthusianism = overpopulation as the root threat). "It is no coincidence" signals conspiratorial reasoning. Maximal contamination: climate cause associated with "bloody, murderous" abortion agenda for Milei's audience.</t>
  </si>
  <si>
    <t>ok. destacable</t>
  </si>
  <si>
    <t>The Malthusian framing codes environmentalism as anti-human-development: its real goal is population reduction through abortion promotion. The Neo_Marxism thesis: the green agenda is a power-accumulation project in disguise. The explicit causal chain (Malthus → overpopulation fear → abortion → population control) provides theoretical lineage, making it appear as a coherent intellectual tradition rather than a rhetorical association.</t>
  </si>
  <si>
    <t>ver</t>
  </si>
  <si>
    <t>not sure, overcoding</t>
  </si>
  <si>
    <t>And wokeism also seeks to hijack our future because by dominating the faculties of the world's most prestigious universities, it is shaping the elites of our countries to reject and deny the culture, ideas and values that made us great.</t>
  </si>
  <si>
    <t>The university attack reappears in a futurity register: universities are not just producing bad knowledge now but "shaping the elites" who will govern and make policy in the future. For climate governance, this extends the delegitimation forward in time: the next generation of policymakers, business leaders, and public intellectuals is being trained to accept the climate-governance framework as legitimate — a long-term institutional threat.</t>
  </si>
  <si>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</si>
  <si>
    <t>WEF, "the most influential supranational bodies," multilateral lending organizations, and the EU are collectively framed as "ideologues of barbarity" and "instruments of extortion." These are precisely the institutions that implement and finance climate policy globally. Framing them as a malevolent totalizing project — not misguided but malevolent — closes off any possibility of engagement with the multilateral climate governance system.</t>
  </si>
  <si>
    <t>"Worship of a sinister and murderous ideology, as if it were a golden calf" elevates the stakes to civilizational-religious dimensions. The WEF-led governance consensus — including its climate architecture — is not an error but an idolatry that must be dismantled to save Western civilization. Civilizational_Defense at maximum intensity.</t>
  </si>
  <si>
    <t>Dimensión D1.3 OK. VER sub-dimensión. Similar a ID #27</t>
  </si>
  <si>
    <t>Ver subdimension</t>
  </si>
  <si>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</si>
  <si>
    <t>The denial of market failures restated verbatim from Davos 2024, now anchored to European climate regulation as the exemplary case of "abhorrent regulations that kill economic growth." The EU's climate regulatory architecture (ETS, CBAM, Fit for 55) is the world's most ambitious; naming it as evidence for the No_Market_Failures thesis directly targets the leading model of climate governance as proof that climate regulation causes poverty.</t>
  </si>
  <si>
    <t>The positive deregulation argument paired with the Europe case: removing climate regulation restores economic calculation, investment, and growth. "Such as is the case in Europe, which kills economic growth" — Deregulation_Benefits applied to climate regulation specifically, with the EU's climate architecture as empirical evidence.</t>
  </si>
  <si>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</si>
  <si>
    <t>[V3 re-code — was D2.3 in v2] "Drastic reduction of all supranational organizations" and "draining its resources" — this passage is here coded D1.1 &gt; Rejection_of_Multilateral_Governance because the speech is performing a rhetorical act: declaring a policy prescription and framing it as ideologically necessary. The actual institutional actions (funding reductions, withdrawal from bodies, defunding climate funds) are D2 evidence to be found in Corpus B. The prescriptive force of the passage does not change its discursive nature.</t>
  </si>
  <si>
    <t>"Wokism is nothing more than a systematic plan by the party of the state to justify state intervention" explicitly articulates the Neo_Marxism thesis for the entire woke project — including its environmental dimension: the climate agenda is a state-expansion pretext. The logical consequent is direct: drastic state reduction (including of climate institutions) is the necessary response.</t>
  </si>
  <si>
    <t>The functions of the state must once again be limited to defending the right to life, liberty and property. Any other function the state assumes will come at the expense of its fundamental role and will inevitably lead to the 'omnipresent Leviathan' that we all suffer under today.</t>
  </si>
  <si>
    <t>The minimal-state prescriptive principle categorically excludes environmental regulation as a legitimate state function. Climate policy in all its forms — carbon pricing, emissions regulation, environmental ministries, adaptation planning, clean energy mandates — falls outside life, liberty, and property, making it constitutionally illegitimate regardless of empirical merits. This is Delegitimization_of_Regulation stated as a first-principles categorical exclusion.</t>
  </si>
  <si>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</si>
  <si>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t>
  </si>
  <si>
    <t>UN General Assembly 80th</t>
  </si>
  <si>
    <t>2025-09-24</t>
  </si>
  <si>
    <t>"Burócratas internacionales" is the recurring personification of international governance expertise: UN climate secretariat staff, IPCC working group members, and sustainability agency personnel are "bureaucrats who impose rather than advise," denied legitimacy as technical mediators and recast as political actors pursuing their own agenda.</t>
  </si>
  <si>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</si>
  <si>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</si>
  <si>
    <t>Temporal Appropriation</t>
  </si>
  <si>
    <t>Así, los Estados contemporáneos han entrado en una dinámica donde el interés del político siempre será sacrificar el futuro en el altar del presente porque consumir el capital acumulado genera bienestar momentáneo y ese bienestar momentáneo genera votos.</t>
  </si>
  <si>
    <t>"Incendian el futuro para mantener caliente el presente" is the central rhetorical move of the entire speech: intergenerational responsibility language — the moral foundation of sustainability discourse — is co-opted and directed against the 2030 Agenda and the multilateral governance apparatus. Milei appropriates the sustainability regime's own vocabulary (futurity, sacrifice-of-present, protecting future generations) and turns it against sustainability governance itself: the bureaucrats and agencies of the 2030 Agenda are the ones sacrificing the future for present bureaucratic comfort. This is the clearest and most fully developed Temporal_Appropriation instance in the corpus.</t>
  </si>
  <si>
    <t>I will change it to D1.1. "Anti-State / Anti-Bureaucratic"or D1.2. "Attacks on experts and technocratic elites" as is a direct attack on politicians' capability to coordinate</t>
  </si>
  <si>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</si>
  <si>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"Hipertrofia de administraciones que son poco efectivas" characterizes the proliferation of UN agencies and programs as bureaucratic bloat producing poor results. UNEP, UNFCCC secretariat, IPCC, and SDG-linked programs are implicitly included in the indictment. If the agencies fail despite growing resources, the experts guiding them are not competent.</t>
  </si>
  <si>
    <t>NO. I will go either with ID #63 "Anti-state / anti-bureaucratic" or D1.1. "Rejection of multilateral governance.". No hace un ataque ni mención directas a sustainability institutions</t>
  </si>
  <si>
    <t>"Capas sobre capa de organismos, agencias y programas"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 not political hostility to climate governance but consistent application of anti-bureaucratic logic.</t>
  </si>
  <si>
    <t>OK. ver #62</t>
  </si>
  <si>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</si>
  <si>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</si>
  <si>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</si>
  <si>
    <t>ok. Opcional</t>
  </si>
  <si>
    <t>"Un mal gasto de recursos escasos" used to justify exiting the 2030 Agenda completes the Temporal_Appropriation move: the framework tasked with protecting future generations is reframed as the actor wasting the scarce resources that future generations will need. The same intergenerational moral vocabulary that launched the speech ("incendian el futuro") is now applied to delegitimize the 2030 Agenda as itself guilty of sacrificing future welfare.</t>
  </si>
  <si>
    <t>NO. Eliminar.</t>
  </si>
  <si>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</si>
  <si>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</si>
  <si>
    <t>VER. Parte de D1.3 seguro</t>
  </si>
  <si>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</si>
  <si>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</si>
  <si>
    <t>VER. Eliminar o integrar con #70</t>
  </si>
  <si>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</si>
  <si>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</si>
  <si>
    <t>Therefore, the opposition between the dimensions of efficiency and justice is false and erroneous. That is to say, what is just can't be inefficient, nor can what is efficient be unjust. Actually, from the standpoint of dynamic analysis, justice and efficiency are two sides of the same coin.</t>
  </si>
  <si>
    <t>The Huerta de Soto dynamic efficiency argument performs a foundational move for Market_Primacy: it collapses the efficiency-justice distinction that underpins much environmental economics. In standard welfare economics, a carbon tax may be efficient (correcting an externality) while raising distributional concerns (justice). Milei's framework eliminates this tradeoff by definitional fiat: what is just (private property, voluntary exchange) is by definition efficient, and what is efficient cannot be unjust. This forecloses the standard case for environmental regulation — that a market failure produces an outcome both inefficient and unjust that state intervention can improve.</t>
  </si>
  <si>
    <t>WEF Davos 2026</t>
  </si>
  <si>
    <t>2026-01-22</t>
  </si>
  <si>
    <t>OK. Opcional. Podría ser eliminado para no sobrecodear.</t>
  </si>
  <si>
    <t>However, this required embracing a mathematical structure that left the door open to state intervention under the well-intentioned goal of correcting market failures, which, from my perspective, do not really exist. To address this, the proof developed by Hans-Hermann Hoppe, based on property rights in line with Locke's principle of original appropriation together with the non-aggression principle, not only proves satisfactory in establishing optimality, but also leaves no room for intervention.</t>
  </si>
  <si>
    <t>The Hoppe property-rights proof is invoked to argue that the neoclassical framework "leaves the door open to state intervention" through the market failure concept, and that the correct theoretical framework (Lockean property rights + non-aggression principle) "leaves no room for intervention." For climate governance, this is the most philosophically grounded version of the Delegitimization_of_Regulation argument: the entire framework justifying carbon pricing and emissions regulation is replaced by a rival framework in which intervention is not merely inadvisable but logically prohibited by natural law.</t>
  </si>
  <si>
    <t>ok. Podría ser destacable (por ser foundational)</t>
  </si>
  <si>
    <t>In turn, in 2025, I explained the mental parasites sown by the left in humanity. Therefore, today more than ever, in the face of the ethical and moral degradation afflicting the West as a result of embracing the new socialist agenda, it is necessary to once again promote the ideas of freedom.</t>
  </si>
  <si>
    <t>"Ethical and moral degradation afflicting the West as a result of embracing the new socialist agenda" restates the Civilizational_Defense master frame from Davos 2024 and 2025, condensed to a single sentence. The reference to "mental parasites sown by the left" (2025 speech) — which explicitly enumerated radical environmentalism — links this speech's philosophical argument directly to the prior year's attack on climate governance. The current speech does not need to repeat the climate-specific argument; the philosophical foundation presented here is the theoretical grounding for it.</t>
  </si>
  <si>
    <t>OK con D1.3. Ver sub-categoría. Aplica "Neo_marxism", o podría ser más amplia tipo "Cultural battle"</t>
  </si>
  <si>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</si>
  <si>
    <t>"Intervention and regulation are dynamically inefficient because they are violent and therefore unjust" is the most compressed and philosophically grounded Delegitimization_of_Regulation in the corpus. The argument flows from natural law (non-aggression principle) through property rights theory to a categorical moral-and-efficiency condemnation. Environmental regulation — carbon taxes, emissions standards, green mandates — violates property rights, punishes profits, and is therefore both unjust and dynamically inefficient. The dual characterization (violent + unjust) is more comprehensive than prior formulations, which typically argued only that regulation was harmful.</t>
  </si>
  <si>
    <t>OK. DESTACABLE. Podría integrarse con #75 y ser Market Primacy</t>
  </si>
  <si>
    <t>The positive case is structurally present: if regulation is violent and inefficient, then removing it restores both justice and efficiency simultaneously. "Economy's potential growth declines when profits are punished" — removing environmental regulations restores profit incentives, increases investment, and raises growth. Deregulation_Benefits at the level of foundational political economy: not just that deregulation produces better outcomes, but that it is what justice requires.</t>
  </si>
  <si>
    <t>OK. Podría integrarse con #74 y ser Market Primacy</t>
  </si>
  <si>
    <t>Note that along the same lines, we can also address the issue of artificial intelligence. Therefore, the most responsible thing states can do regarding this issue is to stop pestering those who are creating a better world.</t>
  </si>
  <si>
    <t>"The most responsible thing states can do is to stop pestering those who are creating a better world" — deregulation prescription applied to AI, but the logic is explicitly general and applies identically to climate technology (clean energy, carbon capture, EVs). The "pestering" metaphor diminishes regulatory intervention as petty harassment of innovators rather than legitimate public policy, pre-empting any case for green industrial mandates, technology standards, or innovation requirements.</t>
  </si>
  <si>
    <t>However, 2026 is the year in which I bring you good news. The world has begun to awaken. The best proof of this is what is happening in the Americas with the rebirth of the ideas of liberty. Therefore, the Americas will be the beacon of light that will once again illuminate the entire West, thereby repaying the civilizational debt with expressions of gratitude towards the foundations in Greek philosophy, Roman law and Judeo-Christian values.</t>
  </si>
  <si>
    <r>
      <rPr>
        <i/>
        <sz val="10"/>
        <color theme="1"/>
        <rFont val="Calibri"/>
      </rPr>
      <t xml:space="preserve">The three-year Davos arc (2024: West in danger; 2025: battle not yet won; 2026: world awakening) is consolidated into a progressive civilizational recovery narrative. Climate governance — previously identified with "wokeism in its most hypocritical form" — is implicitly receding along with the broader woke project. The "Americas as beacon of light" framing positions the U.S.-Argentina axis (both having defected from multilateral climate commitments) as the civilizational vanguard, </t>
    </r>
    <r>
      <rPr>
        <b/>
        <i/>
        <sz val="10"/>
        <color theme="1"/>
        <rFont val="Calibri"/>
      </rPr>
      <t>normalizing climate obstruction as the leading edge of Western renewal.</t>
    </r>
    <r>
      <rPr>
        <i/>
        <sz val="10"/>
        <color theme="1"/>
        <rFont val="Calibri"/>
      </rPr>
      <t xml:space="preserve"> The Judeo-Christian values reference grounds the civilization in religious tradition, raising the moral stakes beyond policy disagreement.</t>
    </r>
  </si>
  <si>
    <t>En el plano de la Educación Superior, la creación de universidades se ha convertido en un negocio más de la política y en los profesorados e institutos de formación inicial de docentes se imparte, cada vez más, adoctrinamiento político, en lugar de educación.</t>
  </si>
  <si>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</si>
  <si>
    <t>Apertura 142 (2024)</t>
  </si>
  <si>
    <t>2024-03-01</t>
  </si>
  <si>
    <t>Buenos Aires · Apertura</t>
  </si>
  <si>
    <t>Tras haber visto con mis propios ojos y en detalle la vulgaridad del despilfarro con el que la política se acostumbró a vivir, ratifico una vez más que la casta política es lo peor que le puede pasar a un país como el nuestro.</t>
  </si>
  <si>
    <t>Milei confirms and intensifies the "la casta" frame as the foundational political category of his governing project. This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</si>
  <si>
    <t>Por último, también firmamos un mega Decreto de Necesidad y Urgencia para, por primera vez en décadas, devolverles la libertad a los argentinos en vez de quitárselas con regulaciones sin sentido.</t>
  </si>
  <si>
    <t>The DNU 70/23 -- framed here as "returning freedom" to Argentines -- included the derogation of dozens of environmental and land-use regulations, alongside broader economic deregulation. By presenting the entire deregulatory package as "freedom from senseless regulations," Milei establishes the foundational rhetorical move that makes environmental regulation categorically illegitimate: not harmful to growth per se, but a deprivation of liberty. The positive framing ("returning freedom") is analytically central -- it does not argue against regulations on techno-economic grounds but on moral-liberty grounds.</t>
  </si>
  <si>
    <t>lo eliminaría</t>
  </si>
  <si>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</si>
  <si>
    <t>Eliminamos cajas de militancia como el INCAA, el INADI, el Ministerio de la Mujer y Télam y volvimos superavitarias empresas emblemáticas de la militancia deficitaria, como Aerolíneas Argentinas, AySA, Intercargo y ENARSA. (...) mientras empezamos a dar los primeros pasos para la privatización de todas las empresas públicas, porque entendemos que el Estado no está para reemplazar al empresario.</t>
  </si>
  <si>
    <t>The explicit grouping of INCAA, INADI, and the Ministerio de la Mujer as "cajas de militancia" establishes the rhetorical pattern of labeling progressive-adjacent state institutions as corrupt political patronage rather than legitimate public functions. INADI and the women's ministry represent precisely the kind of social-regulatory institutions that also administer environmental and sustainability policy -- agencies whose authority rests on normative social science rather than market metrics. Categorizing them as inherently militant/patronage-driven pre-emptively applies the same frame to environmental agencies.</t>
  </si>
  <si>
    <t>Apertura 143 (2025)</t>
  </si>
  <si>
    <t>2025-03-01</t>
  </si>
  <si>
    <t>Además, eliminamos la obra pública --que era uno de los curros más grandes de la política--. [...] la obra pública no genera trabajo, la obra pública genera impuestos.</t>
  </si>
  <si>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</si>
  <si>
    <t>ok categoría D1.1. También puede ser "delegitimation of regulation"</t>
  </si>
  <si>
    <t>hemos concentrado alrededor y concretado 1700 reformas estructurales, eliminando regulaciones que cercenaban libertades comerciales y económicas y le ponían palos en la rueda al gran motor productivo de nuestro país, que es el sector privado.</t>
  </si>
  <si>
    <t>The "1700 structural reforms" figure is presented as the central achievement of the first year, with deregulation framed as "removing sticks from the wheels" of the productive sector. The institutionalization of a dedicated "Ministro de Desregulación" makes deregulation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</si>
  <si>
    <t>No es menor lo de Elon con la motosierra. La motosierra, hoy, es un símbolo de cambio de época y el inicio de una nueva era dorada para la humanidad, pero esta vez, en vez de ir a contramano del mundo, Argentina está a la vanguardia del mundo.</t>
  </si>
  <si>
    <t>The explicit alignment of Milei's chainsaw symbol with Elon Musk's DOGE deregulatory operation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</si>
  <si>
    <t>es necesario estar dispuesto a flexibilizar o, incluso, llegado el caso, a salir del Mercosur, que lo único que logró desde su creación es enriquecer a los grandes industriales brasileros a costa de empobrecer a los argentinos.</t>
  </si>
  <si>
    <t>The willingness to exit Mercosur -- a major regional multilateral governance framework -- is framed as a necessary condition for national prosperity.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</si>
  <si>
    <t>puede ser</t>
  </si>
  <si>
    <t>tenemos que recuperar el imperio de la igualdad ante la ley, terminando con este sistema de cupos de distinto tipo que impone desde a quién emplear hasta a quién votar. Hemos llegado al punto en el que hay cupos hasta para emplear gente en medios de comunicación o para la programación de artistas en un festival.</t>
  </si>
  <si>
    <t>The grouping of employment quotas (gender, diversity), media programming quotas, and electoral quotas under a single "equality-before-the-law" critique performs ideological bundling: it treats affirmative representation mechanisms as a unified progressive excess. The phrase "ciertos grupos percibidos como oprimidos" explicitly frames identity-based policy as based on perception rather than material reality -- the same epistemic move used to frame climate science as perception-based rather than empirically grounded. The anti-quota framing extends the anti-"woke" frame into public institutions, preparing the terrain for applying the same logic to environmental quotas, emissions targets, and international reporting obligations.</t>
  </si>
  <si>
    <t>NO. Eliminar. A lo sumo como algo más genérico tipo cultural battle</t>
  </si>
  <si>
    <t>en nuestra visión existe un claro orden de mérito. En primer lugar, están la ética y la moral en base a los valores de Occidente. Esto es, la filosofía griega, el derecho romano, la rectitud de los estoicos y los valores judeocristianos. En segundo lugar, ubicamos la eficiencia económica. Y, por último, en tercer lugar, el utilitarismo político.</t>
  </si>
  <si>
    <t>The explicit ordering of moral values -- Western ethics/morality first, economic efficiency second, political utilitarianism third -- establishes a normative hierarchy in which "Occidente" (Greek philosophy, Roman law, Judeo-Christian values) is the foundational reference for all legitimate policy. Sustainability governance and environmental science, which invoke collective/intergenerational obligations that cut across individual rights, are implicitly subordinate to this Western-individual-rights framework. Climate policy that invokes the 2030 Agenda or IPCC consensus falls outside the "moral" primary category by definition -- it would be classified as "utilitarismo político" at best.</t>
  </si>
  <si>
    <t>Apertura 144 (2026)</t>
  </si>
  <si>
    <t>2026-03-01</t>
  </si>
  <si>
    <t>NO. Muy rebuscado. Eliminaría o dejaría general como d1.3. Cultural battle</t>
  </si>
  <si>
    <t>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</si>
  <si>
    <t>The framing of deregulation as "exterminar regulaciones" -- exterminating rather than reforming regulations -- uses maximalist language that positions the regulatory corpus itself as a hostile entity to be eliminated rather than a governance tool to be calibrated. The positive theoretical claim -- deregulation "liberates increasing returns," which is the basis for economic growth --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</si>
  <si>
    <t>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</si>
  <si>
    <t>The phrase "lejos de prejuicios ambientalistas absurdos" is the most explicit climate-governance delegitimation passage in the apertura corpus. By framing environmental concerns as "absurd prejudices" in the specific context of announcing legislative removal of legal barriers to resource extraction (hydrocarbon, mining, agro), Milei acknowledges the existence of environmental concerns while categorically dismissing their epistemic status. "Prejuicios"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t>
  </si>
  <si>
    <t>vamos a buscar remover las barreras legales que se interponen entre la sociedad y su riqueza. Vamos a construir un marco legal robusto que permita el desarrollo primario para beneficio de todos los argentinos, con cuidados, pero lejos de prejuicios ambientalistas absurdos.</t>
  </si>
  <si>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</si>
  <si>
    <t>Dedicaremos este año a examinar la organización jurídica e institucional que nos trajo hasta aquí y construir una arquitectura nueva; la arquitectura que tendrá el Estado argentino los próximos 50 años, teniendo la moral occidental como política de estado.</t>
  </si>
  <si>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attempts to make the libertarian-Western framework normatively permanent, pre-empting future democratic mandates for climate governance.</t>
  </si>
  <si>
    <t>La era de la cooperación global sin brújula moral ha terminado. Entramos a una nueva era de grandes naciones que compiten por asegurarse cadenas de valor verticales.</t>
  </si>
  <si>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t>
  </si>
  <si>
    <t>Tenemos los minerales críticos que necesita Occidente, tenemos la energía: gas, petróleo, energía nuclear y energía renovable para abastecer cadenas de producción de escala.</t>
  </si>
  <si>
    <t>The framing of Argentina's natural resources -- including gas, petróleo (conventional and unconventional), and nuclear energy alongside renewables -- as strategic assets serving "Occidente" positions fossil fuel extraction as geopolitically necessary and morally justified. By listing fossil fuels and renewables together without distinction under Argentina's strategic resource profile, this passage neutralizes the climate-energy transition narrative: all energy resources are equally valuable as Occidental strategic assets, and the distinction between high-carbon and low-carbon energy (central to climate policy) is irrelevant in the market/geopolitical frame.</t>
  </si>
  <si>
    <t>NO. Lo eliminaría</t>
  </si>
  <si>
    <t>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</si>
  <si>
    <t>The Huerta de Soto quote -- introduced by the President and applied directly to the congressional opposition -- delivers the parasites/producers binary in its most philosophically elaborated form. Environmental regulators, sustainability agencies, and scientific advisory bodies all "draft regulations" in Huerta de Soto's formulation, making them unambiguously parasites rather than producers in this moral framework. The anti-casta frame is here given its strongest moral-ontological expression: not simply that politicians are corrupt, but that the regulatory state -- those who "draft regulations" -- is structurally parasitic on the productive sector.</t>
  </si>
  <si>
    <t>OK categoría D1.1. Podria ser "Anti-state and anti-bureaucratic rhetoric"</t>
  </si>
  <si>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t>
  </si>
  <si>
    <t>The framing of "la verdadera batalla de nuestro tiempo" as cultural, philosophical, and moral -- a battle between capitalism and socialism/collectivism -- is the Neo_Marxism code at its most developed. The climate governance regime is implicitly on the collectivist side: it involves state planning, expert mediation, and redistribution of present consumption toward future generations. The "nación madura que planifica para presente y futuro" simultaneously appropriates sustainability's intergenerational language and redeploys it against climate policy.</t>
  </si>
  <si>
    <t>OK D1.3. Cultural battle can be a better fit.</t>
  </si>
  <si>
    <t>Es para dejar de ser una Nación inmadura, que dilapida el futuro para repartir beneficios en el presente; y convertirnos en una nación madura, que planifica las reglas de juego para que haya presente y futuro; y para que cada ciudadano pueda elegir libremente su propio destino.</t>
  </si>
  <si>
    <t>The contrast between a "nación inmadura que dilapida el futuro para repartir beneficios en el presente" and a "nación madura que planifica las reglas de juego para que haya presente y futuro" inverts the sustainability discourse's intergenerational frame. Climate governance's core moral claim is that present consumption sacrifices the future; here Milei appropriates that moral structure to argue that state redistribution (including sustainability programs) is what sacrifices the future, while market freedom is what "plans for both present and future." This is the fourth confirmed corpus instance of Temporal_Appropriation, exceeding the formalization threshold of 2+ appearances.</t>
  </si>
  <si>
    <t>NO. ELIMINAR.</t>
  </si>
  <si>
    <t>El Estado presente, que pretende hacerse cargo de todos los órdenes de la vida, fracasó. Por eso necesitamos un Estado ágil, abocado a unas pocas funciones esenciales, sintetizadas en la defensa de la vida, la libertad y la propiedad privada, amparado en lo que definimos, como decía Ayn Rand, la ética de la emergencia.</t>
  </si>
  <si>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</si>
  <si>
    <t>OK</t>
  </si>
  <si>
    <t>SEE</t>
  </si>
  <si>
    <t>Para tener una idea, desde la década del 70 hasta acá el mundo bajó la pobreza del 50% al 10%; y nosotros del 5 la llevamos al 50, una verdadera aberración fruto de la casta política.</t>
  </si>
  <si>
    <t>The casta is blamed for the past 70 years of economic failures</t>
  </si>
  <si>
    <t>propuesta</t>
  </si>
  <si>
    <r>
      <rPr>
        <i/>
        <sz val="11"/>
        <color rgb="FF666666"/>
        <rFont val="Arial"/>
      </rPr>
      <t xml:space="preserve">Y por qué fallaron todos nuestros intentos de salir. La respuesta es simple: porque siempre se partió desde un diagnóstico equivocado. </t>
    </r>
    <r>
      <rPr>
        <b/>
        <i/>
        <sz val="11"/>
        <color rgb="FF666666"/>
        <rFont val="Arial"/>
      </rPr>
      <t xml:space="preserve">Nadie nunca cuestionó el eje sobre el que giraba la calesita: la mano negra del Estado omnipresente. </t>
    </r>
    <r>
      <rPr>
        <i/>
        <sz val="11"/>
        <color rgb="FF666666"/>
        <rFont val="Arial"/>
      </rPr>
      <t>Todas las falsas dicotomías de nuestra historia, campo o industria, dólar barato o caro, peronismo o antiperonismo, escondieron atrás la misma constante;</t>
    </r>
    <r>
      <rPr>
        <b/>
        <i/>
        <sz val="11"/>
        <color rgb="FF666666"/>
        <rFont val="Arial"/>
      </rPr>
      <t xml:space="preserve"> y la política siempre defendió al Estado con uñas y dientes, viendo la administración pública como un botín a ser conquistado. Eso es el verdadero modelo de la casta.</t>
    </r>
  </si>
  <si>
    <t>The foundational reason why every policy failed was because of the persistent role played by the State</t>
  </si>
  <si>
    <t>Code Frequency by Dimension × Speech  —  values update automatically from 'Coded Passages'</t>
  </si>
  <si>
    <t>TOTAL</t>
  </si>
  <si>
    <t>Total</t>
  </si>
  <si>
    <t>All Dimensions</t>
  </si>
  <si>
    <t>TOT</t>
  </si>
  <si>
    <t>Code Frequency by Sub-code × Speech  —  values update automatically from 'Coded Passages'</t>
  </si>
  <si>
    <t>Dim</t>
  </si>
  <si>
    <t>Sub-code</t>
  </si>
  <si>
    <t>D1.1·Anti-Casta (Eli</t>
  </si>
  <si>
    <t>D1.1·Anti-State / An</t>
  </si>
  <si>
    <t>D1.1·Delegitimizatio</t>
  </si>
  <si>
    <t>D1.1·Deregulation Be</t>
  </si>
  <si>
    <t>D1.1·Market Primacy</t>
  </si>
  <si>
    <t>D1.1·Rejection of Mu</t>
  </si>
  <si>
    <t xml:space="preserve">D1.1·Sustainability </t>
  </si>
  <si>
    <t>D1.2·Attack on Exper</t>
  </si>
  <si>
    <t>D1.2·Attack on Unive</t>
  </si>
  <si>
    <t>D1.2·Climate Skeptic</t>
  </si>
  <si>
    <t xml:space="preserve">D1.2·Pseudo-Science </t>
  </si>
  <si>
    <t>D1.2·Rejection of Ex</t>
  </si>
  <si>
    <t xml:space="preserve">D1.3·Civilizational </t>
  </si>
  <si>
    <t>D1.3·Neo-Marxism</t>
  </si>
  <si>
    <t>D1.3·Woke Bundling</t>
  </si>
  <si>
    <t>IND·Reported Denial</t>
  </si>
  <si>
    <t>IND·Selective Empir</t>
  </si>
  <si>
    <t>IND·Temporal Approp</t>
  </si>
  <si>
    <t>All Sub-codes</t>
  </si>
  <si>
    <t>Original</t>
  </si>
  <si>
    <t>D1.1. Delegitimization of state intervention and sustainability governance</t>
  </si>
  <si>
    <t>D1.2 Delegitimization of science and expertise</t>
  </si>
  <si>
    <t>D1.3 Cultural backlash (wokeism, neo-marxism) </t>
  </si>
  <si>
    <t>Market primacy and free-market solutions</t>
  </si>
  <si>
    <t>Anti-state and anti-bureaucratic rhetoric</t>
  </si>
  <si>
    <t>Anti-elite narratives (“la casta”)</t>
  </si>
  <si>
    <t xml:space="preserve">Delegitimization of regulation </t>
  </si>
  <si>
    <t>benefits of deregulation</t>
  </si>
  <si>
    <t>Rejection of multilateral environmental governance. </t>
  </si>
  <si>
    <t>Comments</t>
  </si>
  <si>
    <t>New</t>
  </si>
  <si>
    <t>Delegitimization of regulation  / benefits of deregulation</t>
  </si>
  <si>
    <t>to bundle benefits of deregulation with delegitimization of regulation</t>
  </si>
  <si>
    <t>To consider a broad definition of rejection of multilateral governance in general not only environmental</t>
  </si>
  <si>
    <t xml:space="preserve">Selective empiricism </t>
  </si>
  <si>
    <t>Look for a definition of this concept (cultural backlash / cultural battle)</t>
  </si>
  <si>
    <t>Anti-socialism or anti neo-marxism</t>
  </si>
  <si>
    <t>neo-marxism</t>
  </si>
  <si>
    <t>Woke bundling</t>
  </si>
  <si>
    <t>Civilizational defense</t>
  </si>
  <si>
    <t>Climate Skepticism or Dismissal of Environmental Science</t>
  </si>
  <si>
    <t>Attack on Universities and Research Institutions</t>
  </si>
  <si>
    <t>Sometimes is bundled with dimension 3</t>
  </si>
  <si>
    <t>To bundle research institutions and universities, each time it is found Delegitimization of scientific and professional institutions</t>
  </si>
  <si>
    <t>Bundled with rejection of expert mediation (rarely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</si>
</sst>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sz val="11"/>
      <color theme="1"/>
      <name val="Calibri"/>
      <family val="2"/>
      <scheme val="minor"/>
    </font>
    <font>
      <b/>
      <sz val="13"/>
      <color rgb="FFFFFFFF"/>
      <name val="Arial"/>
    </font>
    <font>
      <b/>
      <sz val="10"/>
      <color rgb="FFFFFFFF"/>
      <name val="Arial"/>
    </font>
    <font>
      <b/>
      <sz val="11"/>
      <color theme="1"/>
      <name val="Calibri"/>
    </font>
    <font>
      <i/>
      <sz val="10"/>
      <color rgb="FFFFFFFF"/>
      <name val="Arial"/>
    </font>
    <font>
      <sz val="11"/>
      <color theme="1"/>
      <name val="Calibri"/>
    </font>
    <font>
      <i/>
      <sz val="10"/>
      <color theme="1"/>
      <name val="Calibri"/>
    </font>
    <font>
      <sz val="11"/>
      <color theme="1"/>
      <name val="Calibri"/>
      <scheme val="minor"/>
    </font>
    <font>
      <sz val="9"/>
      <color theme="1"/>
      <name val="Calibri"/>
    </font>
    <font>
      <strike/>
      <sz val="11"/>
      <color rgb="FFFF0000"/>
      <name val="Calibri"/>
    </font>
    <font>
      <i/>
      <strike/>
      <sz val="10"/>
      <color rgb="FFFF0000"/>
      <name val="Calibri"/>
    </font>
    <font>
      <strike/>
      <sz val="11"/>
      <color rgb="FFFF0000"/>
      <name val="Calibri"/>
      <scheme val="minor"/>
    </font>
    <font>
      <sz val="9"/>
      <color rgb="FF444746"/>
      <name val="Calibri"/>
    </font>
    <font>
      <b/>
      <sz val="11"/>
      <color theme="1"/>
      <name val="Calibri"/>
    </font>
    <font>
      <b/>
      <sz val="9"/>
      <color theme="1"/>
      <name val="Calibri"/>
    </font>
    <font>
      <b/>
      <i/>
      <sz val="10"/>
      <color theme="1"/>
      <name val="Calibri"/>
    </font>
    <font>
      <i/>
      <sz val="10"/>
      <color theme="1"/>
      <name val="Calibri"/>
      <scheme val="minor"/>
    </font>
    <font>
      <i/>
      <sz val="11"/>
      <color rgb="FF666666"/>
      <name val="Calibri"/>
      <scheme val="minor"/>
    </font>
    <font>
      <i/>
      <sz val="11"/>
      <color rgb="FF666666"/>
      <name val="&quot;Segoe UI&quot;"/>
    </font>
    <font>
      <i/>
      <sz val="10"/>
      <color rgb="FF666666"/>
      <name val="Calibri"/>
      <scheme val="minor"/>
    </font>
    <font>
      <sz val="11"/>
      <color theme="1"/>
      <name val="Calibri"/>
    </font>
    <font>
      <sz val="11"/>
      <name val="Calibri"/>
    </font>
    <font>
      <b/>
      <sz val="9"/>
      <color theme="1"/>
      <name val="Arial"/>
    </font>
    <font>
      <b/>
      <sz val="10"/>
      <color rgb="FF111827"/>
      <name val="Arial"/>
    </font>
    <font>
      <sz val="10"/>
      <color rgb="FF111827"/>
      <name val="Arial"/>
    </font>
    <font>
      <b/>
      <sz val="10"/>
      <color rgb="FFFACC15"/>
      <name val="Arial"/>
    </font>
    <font>
      <sz val="10"/>
      <color theme="1"/>
      <name val="Arial"/>
    </font>
    <font>
      <i/>
      <sz val="11"/>
      <color rgb="FF666666"/>
      <name val="Arial"/>
    </font>
    <font>
      <b/>
      <i/>
      <sz val="11"/>
      <color rgb="FF666666"/>
      <name val="Arial"/>
    </font>
    <font>
      <b/>
      <sz val="11"/>
      <color theme="1"/>
      <name val="Calibri"/>
      <family val="2"/>
      <scheme val="minor"/>
    </font>
    <font>
      <sz val="12"/>
      <color theme="1"/>
      <name val="Times New Roman"/>
      <family val="1"/>
    </font>
    <font>
      <sz val="10"/>
      <color rgb="FF111827"/>
      <name val="Arial"/>
      <family val="2"/>
    </font>
  </fonts>
  <fills count="12">
    <fill>
      <patternFill patternType="none"/>
    </fill>
    <fill>
      <patternFill patternType="gray125"/>
    </fill>
    <fill>
      <patternFill patternType="solid">
        <fgColor rgb="FF0F172A"/>
        <bgColor rgb="FF0F172A"/>
      </patternFill>
    </fill>
    <fill>
      <patternFill patternType="solid">
        <fgColor rgb="FF1E3A5F"/>
        <bgColor rgb="FF1E3A5F"/>
      </patternFill>
    </fill>
    <fill>
      <patternFill patternType="solid">
        <fgColor rgb="FFFCE5CD"/>
        <bgColor rgb="FFFCE5CD"/>
      </patternFill>
    </fill>
    <fill>
      <patternFill patternType="solid">
        <fgColor rgb="FFFFFFFF"/>
        <bgColor rgb="FFFFFFFF"/>
      </patternFill>
    </fill>
    <fill>
      <patternFill patternType="solid">
        <fgColor rgb="FFDBEAFE"/>
        <bgColor rgb="FFDBEAFE"/>
      </patternFill>
    </fill>
    <fill>
      <patternFill patternType="solid">
        <fgColor rgb="FF1E293B"/>
        <bgColor rgb="FF1E293B"/>
      </patternFill>
    </fill>
    <fill>
      <patternFill patternType="solid">
        <fgColor rgb="FFFEF3C7"/>
        <bgColor rgb="FFFEF3C7"/>
      </patternFill>
    </fill>
    <fill>
      <patternFill patternType="solid">
        <fgColor rgb="FFFEE2E2"/>
        <bgColor rgb="FFFEE2E2"/>
      </patternFill>
    </fill>
    <fill>
      <patternFill patternType="solid">
        <fgColor rgb="FFF3F4F6"/>
        <bgColor rgb="FFF3F4F6"/>
      </patternFill>
    </fill>
    <fill>
      <patternFill patternType="solid">
        <fgColor rgb="FF0F1E2F"/>
        <bgColor rgb="FF0F1E2F"/>
      </patternFill>
    </fill>
  </fills>
  <borders count="9">
    <border>
      <left/>
      <right/>
      <top/>
      <bottom/>
      <diagonal/>
    </border>
    <border>
      <left/>
      <right/>
      <top/>
      <bottom/>
      <diagonal/>
    </border>
    <border>
      <left/>
      <right/>
      <top/>
      <bottom/>
      <diagonal/>
    </border>
    <border>
      <left/>
      <right/>
      <top/>
      <bottom/>
      <diagonal/>
    </border>
    <border>
      <left/>
      <right style="thin">
        <color rgb="FFD1D5DB"/>
      </right>
      <top style="thin">
        <color rgb="FFD1D5DB"/>
      </top>
      <bottom/>
      <diagonal/>
    </border>
    <border>
      <left style="thin">
        <color rgb="FFD1D5DB"/>
      </left>
      <right style="thin">
        <color rgb="FFD1D5DB"/>
      </right>
      <top/>
      <bottom style="thin">
        <color rgb="FFD1D5DB"/>
      </bottom>
      <diagonal/>
    </border>
    <border>
      <left/>
      <right style="thin">
        <color rgb="FFD1D5DB"/>
      </right>
      <top/>
      <bottom style="thin">
        <color rgb="FFD1D5DB"/>
      </bottom>
      <diagonal/>
    </border>
    <border>
      <left style="thin">
        <color rgb="FFD1D5DB"/>
      </left>
      <right style="thin">
        <color rgb="FFD1D5DB"/>
      </right>
      <top style="thin">
        <color rgb="FFD1D5DB"/>
      </top>
      <bottom style="thin">
        <color rgb="FFD1D5DB"/>
      </bottom>
      <diagonal/>
    </border>
    <border>
      <left/>
      <right style="thin">
        <color rgb="FFD1D5DB"/>
      </right>
      <top/>
      <bottom/>
      <diagonal/>
    </border>
  </borders>
  <cellStyleXfs count="1">
    <xf numFmtId="0" fontId="0" fillId="0" borderId="0"/>
  </cellStyleXfs>
  <cellXfs count="65">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center" vertical="center" wrapText="1"/>
    </xf>
    <xf numFmtId="0" fontId="4" fillId="4" borderId="0" xfId="0" applyFont="1" applyFill="1" applyAlignment="1">
      <alignment horizontal="center" vertical="center"/>
    </xf>
    <xf numFmtId="0" fontId="3" fillId="3" borderId="5" xfId="0" applyFont="1" applyFill="1" applyBorder="1" applyAlignment="1">
      <alignment horizontal="center" vertical="center"/>
    </xf>
    <xf numFmtId="0" fontId="3" fillId="3" borderId="5" xfId="0" applyFont="1" applyFill="1" applyBorder="1" applyAlignment="1">
      <alignment horizontal="center" vertical="center" wrapText="1"/>
    </xf>
    <xf numFmtId="0" fontId="5" fillId="3" borderId="5" xfId="0" applyFont="1" applyFill="1" applyBorder="1" applyAlignment="1">
      <alignment horizontal="center" vertical="center"/>
    </xf>
    <xf numFmtId="0" fontId="3" fillId="3" borderId="6" xfId="0" applyFont="1" applyFill="1" applyBorder="1" applyAlignment="1">
      <alignment horizontal="center" vertical="center"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xf numFmtId="0" fontId="9" fillId="0" borderId="0" xfId="0" applyFont="1" applyAlignment="1">
      <alignment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xf numFmtId="0" fontId="13" fillId="5" borderId="0" xfId="0" applyFont="1" applyFill="1" applyAlignment="1">
      <alignment horizontal="left" wrapText="1"/>
    </xf>
    <xf numFmtId="0" fontId="14" fillId="0" borderId="0" xfId="0" applyFont="1" applyAlignment="1">
      <alignment vertical="top" wrapText="1"/>
    </xf>
    <xf numFmtId="0" fontId="15" fillId="0" borderId="0" xfId="0" applyFont="1" applyAlignment="1">
      <alignment wrapText="1"/>
    </xf>
    <xf numFmtId="0" fontId="16" fillId="0" borderId="0" xfId="0" applyFont="1" applyAlignment="1">
      <alignment vertical="top" wrapText="1"/>
    </xf>
    <xf numFmtId="0" fontId="17" fillId="0" borderId="0" xfId="0" applyFont="1"/>
    <xf numFmtId="0" fontId="17" fillId="0" borderId="0" xfId="0" applyFont="1" applyAlignment="1">
      <alignment wrapText="1"/>
    </xf>
    <xf numFmtId="0" fontId="18" fillId="0" borderId="0" xfId="0" applyFont="1"/>
    <xf numFmtId="0" fontId="19" fillId="0" borderId="0" xfId="0" applyFont="1" applyAlignment="1">
      <alignment wrapText="1"/>
    </xf>
    <xf numFmtId="0" fontId="20" fillId="0" borderId="0" xfId="0" applyFont="1"/>
    <xf numFmtId="0" fontId="8" fillId="0" borderId="0" xfId="0" applyFont="1" applyAlignment="1">
      <alignment wrapText="1"/>
    </xf>
    <xf numFmtId="0" fontId="21" fillId="0" borderId="0" xfId="0" applyFont="1"/>
    <xf numFmtId="0" fontId="3" fillId="3" borderId="7" xfId="0" applyFont="1" applyFill="1" applyBorder="1" applyAlignment="1">
      <alignment horizontal="center" vertical="center" wrapText="1"/>
    </xf>
    <xf numFmtId="0" fontId="3" fillId="2" borderId="7" xfId="0" applyFont="1" applyFill="1" applyBorder="1" applyAlignment="1">
      <alignment horizontal="center" vertical="center"/>
    </xf>
    <xf numFmtId="0" fontId="23" fillId="0" borderId="0" xfId="0" applyFont="1"/>
    <xf numFmtId="0" fontId="24" fillId="6" borderId="7" xfId="0" applyFont="1" applyFill="1" applyBorder="1" applyAlignment="1">
      <alignment horizontal="center" vertical="top"/>
    </xf>
    <xf numFmtId="0" fontId="25" fillId="6" borderId="7" xfId="0" applyFont="1" applyFill="1" applyBorder="1" applyAlignment="1">
      <alignment horizontal="left" vertical="top"/>
    </xf>
    <xf numFmtId="0" fontId="24" fillId="6" borderId="7" xfId="0" applyFont="1" applyFill="1" applyBorder="1" applyAlignment="1">
      <alignment horizontal="center" vertical="center"/>
    </xf>
    <xf numFmtId="0" fontId="3" fillId="7" borderId="7" xfId="0" applyFont="1" applyFill="1" applyBorder="1" applyAlignment="1">
      <alignment horizontal="center" vertical="top"/>
    </xf>
    <xf numFmtId="10" fontId="8" fillId="0" borderId="0" xfId="0" applyNumberFormat="1" applyFont="1"/>
    <xf numFmtId="0" fontId="24" fillId="8" borderId="7" xfId="0" applyFont="1" applyFill="1" applyBorder="1" applyAlignment="1">
      <alignment horizontal="center" vertical="top"/>
    </xf>
    <xf numFmtId="0" fontId="25" fillId="8" borderId="7" xfId="0" applyFont="1" applyFill="1" applyBorder="1" applyAlignment="1">
      <alignment horizontal="left" vertical="top"/>
    </xf>
    <xf numFmtId="0" fontId="24" fillId="8" borderId="7" xfId="0" applyFont="1" applyFill="1" applyBorder="1" applyAlignment="1">
      <alignment horizontal="center" vertical="center"/>
    </xf>
    <xf numFmtId="0" fontId="24" fillId="9" borderId="7" xfId="0" applyFont="1" applyFill="1" applyBorder="1" applyAlignment="1">
      <alignment horizontal="center" vertical="top"/>
    </xf>
    <xf numFmtId="0" fontId="25" fillId="9" borderId="7" xfId="0" applyFont="1" applyFill="1" applyBorder="1" applyAlignment="1">
      <alignment horizontal="left" vertical="top"/>
    </xf>
    <xf numFmtId="0" fontId="24" fillId="9" borderId="7" xfId="0" applyFont="1" applyFill="1" applyBorder="1" applyAlignment="1">
      <alignment horizontal="center" vertical="center"/>
    </xf>
    <xf numFmtId="0" fontId="24" fillId="10" borderId="7" xfId="0" applyFont="1" applyFill="1" applyBorder="1" applyAlignment="1">
      <alignment horizontal="center" vertical="top"/>
    </xf>
    <xf numFmtId="0" fontId="25" fillId="10" borderId="7" xfId="0" applyFont="1" applyFill="1" applyBorder="1" applyAlignment="1">
      <alignment horizontal="left" vertical="top"/>
    </xf>
    <xf numFmtId="0" fontId="24" fillId="10" borderId="7" xfId="0" applyFont="1" applyFill="1" applyBorder="1" applyAlignment="1">
      <alignment horizontal="center" vertical="center"/>
    </xf>
    <xf numFmtId="0" fontId="3" fillId="2" borderId="7" xfId="0" applyFont="1" applyFill="1" applyBorder="1" applyAlignment="1">
      <alignment horizontal="left" vertical="center"/>
    </xf>
    <xf numFmtId="0" fontId="26" fillId="11" borderId="7"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7" xfId="0" applyFont="1" applyFill="1" applyBorder="1" applyAlignment="1">
      <alignment horizontal="left" vertical="center"/>
    </xf>
    <xf numFmtId="0" fontId="27" fillId="5" borderId="7" xfId="0" applyFont="1" applyFill="1" applyBorder="1" applyAlignment="1">
      <alignment horizontal="center" vertical="center"/>
    </xf>
    <xf numFmtId="0" fontId="4" fillId="4" borderId="0" xfId="0" applyFont="1" applyFill="1" applyAlignment="1">
      <alignment horizontal="center" vertical="center"/>
    </xf>
    <xf numFmtId="0" fontId="0" fillId="0" borderId="0" xfId="0"/>
    <xf numFmtId="0" fontId="2" fillId="2" borderId="1" xfId="0" applyFont="1" applyFill="1" applyBorder="1" applyAlignment="1">
      <alignment horizontal="center" vertical="center"/>
    </xf>
    <xf numFmtId="0" fontId="22" fillId="0" borderId="2" xfId="0" applyFont="1" applyBorder="1"/>
    <xf numFmtId="0" fontId="22" fillId="0" borderId="3" xfId="0" applyFont="1" applyBorder="1"/>
    <xf numFmtId="0" fontId="31" fillId="0" borderId="0" xfId="0" applyFont="1"/>
    <xf numFmtId="0" fontId="32" fillId="6" borderId="7" xfId="0" applyFont="1" applyFill="1" applyBorder="1" applyAlignment="1">
      <alignment horizontal="left" vertical="top"/>
    </xf>
    <xf numFmtId="0" fontId="31" fillId="0" borderId="0" xfId="0" applyFont="1" applyAlignment="1">
      <alignment horizontal="left" vertical="center" indent="4"/>
    </xf>
    <xf numFmtId="0" fontId="1" fillId="0" borderId="0" xfId="0" applyFont="1"/>
    <xf numFmtId="0" fontId="0" fillId="0" borderId="0" xfId="0" applyAlignment="1">
      <alignment horizontal="center" wrapText="1"/>
    </xf>
    <xf numFmtId="0" fontId="30" fillId="0" borderId="0" xfId="0" applyFont="1"/>
    <xf numFmtId="0" fontId="32" fillId="8" borderId="7" xfId="0" applyFont="1" applyFill="1" applyBorder="1" applyAlignment="1">
      <alignment horizontal="left" vertical="top"/>
    </xf>
    <xf numFmtId="0" fontId="31" fillId="0" borderId="0" xfId="0" applyFont="1" applyAlignment="1">
      <alignment horizontal="center" vertical="center" wrapText="1"/>
    </xf>
    <xf numFmtId="0" fontId="31" fillId="0" borderId="8" xfId="0" applyFont="1" applyBorder="1" applyAlignment="1">
      <alignment horizontal="center" vertical="center" wrapText="1"/>
    </xf>
    <xf numFmtId="0" fontId="1" fillId="0"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i="0">
                <a:solidFill>
                  <a:srgbClr val="757575"/>
                </a:solidFill>
                <a:latin typeface="Arial"/>
              </a:defRPr>
            </a:pPr>
            <a:r>
              <a:rPr lang="en-GB" sz="1300" b="0" i="0">
                <a:solidFill>
                  <a:srgbClr val="757575"/>
                </a:solidFill>
                <a:latin typeface="Arial"/>
              </a:rPr>
              <a:t>Code Applications by Dimension × Speech</a:t>
            </a:r>
          </a:p>
        </c:rich>
      </c:tx>
      <c:overlay val="0"/>
    </c:title>
    <c:autoTitleDeleted val="0"/>
    <c:plotArea>
      <c:layout/>
      <c:barChart>
        <c:barDir val="col"/>
        <c:grouping val="stacked"/>
        <c:varyColors val="1"/>
        <c:ser>
          <c:idx val="0"/>
          <c:order val="0"/>
          <c:tx>
            <c:v>D1.1</c:v>
          </c:tx>
          <c:spPr>
            <a:solidFill>
              <a:srgbClr val="3B82F6"/>
            </a:solidFill>
            <a:ln cmpd="sng">
              <a:solidFill>
                <a:srgbClr val="000000"/>
              </a:solidFill>
            </a:ln>
          </c:spPr>
          <c:invertIfNegative val="1"/>
          <c:cat>
            <c:strRef>
              <c:f>'Freq — By Dimension'!$C$2:$K$2</c:f>
              <c:strCache>
                <c:ptCount val="9"/>
                <c:pt idx="0">
                  <c:v>Debate Presidencial 2023</c:v>
                </c:pt>
                <c:pt idx="1">
                  <c:v>WEF Davos 2024</c:v>
                </c:pt>
                <c:pt idx="2">
                  <c:v>UN General Assembly 79th</c:v>
                </c:pt>
                <c:pt idx="3">
                  <c:v>WEF Davos 2025</c:v>
                </c:pt>
                <c:pt idx="4">
                  <c:v>UN General Assembly 80th</c:v>
                </c:pt>
                <c:pt idx="5">
                  <c:v>WEF Davos 2026</c:v>
                </c:pt>
                <c:pt idx="6">
                  <c:v>Apertura 142 (2024)</c:v>
                </c:pt>
                <c:pt idx="7">
                  <c:v>Apertura 143 (2025)</c:v>
                </c:pt>
                <c:pt idx="8">
                  <c:v>Apertura 144 (2026)</c:v>
                </c:pt>
              </c:strCache>
            </c:strRef>
          </c:cat>
          <c:val>
            <c:numRef>
              <c:f>'Freq — By Dimension'!$C$3:$K$3</c:f>
              <c:numCache>
                <c:formatCode>General</c:formatCode>
                <c:ptCount val="9"/>
                <c:pt idx="0">
                  <c:v>1</c:v>
                </c:pt>
                <c:pt idx="1">
                  <c:v>13</c:v>
                </c:pt>
                <c:pt idx="2">
                  <c:v>8</c:v>
                </c:pt>
                <c:pt idx="3">
                  <c:v>7</c:v>
                </c:pt>
                <c:pt idx="4">
                  <c:v>8</c:v>
                </c:pt>
                <c:pt idx="5">
                  <c:v>5</c:v>
                </c:pt>
                <c:pt idx="6">
                  <c:v>3</c:v>
                </c:pt>
                <c:pt idx="7">
                  <c:v>7</c:v>
                </c:pt>
                <c:pt idx="8">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D8D-4A54-AD76-D9668ABFF031}"/>
            </c:ext>
          </c:extLst>
        </c:ser>
        <c:ser>
          <c:idx val="1"/>
          <c:order val="1"/>
          <c:tx>
            <c:v>D1.2</c:v>
          </c:tx>
          <c:spPr>
            <a:solidFill>
              <a:srgbClr val="F59E0B"/>
            </a:solidFill>
            <a:ln cmpd="sng">
              <a:solidFill>
                <a:srgbClr val="000000"/>
              </a:solidFill>
            </a:ln>
          </c:spPr>
          <c:invertIfNegative val="1"/>
          <c:cat>
            <c:strRef>
              <c:f>'Freq — By Dimension'!$C$2:$K$2</c:f>
              <c:strCache>
                <c:ptCount val="9"/>
                <c:pt idx="0">
                  <c:v>Debate Presidencial 2023</c:v>
                </c:pt>
                <c:pt idx="1">
                  <c:v>WEF Davos 2024</c:v>
                </c:pt>
                <c:pt idx="2">
                  <c:v>UN General Assembly 79th</c:v>
                </c:pt>
                <c:pt idx="3">
                  <c:v>WEF Davos 2025</c:v>
                </c:pt>
                <c:pt idx="4">
                  <c:v>UN General Assembly 80th</c:v>
                </c:pt>
                <c:pt idx="5">
                  <c:v>WEF Davos 2026</c:v>
                </c:pt>
                <c:pt idx="6">
                  <c:v>Apertura 142 (2024)</c:v>
                </c:pt>
                <c:pt idx="7">
                  <c:v>Apertura 143 (2025)</c:v>
                </c:pt>
                <c:pt idx="8">
                  <c:v>Apertura 144 (2026)</c:v>
                </c:pt>
              </c:strCache>
            </c:strRef>
          </c:cat>
          <c:val>
            <c:numRef>
              <c:f>'Freq — By Dimension'!$C$4:$K$4</c:f>
              <c:numCache>
                <c:formatCode>General</c:formatCode>
                <c:ptCount val="9"/>
                <c:pt idx="0">
                  <c:v>2</c:v>
                </c:pt>
                <c:pt idx="1">
                  <c:v>3</c:v>
                </c:pt>
                <c:pt idx="2">
                  <c:v>1</c:v>
                </c:pt>
                <c:pt idx="3">
                  <c:v>5</c:v>
                </c:pt>
                <c:pt idx="4">
                  <c:v>2</c:v>
                </c:pt>
                <c:pt idx="5">
                  <c:v>0</c:v>
                </c:pt>
                <c:pt idx="6">
                  <c:v>1</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D8D-4A54-AD76-D9668ABFF031}"/>
            </c:ext>
          </c:extLst>
        </c:ser>
        <c:ser>
          <c:idx val="2"/>
          <c:order val="2"/>
          <c:tx>
            <c:v>D1.3</c:v>
          </c:tx>
          <c:spPr>
            <a:solidFill>
              <a:srgbClr val="EF4444"/>
            </a:solidFill>
            <a:ln cmpd="sng">
              <a:solidFill>
                <a:srgbClr val="000000"/>
              </a:solidFill>
            </a:ln>
          </c:spPr>
          <c:invertIfNegative val="1"/>
          <c:cat>
            <c:strRef>
              <c:f>'Freq — By Dimension'!$C$2:$K$2</c:f>
              <c:strCache>
                <c:ptCount val="9"/>
                <c:pt idx="0">
                  <c:v>Debate Presidencial 2023</c:v>
                </c:pt>
                <c:pt idx="1">
                  <c:v>WEF Davos 2024</c:v>
                </c:pt>
                <c:pt idx="2">
                  <c:v>UN General Assembly 79th</c:v>
                </c:pt>
                <c:pt idx="3">
                  <c:v>WEF Davos 2025</c:v>
                </c:pt>
                <c:pt idx="4">
                  <c:v>UN General Assembly 80th</c:v>
                </c:pt>
                <c:pt idx="5">
                  <c:v>WEF Davos 2026</c:v>
                </c:pt>
                <c:pt idx="6">
                  <c:v>Apertura 142 (2024)</c:v>
                </c:pt>
                <c:pt idx="7">
                  <c:v>Apertura 143 (2025)</c:v>
                </c:pt>
                <c:pt idx="8">
                  <c:v>Apertura 144 (2026)</c:v>
                </c:pt>
              </c:strCache>
            </c:strRef>
          </c:cat>
          <c:val>
            <c:numRef>
              <c:f>'Freq — By Dimension'!$C$5:$K$5</c:f>
              <c:numCache>
                <c:formatCode>General</c:formatCode>
                <c:ptCount val="9"/>
                <c:pt idx="0">
                  <c:v>0</c:v>
                </c:pt>
                <c:pt idx="1">
                  <c:v>3</c:v>
                </c:pt>
                <c:pt idx="2">
                  <c:v>4</c:v>
                </c:pt>
                <c:pt idx="3">
                  <c:v>7</c:v>
                </c:pt>
                <c:pt idx="4">
                  <c:v>1</c:v>
                </c:pt>
                <c:pt idx="5">
                  <c:v>2</c:v>
                </c:pt>
                <c:pt idx="6">
                  <c:v>0</c:v>
                </c:pt>
                <c:pt idx="7">
                  <c:v>1</c:v>
                </c:pt>
                <c:pt idx="8">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D8D-4A54-AD76-D9668ABFF031}"/>
            </c:ext>
          </c:extLst>
        </c:ser>
        <c:ser>
          <c:idx val="3"/>
          <c:order val="3"/>
          <c:tx>
            <c:v>IND</c:v>
          </c:tx>
          <c:spPr>
            <a:solidFill>
              <a:srgbClr val="9CA3AF"/>
            </a:solidFill>
            <a:ln cmpd="sng">
              <a:solidFill>
                <a:srgbClr val="000000"/>
              </a:solidFill>
            </a:ln>
          </c:spPr>
          <c:invertIfNegative val="1"/>
          <c:cat>
            <c:strRef>
              <c:f>'Freq — By Dimension'!$C$2:$K$2</c:f>
              <c:strCache>
                <c:ptCount val="9"/>
                <c:pt idx="0">
                  <c:v>Debate Presidencial 2023</c:v>
                </c:pt>
                <c:pt idx="1">
                  <c:v>WEF Davos 2024</c:v>
                </c:pt>
                <c:pt idx="2">
                  <c:v>UN General Assembly 79th</c:v>
                </c:pt>
                <c:pt idx="3">
                  <c:v>WEF Davos 2025</c:v>
                </c:pt>
                <c:pt idx="4">
                  <c:v>UN General Assembly 80th</c:v>
                </c:pt>
                <c:pt idx="5">
                  <c:v>WEF Davos 2026</c:v>
                </c:pt>
                <c:pt idx="6">
                  <c:v>Apertura 142 (2024)</c:v>
                </c:pt>
                <c:pt idx="7">
                  <c:v>Apertura 143 (2025)</c:v>
                </c:pt>
                <c:pt idx="8">
                  <c:v>Apertura 144 (2026)</c:v>
                </c:pt>
              </c:strCache>
            </c:strRef>
          </c:cat>
          <c:val>
            <c:numRef>
              <c:f>'Freq — By Dimension'!$C$6:$H$6</c:f>
              <c:numCache>
                <c:formatCode>General</c:formatCode>
                <c:ptCount val="6"/>
                <c:pt idx="0">
                  <c:v>1</c:v>
                </c:pt>
                <c:pt idx="1">
                  <c:v>1</c:v>
                </c:pt>
                <c:pt idx="2">
                  <c:v>0</c:v>
                </c:pt>
                <c:pt idx="3">
                  <c:v>1</c:v>
                </c:pt>
                <c:pt idx="4">
                  <c:v>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D8D-4A54-AD76-D9668ABFF031}"/>
            </c:ext>
          </c:extLst>
        </c:ser>
        <c:dLbls>
          <c:showLegendKey val="0"/>
          <c:showVal val="0"/>
          <c:showCatName val="0"/>
          <c:showSerName val="0"/>
          <c:showPercent val="0"/>
          <c:showBubbleSize val="0"/>
        </c:dLbls>
        <c:gapWidth val="150"/>
        <c:overlap val="100"/>
        <c:axId val="860082584"/>
        <c:axId val="1359312038"/>
      </c:barChart>
      <c:catAx>
        <c:axId val="860082584"/>
        <c:scaling>
          <c:orientation val="minMax"/>
        </c:scaling>
        <c:delete val="0"/>
        <c:axPos val="b"/>
        <c:title>
          <c:tx>
            <c:rich>
              <a:bodyPr/>
              <a:lstStyle/>
              <a:p>
                <a:pPr lvl="0">
                  <a:defRPr sz="1300" b="0" i="0">
                    <a:solidFill>
                      <a:srgbClr val="000000"/>
                    </a:solidFill>
                    <a:latin typeface="Arial"/>
                  </a:defRPr>
                </a:pPr>
                <a:r>
                  <a:rPr lang="en-GB" sz="1300" b="0" i="0">
                    <a:solidFill>
                      <a:srgbClr val="000000"/>
                    </a:solidFill>
                    <a:latin typeface="Arial"/>
                  </a:rPr>
                  <a:t>Speech</a:t>
                </a:r>
              </a:p>
            </c:rich>
          </c:tx>
          <c:overlay val="0"/>
        </c:title>
        <c:numFmt formatCode="General" sourceLinked="1"/>
        <c:majorTickMark val="none"/>
        <c:minorTickMark val="none"/>
        <c:tickLblPos val="nextTo"/>
        <c:txPr>
          <a:bodyPr/>
          <a:lstStyle/>
          <a:p>
            <a:pPr lvl="0">
              <a:defRPr sz="1000" b="0" i="0">
                <a:solidFill>
                  <a:srgbClr val="000000"/>
                </a:solidFill>
                <a:latin typeface="Calibri"/>
              </a:defRPr>
            </a:pPr>
            <a:endParaRPr lang="en-US"/>
          </a:p>
        </c:txPr>
        <c:crossAx val="1359312038"/>
        <c:crosses val="autoZero"/>
        <c:auto val="1"/>
        <c:lblAlgn val="ctr"/>
        <c:lblOffset val="100"/>
        <c:noMultiLvlLbl val="1"/>
      </c:catAx>
      <c:valAx>
        <c:axId val="1359312038"/>
        <c:scaling>
          <c:orientation val="minMax"/>
        </c:scaling>
        <c:delete val="0"/>
        <c:axPos val="l"/>
        <c:majorGridlines>
          <c:spPr>
            <a:ln>
              <a:solidFill>
                <a:srgbClr val="B7B7B7"/>
              </a:solidFill>
            </a:ln>
          </c:spPr>
        </c:majorGridlines>
        <c:title>
          <c:tx>
            <c:rich>
              <a:bodyPr/>
              <a:lstStyle/>
              <a:p>
                <a:pPr lvl="0">
                  <a:defRPr sz="1300" b="0" i="0">
                    <a:solidFill>
                      <a:srgbClr val="000000"/>
                    </a:solidFill>
                    <a:latin typeface="Arial"/>
                  </a:defRPr>
                </a:pPr>
                <a:r>
                  <a:rPr lang="en-GB" sz="1300" b="0" i="0">
                    <a:solidFill>
                      <a:srgbClr val="000000"/>
                    </a:solidFill>
                    <a:latin typeface="Arial"/>
                  </a:rPr>
                  <a:t>Coded passages</a:t>
                </a:r>
              </a:p>
            </c:rich>
          </c:tx>
          <c:overlay val="0"/>
        </c:title>
        <c:numFmt formatCode="General" sourceLinked="1"/>
        <c:majorTickMark val="none"/>
        <c:minorTickMark val="none"/>
        <c:tickLblPos val="nextTo"/>
        <c:spPr>
          <a:ln/>
        </c:spPr>
        <c:txPr>
          <a:bodyPr/>
          <a:lstStyle/>
          <a:p>
            <a:pPr lvl="0">
              <a:defRPr sz="1000" b="0" i="0">
                <a:solidFill>
                  <a:srgbClr val="000000"/>
                </a:solidFill>
                <a:latin typeface="Calibri"/>
              </a:defRPr>
            </a:pPr>
            <a:endParaRPr lang="en-US"/>
          </a:p>
        </c:txPr>
        <c:crossAx val="860082584"/>
        <c:crosses val="autoZero"/>
        <c:crossBetween val="between"/>
      </c:valAx>
    </c:plotArea>
    <c:legend>
      <c:legendPos val="b"/>
      <c:overlay val="0"/>
      <c:txPr>
        <a:bodyPr/>
        <a:lstStyle/>
        <a:p>
          <a:pPr lvl="0">
            <a:defRPr sz="1000" b="0" i="0">
              <a:solidFill>
                <a:srgbClr val="00000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GB" sz="1400" b="0" i="0">
                <a:solidFill>
                  <a:srgbClr val="757575"/>
                </a:solidFill>
                <a:latin typeface="Calibri"/>
              </a:rPr>
              <a:t>Code total distribution</a:t>
            </a:r>
          </a:p>
        </c:rich>
      </c:tx>
      <c:overlay val="0"/>
    </c:title>
    <c:autoTitleDeleted val="0"/>
    <c:plotArea>
      <c:layout/>
      <c:pieChart>
        <c:varyColors val="1"/>
        <c:ser>
          <c:idx val="0"/>
          <c:order val="0"/>
          <c:tx>
            <c:strRef>
              <c:f>'Freq — By Dimension'!$P$2</c:f>
              <c:strCache>
                <c:ptCount val="1"/>
                <c:pt idx="0">
                  <c:v>Total</c:v>
                </c:pt>
              </c:strCache>
            </c:strRef>
          </c:tx>
          <c:dPt>
            <c:idx val="0"/>
            <c:bubble3D val="0"/>
            <c:spPr>
              <a:solidFill>
                <a:srgbClr val="3B82F6"/>
              </a:solidFill>
            </c:spPr>
            <c:extLst>
              <c:ext xmlns:c16="http://schemas.microsoft.com/office/drawing/2014/chart" uri="{C3380CC4-5D6E-409C-BE32-E72D297353CC}">
                <c16:uniqueId val="{00000001-86B0-43DE-88BA-D62E0E210460}"/>
              </c:ext>
            </c:extLst>
          </c:dPt>
          <c:dPt>
            <c:idx val="1"/>
            <c:bubble3D val="0"/>
            <c:spPr>
              <a:solidFill>
                <a:schemeClr val="accent6"/>
              </a:solidFill>
            </c:spPr>
            <c:extLst>
              <c:ext xmlns:c16="http://schemas.microsoft.com/office/drawing/2014/chart" uri="{C3380CC4-5D6E-409C-BE32-E72D297353CC}">
                <c16:uniqueId val="{00000003-86B0-43DE-88BA-D62E0E210460}"/>
              </c:ext>
            </c:extLst>
          </c:dPt>
          <c:dPt>
            <c:idx val="2"/>
            <c:bubble3D val="0"/>
            <c:spPr>
              <a:solidFill>
                <a:srgbClr val="FF0000"/>
              </a:solidFill>
            </c:spPr>
            <c:extLst>
              <c:ext xmlns:c16="http://schemas.microsoft.com/office/drawing/2014/chart" uri="{C3380CC4-5D6E-409C-BE32-E72D297353CC}">
                <c16:uniqueId val="{00000005-86B0-43DE-88BA-D62E0E210460}"/>
              </c:ext>
            </c:extLst>
          </c:dPt>
          <c:dPt>
            <c:idx val="3"/>
            <c:bubble3D val="0"/>
            <c:explosion val="1"/>
            <c:spPr>
              <a:solidFill>
                <a:srgbClr val="8064A2"/>
              </a:solidFill>
            </c:spPr>
            <c:extLst>
              <c:ext xmlns:c16="http://schemas.microsoft.com/office/drawing/2014/chart" uri="{C3380CC4-5D6E-409C-BE32-E72D297353CC}">
                <c16:uniqueId val="{00000007-86B0-43DE-88BA-D62E0E21046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'Freq — By Dimension'!$O$3:$O$8</c:f>
              <c:strCache>
                <c:ptCount val="6"/>
                <c:pt idx="0">
                  <c:v>D1.1</c:v>
                </c:pt>
                <c:pt idx="1">
                  <c:v>D1.2</c:v>
                </c:pt>
                <c:pt idx="2">
                  <c:v>D1.3</c:v>
                </c:pt>
                <c:pt idx="3">
                  <c:v>IND</c:v>
                </c:pt>
                <c:pt idx="5">
                  <c:v>TOT</c:v>
                </c:pt>
              </c:strCache>
            </c:strRef>
          </c:cat>
          <c:val>
            <c:numRef>
              <c:f>'Freq — By Dimension'!$P$3:$P$6</c:f>
              <c:numCache>
                <c:formatCode>General</c:formatCode>
                <c:ptCount val="4"/>
                <c:pt idx="0">
                  <c:v>59</c:v>
                </c:pt>
                <c:pt idx="1">
                  <c:v>14</c:v>
                </c:pt>
                <c:pt idx="2">
                  <c:v>21</c:v>
                </c:pt>
                <c:pt idx="3">
                  <c:v>6</c:v>
                </c:pt>
              </c:numCache>
            </c:numRef>
          </c:val>
          <c:extLst>
            <c:ext xmlns:c16="http://schemas.microsoft.com/office/drawing/2014/chart" uri="{C3380CC4-5D6E-409C-BE32-E72D297353CC}">
              <c16:uniqueId val="{00000008-86B0-43DE-88BA-D62E0E21046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i="0">
                <a:solidFill>
                  <a:srgbClr val="757575"/>
                </a:solidFill>
                <a:latin typeface="Arial"/>
              </a:defRPr>
            </a:pPr>
            <a:r>
              <a:rPr lang="en-GB" sz="1300" b="0" i="0">
                <a:solidFill>
                  <a:srgbClr val="757575"/>
                </a:solidFill>
                <a:latin typeface="Arial"/>
              </a:rPr>
              <a:t>Total Appearances per Sub-code</a:t>
            </a:r>
          </a:p>
        </c:rich>
      </c:tx>
      <c:overlay val="0"/>
    </c:title>
    <c:autoTitleDeleted val="0"/>
    <c:plotArea>
      <c:layout/>
      <c:barChart>
        <c:barDir val="bar"/>
        <c:grouping val="clustered"/>
        <c:varyColors val="1"/>
        <c:ser>
          <c:idx val="0"/>
          <c:order val="0"/>
          <c:tx>
            <c:v>Total</c:v>
          </c:tx>
          <c:spPr>
            <a:solidFill>
              <a:srgbClr val="4F81BD"/>
            </a:solidFill>
            <a:ln cmpd="sng">
              <a:solidFill>
                <a:srgbClr val="000000"/>
              </a:solidFill>
            </a:ln>
          </c:spPr>
          <c:invertIfNegative val="1"/>
          <c:cat>
            <c:strRef>
              <c:f>'Freq — By Sub-code'!$N$3:$N$22</c:f>
              <c:strCache>
                <c:ptCount val="18"/>
                <c:pt idx="0">
                  <c:v>D1.1·Anti-Casta (Eli</c:v>
                </c:pt>
                <c:pt idx="1">
                  <c:v>D1.1·Anti-State / An</c:v>
                </c:pt>
                <c:pt idx="2">
                  <c:v>D1.1·Delegitimizatio</c:v>
                </c:pt>
                <c:pt idx="3">
                  <c:v>D1.1·Deregulation Be</c:v>
                </c:pt>
                <c:pt idx="4">
                  <c:v>D1.1·Market Primacy</c:v>
                </c:pt>
                <c:pt idx="5">
                  <c:v>D1.1·Rejection of Mu</c:v>
                </c:pt>
                <c:pt idx="6">
                  <c:v>D1.1·Sustainability </c:v>
                </c:pt>
                <c:pt idx="7">
                  <c:v>D1.2·Attack on Exper</c:v>
                </c:pt>
                <c:pt idx="8">
                  <c:v>D1.2·Attack on Unive</c:v>
                </c:pt>
                <c:pt idx="9">
                  <c:v>D1.2·Climate Skeptic</c:v>
                </c:pt>
                <c:pt idx="10">
                  <c:v>D1.2·Pseudo-Science </c:v>
                </c:pt>
                <c:pt idx="11">
                  <c:v>D1.2·Rejection of Ex</c:v>
                </c:pt>
                <c:pt idx="12">
                  <c:v>D1.3·Civilizational </c:v>
                </c:pt>
                <c:pt idx="13">
                  <c:v>D1.3·Neo-Marxism</c:v>
                </c:pt>
                <c:pt idx="14">
                  <c:v>D1.3·Woke Bundling</c:v>
                </c:pt>
                <c:pt idx="15">
                  <c:v>IND·Reported Denial</c:v>
                </c:pt>
                <c:pt idx="16">
                  <c:v>IND·Selective Empir</c:v>
                </c:pt>
                <c:pt idx="17">
                  <c:v>IND·Temporal Approp</c:v>
                </c:pt>
              </c:strCache>
            </c:strRef>
          </c:cat>
          <c:val>
            <c:numRef>
              <c:f>'Freq — By Sub-code'!$O$3:$O$22</c:f>
              <c:numCache>
                <c:formatCode>General</c:formatCode>
                <c:ptCount val="20"/>
                <c:pt idx="0">
                  <c:v>5</c:v>
                </c:pt>
                <c:pt idx="1">
                  <c:v>6</c:v>
                </c:pt>
                <c:pt idx="2">
                  <c:v>9</c:v>
                </c:pt>
                <c:pt idx="3">
                  <c:v>10</c:v>
                </c:pt>
                <c:pt idx="4">
                  <c:v>7</c:v>
                </c:pt>
                <c:pt idx="5">
                  <c:v>15</c:v>
                </c:pt>
                <c:pt idx="6">
                  <c:v>7</c:v>
                </c:pt>
                <c:pt idx="7">
                  <c:v>5</c:v>
                </c:pt>
                <c:pt idx="8">
                  <c:v>3</c:v>
                </c:pt>
                <c:pt idx="9">
                  <c:v>2</c:v>
                </c:pt>
                <c:pt idx="10">
                  <c:v>3</c:v>
                </c:pt>
                <c:pt idx="11">
                  <c:v>1</c:v>
                </c:pt>
                <c:pt idx="12">
                  <c:v>9</c:v>
                </c:pt>
                <c:pt idx="13">
                  <c:v>6</c:v>
                </c:pt>
                <c:pt idx="14">
                  <c:v>6</c:v>
                </c:pt>
                <c:pt idx="15">
                  <c:v>1</c:v>
                </c:pt>
                <c:pt idx="16">
                  <c:v>2</c:v>
                </c:pt>
                <c:pt idx="17">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98-47E7-8188-FE39166B8811}"/>
            </c:ext>
          </c:extLst>
        </c:ser>
        <c:dLbls>
          <c:showLegendKey val="0"/>
          <c:showVal val="0"/>
          <c:showCatName val="0"/>
          <c:showSerName val="0"/>
          <c:showPercent val="0"/>
          <c:showBubbleSize val="0"/>
        </c:dLbls>
        <c:gapWidth val="150"/>
        <c:axId val="1917869740"/>
        <c:axId val="1968665422"/>
      </c:barChart>
      <c:catAx>
        <c:axId val="1917869740"/>
        <c:scaling>
          <c:orientation val="maxMin"/>
        </c:scaling>
        <c:delete val="0"/>
        <c:axPos val="l"/>
        <c:title>
          <c:tx>
            <c:rich>
              <a:bodyPr/>
              <a:lstStyle/>
              <a:p>
                <a:pPr lvl="0">
                  <a:defRPr sz="1300" b="0" i="0">
                    <a:solidFill>
                      <a:srgbClr val="000000"/>
                    </a:solidFill>
                    <a:latin typeface="Arial"/>
                  </a:defRPr>
                </a:pPr>
                <a:r>
                  <a:rPr lang="en-GB" sz="1300" b="0" i="0">
                    <a:solidFill>
                      <a:srgbClr val="000000"/>
                    </a:solidFill>
                    <a:latin typeface="Arial"/>
                  </a:rPr>
                  <a:t>Count</a:t>
                </a:r>
              </a:p>
            </c:rich>
          </c:tx>
          <c:overlay val="0"/>
        </c:title>
        <c:numFmt formatCode="General" sourceLinked="1"/>
        <c:majorTickMark val="none"/>
        <c:minorTickMark val="none"/>
        <c:tickLblPos val="nextTo"/>
        <c:txPr>
          <a:bodyPr/>
          <a:lstStyle/>
          <a:p>
            <a:pPr lvl="0">
              <a:defRPr sz="1000" b="0" i="0">
                <a:solidFill>
                  <a:srgbClr val="000000"/>
                </a:solidFill>
                <a:latin typeface="Calibri"/>
              </a:defRPr>
            </a:pPr>
            <a:endParaRPr lang="en-US"/>
          </a:p>
        </c:txPr>
        <c:crossAx val="1968665422"/>
        <c:crosses val="autoZero"/>
        <c:auto val="1"/>
        <c:lblAlgn val="ctr"/>
        <c:lblOffset val="100"/>
        <c:noMultiLvlLbl val="1"/>
      </c:catAx>
      <c:valAx>
        <c:axId val="1968665422"/>
        <c:scaling>
          <c:orientation val="minMax"/>
        </c:scaling>
        <c:delete val="0"/>
        <c:axPos val="b"/>
        <c:majorGridlines>
          <c:spPr>
            <a:ln>
              <a:solidFill>
                <a:srgbClr val="B7B7B7"/>
              </a:solidFill>
            </a:ln>
          </c:spPr>
        </c:majorGridlines>
        <c:title>
          <c:tx>
            <c:rich>
              <a:bodyPr/>
              <a:lstStyle/>
              <a:p>
                <a:pPr lvl="0">
                  <a:defRPr sz="1300" b="0" i="0">
                    <a:solidFill>
                      <a:srgbClr val="000000"/>
                    </a:solidFill>
                    <a:latin typeface="Arial"/>
                  </a:defRPr>
                </a:pPr>
                <a:r>
                  <a:rPr lang="en-GB" sz="1300" b="0" i="0">
                    <a:solidFill>
                      <a:srgbClr val="000000"/>
                    </a:solidFill>
                    <a:latin typeface="Arial"/>
                  </a:rPr>
                  <a:t>Sub-code</a:t>
                </a:r>
              </a:p>
            </c:rich>
          </c:tx>
          <c:overlay val="0"/>
        </c:title>
        <c:numFmt formatCode="General" sourceLinked="1"/>
        <c:majorTickMark val="none"/>
        <c:minorTickMark val="none"/>
        <c:tickLblPos val="nextTo"/>
        <c:spPr>
          <a:ln/>
        </c:spPr>
        <c:txPr>
          <a:bodyPr/>
          <a:lstStyle/>
          <a:p>
            <a:pPr lvl="0">
              <a:defRPr sz="1000" b="0" i="0">
                <a:solidFill>
                  <a:srgbClr val="000000"/>
                </a:solidFill>
                <a:latin typeface="Calibri"/>
              </a:defRPr>
            </a:pPr>
            <a:endParaRPr lang="en-US"/>
          </a:p>
        </c:txPr>
        <c:crossAx val="1917869740"/>
        <c:crosses val="max"/>
        <c:crossBetween val="between"/>
      </c:valAx>
    </c:plotArea>
    <c:legend>
      <c:legendPos val="b"/>
      <c:overlay val="0"/>
      <c:txPr>
        <a:bodyPr/>
        <a:lstStyle/>
        <a:p>
          <a:pPr lvl="0">
            <a:defRPr sz="1000" b="0" i="0">
              <a:solidFill>
                <a:srgbClr val="00000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8210550" cy="4791075"/>
    <xdr:graphicFrame macro="">
      <xdr:nvGraphicFramePr>
        <xdr:cNvPr id="544044687" name="Chart 1">
          <a:extLst>
            <a:ext uri="{FF2B5EF4-FFF2-40B4-BE49-F238E27FC236}">
              <a16:creationId xmlns:a16="http://schemas.microsoft.com/office/drawing/2014/main" id="{00000000-0008-0000-0100-00008F766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95250</xdr:colOff>
      <xdr:row>10</xdr:row>
      <xdr:rowOff>0</xdr:rowOff>
    </xdr:from>
    <xdr:ext cx="4305300" cy="2743200"/>
    <xdr:graphicFrame macro="">
      <xdr:nvGraphicFramePr>
        <xdr:cNvPr id="1194087352" name="Chart 2" title="Chart">
          <a:extLst>
            <a:ext uri="{FF2B5EF4-FFF2-40B4-BE49-F238E27FC236}">
              <a16:creationId xmlns:a16="http://schemas.microsoft.com/office/drawing/2014/main" id="{00000000-0008-0000-0100-0000B8532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25</xdr:row>
      <xdr:rowOff>0</xdr:rowOff>
    </xdr:from>
    <xdr:ext cx="9553575" cy="8210550"/>
    <xdr:graphicFrame macro="">
      <xdr:nvGraphicFramePr>
        <xdr:cNvPr id="934413621" name="Chart 3">
          <a:extLst>
            <a:ext uri="{FF2B5EF4-FFF2-40B4-BE49-F238E27FC236}">
              <a16:creationId xmlns:a16="http://schemas.microsoft.com/office/drawing/2014/main" id="{00000000-0008-0000-0200-00003505B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pane xSplit="4" ySplit="2" topLeftCell="G19" activePane="bottomRight" state="frozen"/>
      <selection pane="topRight" activeCell="E1" sqref="E1"/>
      <selection pane="bottomLeft" activeCell="A3" sqref="A3"/>
      <selection pane="bottomRight" activeCell="G22" sqref="G22"/>
    </sheetView>
  </sheetViews>
  <sheetFormatPr defaultColWidth="14.3984375" defaultRowHeight="15" customHeight="1"/>
  <cols>
    <col min="1" max="1" width="4" customWidth="1"/>
    <col min="2" max="2" width="10" customWidth="1"/>
    <col min="3" max="3" width="28" customWidth="1"/>
    <col min="4" max="4" width="40" customWidth="1"/>
    <col min="5" max="5" width="30" hidden="1" customWidth="1"/>
    <col min="6" max="6" width="55" customWidth="1"/>
    <col min="7" max="7" width="72" customWidth="1"/>
    <col min="8" max="8" width="30" customWidth="1"/>
    <col min="9" max="9" width="12" customWidth="1"/>
    <col min="10" max="10" width="18" customWidth="1"/>
    <col min="11" max="11" width="8.1328125" customWidth="1"/>
    <col min="12" max="14" width="20.86328125" customWidth="1"/>
    <col min="15" max="23" width="8.73046875" customWidth="1"/>
  </cols>
  <sheetData>
    <row r="1" spans="1:14" ht="30" customHeight="1">
      <c r="A1" s="1"/>
      <c r="B1" s="2"/>
      <c r="C1" s="2"/>
      <c r="D1" s="2"/>
      <c r="E1" s="2"/>
      <c r="F1" s="1" t="s">
        <v>0</v>
      </c>
      <c r="G1" s="2"/>
      <c r="H1" s="2"/>
      <c r="I1" s="2"/>
      <c r="J1" s="3"/>
      <c r="K1" s="4" t="s">
        <v>1</v>
      </c>
      <c r="L1" s="50" t="s">
        <v>2</v>
      </c>
      <c r="M1" s="51"/>
      <c r="N1" s="51"/>
    </row>
    <row r="2" spans="1:14" ht="25.5" customHeight="1">
      <c r="A2" s="6" t="s">
        <v>3</v>
      </c>
      <c r="B2" s="6" t="s">
        <v>4</v>
      </c>
      <c r="C2" s="6" t="s">
        <v>5</v>
      </c>
      <c r="D2" s="6" t="s">
        <v>6</v>
      </c>
      <c r="E2" s="6" t="s">
        <v>7</v>
      </c>
      <c r="F2" s="7" t="s">
        <v>8</v>
      </c>
      <c r="G2" s="8" t="s">
        <v>9</v>
      </c>
      <c r="H2" s="6" t="s">
        <v>10</v>
      </c>
      <c r="I2" s="6" t="s">
        <v>11</v>
      </c>
      <c r="J2" s="6" t="s">
        <v>12</v>
      </c>
      <c r="K2" s="9"/>
      <c r="L2" s="5" t="s">
        <v>13</v>
      </c>
      <c r="M2" s="5" t="s">
        <v>14</v>
      </c>
      <c r="N2" s="5" t="s">
        <v>15</v>
      </c>
    </row>
    <row r="3" spans="1:14" ht="84.75" customHeight="1">
      <c r="A3" s="10">
        <v>1</v>
      </c>
      <c r="B3" s="10" t="s">
        <v>16</v>
      </c>
      <c r="C3" s="10" t="s">
        <v>17</v>
      </c>
      <c r="D3" s="10" t="s">
        <v>18</v>
      </c>
      <c r="E3" s="10" t="s">
        <v>17</v>
      </c>
      <c r="F3" s="10" t="s">
        <v>19</v>
      </c>
      <c r="G3" s="11" t="s">
        <v>20</v>
      </c>
      <c r="H3" s="10" t="s">
        <v>21</v>
      </c>
      <c r="I3" s="10" t="s">
        <v>22</v>
      </c>
      <c r="J3" s="10" t="s">
        <v>23</v>
      </c>
      <c r="K3" s="12" t="b">
        <v>1</v>
      </c>
      <c r="L3" s="13" t="s">
        <v>24</v>
      </c>
      <c r="M3" s="13"/>
      <c r="N3" s="13" t="s">
        <v>24</v>
      </c>
    </row>
    <row r="4" spans="1:14" ht="84.75" customHeight="1">
      <c r="A4" s="10">
        <v>2</v>
      </c>
      <c r="B4" s="10" t="s">
        <v>25</v>
      </c>
      <c r="C4" s="10" t="s">
        <v>26</v>
      </c>
      <c r="D4" s="10" t="s">
        <v>27</v>
      </c>
      <c r="E4" s="10" t="s">
        <v>26</v>
      </c>
      <c r="F4" s="10" t="s">
        <v>19</v>
      </c>
      <c r="G4" s="11" t="s">
        <v>28</v>
      </c>
      <c r="H4" s="10" t="s">
        <v>21</v>
      </c>
      <c r="I4" s="10" t="s">
        <v>22</v>
      </c>
      <c r="J4" s="10" t="s">
        <v>23</v>
      </c>
      <c r="K4" s="12" t="b">
        <v>1</v>
      </c>
      <c r="L4" s="13" t="s">
        <v>24</v>
      </c>
      <c r="M4" s="13"/>
      <c r="N4" s="13" t="s">
        <v>24</v>
      </c>
    </row>
    <row r="5" spans="1:14" ht="84.75" customHeight="1">
      <c r="A5" s="10">
        <v>3</v>
      </c>
      <c r="B5" s="10" t="s">
        <v>16</v>
      </c>
      <c r="C5" s="10" t="s">
        <v>29</v>
      </c>
      <c r="D5" s="10" t="s">
        <v>18</v>
      </c>
      <c r="E5" s="10" t="s">
        <v>29</v>
      </c>
      <c r="F5" s="10" t="s">
        <v>19</v>
      </c>
      <c r="G5" s="11" t="s">
        <v>30</v>
      </c>
      <c r="H5" s="10" t="s">
        <v>21</v>
      </c>
      <c r="I5" s="10" t="s">
        <v>22</v>
      </c>
      <c r="J5" s="10" t="s">
        <v>23</v>
      </c>
      <c r="K5" s="12" t="b">
        <v>1</v>
      </c>
      <c r="L5" s="13" t="s">
        <v>31</v>
      </c>
      <c r="M5" s="13"/>
      <c r="N5" s="13" t="s">
        <v>32</v>
      </c>
    </row>
    <row r="6" spans="1:14" ht="84.75" customHeight="1">
      <c r="A6" s="14">
        <v>4</v>
      </c>
      <c r="B6" s="14" t="s">
        <v>33</v>
      </c>
      <c r="C6" s="14" t="s">
        <v>34</v>
      </c>
      <c r="D6" s="14" t="s">
        <v>35</v>
      </c>
      <c r="E6" s="14" t="s">
        <v>34</v>
      </c>
      <c r="F6" s="14" t="s">
        <v>36</v>
      </c>
      <c r="G6" s="15" t="s">
        <v>37</v>
      </c>
      <c r="H6" s="14" t="s">
        <v>21</v>
      </c>
      <c r="I6" s="14" t="s">
        <v>22</v>
      </c>
      <c r="J6" s="14" t="s">
        <v>23</v>
      </c>
      <c r="K6" s="16" t="b">
        <v>1</v>
      </c>
      <c r="L6" s="17" t="s">
        <v>38</v>
      </c>
      <c r="M6" s="13"/>
      <c r="N6" s="13"/>
    </row>
    <row r="7" spans="1:14" ht="84.75" customHeight="1">
      <c r="A7" s="10">
        <v>5</v>
      </c>
      <c r="B7" s="10" t="s">
        <v>39</v>
      </c>
      <c r="C7" s="10" t="s">
        <v>40</v>
      </c>
      <c r="D7" s="10" t="s">
        <v>41</v>
      </c>
      <c r="E7" s="10" t="s">
        <v>40</v>
      </c>
      <c r="F7" s="10" t="s">
        <v>42</v>
      </c>
      <c r="G7" s="11" t="s">
        <v>43</v>
      </c>
      <c r="H7" s="10" t="s">
        <v>44</v>
      </c>
      <c r="I7" s="10" t="s">
        <v>45</v>
      </c>
      <c r="J7" s="10" t="s">
        <v>46</v>
      </c>
      <c r="K7" s="12" t="b">
        <v>1</v>
      </c>
      <c r="L7" s="13" t="s">
        <v>47</v>
      </c>
      <c r="M7" s="13"/>
      <c r="N7" s="13" t="s">
        <v>48</v>
      </c>
    </row>
    <row r="8" spans="1:14" ht="84.75" customHeight="1">
      <c r="A8" s="10">
        <v>6</v>
      </c>
      <c r="B8" s="10" t="s">
        <v>25</v>
      </c>
      <c r="C8" s="10" t="s">
        <v>49</v>
      </c>
      <c r="D8" s="10" t="s">
        <v>27</v>
      </c>
      <c r="E8" s="10" t="s">
        <v>49</v>
      </c>
      <c r="F8" s="10" t="s">
        <v>42</v>
      </c>
      <c r="G8" s="11" t="s">
        <v>50</v>
      </c>
      <c r="H8" s="10" t="s">
        <v>44</v>
      </c>
      <c r="I8" s="10" t="s">
        <v>45</v>
      </c>
      <c r="J8" s="10" t="s">
        <v>46</v>
      </c>
      <c r="K8" s="12" t="b">
        <v>1</v>
      </c>
      <c r="L8" s="13" t="s">
        <v>24</v>
      </c>
      <c r="M8" s="13"/>
      <c r="N8" s="13" t="s">
        <v>24</v>
      </c>
    </row>
    <row r="9" spans="1:14" ht="84.75" customHeight="1">
      <c r="A9" s="10">
        <v>7</v>
      </c>
      <c r="B9" s="10" t="s">
        <v>25</v>
      </c>
      <c r="C9" s="10" t="s">
        <v>51</v>
      </c>
      <c r="D9" s="10" t="s">
        <v>27</v>
      </c>
      <c r="E9" s="10" t="s">
        <v>51</v>
      </c>
      <c r="F9" s="10" t="s">
        <v>52</v>
      </c>
      <c r="G9" s="11" t="s">
        <v>53</v>
      </c>
      <c r="H9" s="10" t="s">
        <v>44</v>
      </c>
      <c r="I9" s="10" t="s">
        <v>45</v>
      </c>
      <c r="J9" s="10" t="s">
        <v>46</v>
      </c>
      <c r="K9" s="12" t="b">
        <v>1</v>
      </c>
      <c r="L9" s="13" t="s">
        <v>24</v>
      </c>
      <c r="M9" s="13"/>
      <c r="N9" s="13" t="s">
        <v>24</v>
      </c>
    </row>
    <row r="10" spans="1:14" ht="84.75" customHeight="1">
      <c r="A10" s="10">
        <v>8</v>
      </c>
      <c r="B10" s="10" t="s">
        <v>33</v>
      </c>
      <c r="C10" s="10" t="s">
        <v>54</v>
      </c>
      <c r="D10" s="10" t="s">
        <v>35</v>
      </c>
      <c r="E10" s="10" t="s">
        <v>54</v>
      </c>
      <c r="F10" s="10" t="s">
        <v>52</v>
      </c>
      <c r="G10" s="11" t="s">
        <v>55</v>
      </c>
      <c r="H10" s="10" t="s">
        <v>44</v>
      </c>
      <c r="I10" s="10" t="s">
        <v>45</v>
      </c>
      <c r="J10" s="10" t="s">
        <v>46</v>
      </c>
      <c r="K10" s="12" t="b">
        <v>1</v>
      </c>
      <c r="L10" s="13" t="s">
        <v>56</v>
      </c>
      <c r="M10" s="13"/>
      <c r="N10" s="13" t="s">
        <v>57</v>
      </c>
    </row>
    <row r="11" spans="1:14" ht="84.75" customHeight="1">
      <c r="A11" s="10">
        <v>9</v>
      </c>
      <c r="B11" s="10" t="s">
        <v>25</v>
      </c>
      <c r="C11" s="10" t="s">
        <v>51</v>
      </c>
      <c r="D11" s="10" t="s">
        <v>27</v>
      </c>
      <c r="E11" s="10" t="s">
        <v>51</v>
      </c>
      <c r="F11" s="10" t="s">
        <v>58</v>
      </c>
      <c r="G11" s="11" t="s">
        <v>59</v>
      </c>
      <c r="H11" s="10" t="s">
        <v>44</v>
      </c>
      <c r="I11" s="10" t="s">
        <v>45</v>
      </c>
      <c r="J11" s="10" t="s">
        <v>46</v>
      </c>
      <c r="K11" s="12" t="b">
        <v>1</v>
      </c>
      <c r="L11" s="13" t="s">
        <v>24</v>
      </c>
      <c r="M11" s="13"/>
      <c r="N11" s="13" t="s">
        <v>48</v>
      </c>
    </row>
    <row r="12" spans="1:14" ht="84.75" customHeight="1">
      <c r="A12" s="10">
        <v>10</v>
      </c>
      <c r="B12" s="10" t="s">
        <v>16</v>
      </c>
      <c r="C12" s="10" t="s">
        <v>29</v>
      </c>
      <c r="D12" s="10" t="s">
        <v>18</v>
      </c>
      <c r="E12" s="10" t="s">
        <v>29</v>
      </c>
      <c r="F12" s="10" t="s">
        <v>58</v>
      </c>
      <c r="G12" s="11" t="s">
        <v>60</v>
      </c>
      <c r="H12" s="10" t="s">
        <v>44</v>
      </c>
      <c r="I12" s="10" t="s">
        <v>45</v>
      </c>
      <c r="J12" s="10" t="s">
        <v>46</v>
      </c>
      <c r="K12" s="12" t="b">
        <v>1</v>
      </c>
      <c r="L12" s="13" t="s">
        <v>24</v>
      </c>
      <c r="M12" s="13"/>
      <c r="N12" s="13" t="s">
        <v>24</v>
      </c>
    </row>
    <row r="13" spans="1:14" ht="84.75" customHeight="1">
      <c r="A13" s="10">
        <v>11</v>
      </c>
      <c r="B13" s="10" t="s">
        <v>16</v>
      </c>
      <c r="C13" s="10" t="s">
        <v>61</v>
      </c>
      <c r="D13" s="10" t="s">
        <v>18</v>
      </c>
      <c r="E13" s="10" t="s">
        <v>61</v>
      </c>
      <c r="F13" s="10" t="s">
        <v>62</v>
      </c>
      <c r="G13" s="11" t="s">
        <v>63</v>
      </c>
      <c r="H13" s="10" t="s">
        <v>44</v>
      </c>
      <c r="I13" s="10" t="s">
        <v>45</v>
      </c>
      <c r="J13" s="10" t="s">
        <v>46</v>
      </c>
      <c r="K13" s="12" t="b">
        <v>1</v>
      </c>
      <c r="L13" s="13" t="s">
        <v>64</v>
      </c>
      <c r="M13" s="13"/>
      <c r="N13" s="13" t="s">
        <v>65</v>
      </c>
    </row>
    <row r="14" spans="1:14" ht="84.75" customHeight="1">
      <c r="A14" s="10">
        <v>12</v>
      </c>
      <c r="B14" s="10" t="s">
        <v>25</v>
      </c>
      <c r="C14" s="10" t="s">
        <v>66</v>
      </c>
      <c r="D14" s="10" t="s">
        <v>27</v>
      </c>
      <c r="E14" s="10" t="s">
        <v>66</v>
      </c>
      <c r="F14" s="10" t="s">
        <v>67</v>
      </c>
      <c r="G14" s="11" t="s">
        <v>68</v>
      </c>
      <c r="H14" s="10" t="s">
        <v>44</v>
      </c>
      <c r="I14" s="10" t="s">
        <v>45</v>
      </c>
      <c r="J14" s="10" t="s">
        <v>46</v>
      </c>
      <c r="K14" s="12" t="b">
        <v>1</v>
      </c>
      <c r="L14" s="13" t="s">
        <v>24</v>
      </c>
      <c r="M14" s="13"/>
      <c r="N14" s="13" t="s">
        <v>69</v>
      </c>
    </row>
    <row r="15" spans="1:14" ht="84.75" customHeight="1">
      <c r="A15" s="10">
        <v>13</v>
      </c>
      <c r="B15" s="10" t="s">
        <v>25</v>
      </c>
      <c r="C15" s="10" t="s">
        <v>70</v>
      </c>
      <c r="D15" s="10" t="s">
        <v>27</v>
      </c>
      <c r="E15" s="10" t="s">
        <v>70</v>
      </c>
      <c r="F15" s="10" t="s">
        <v>71</v>
      </c>
      <c r="G15" s="11" t="s">
        <v>72</v>
      </c>
      <c r="H15" s="10" t="s">
        <v>44</v>
      </c>
      <c r="I15" s="10" t="s">
        <v>45</v>
      </c>
      <c r="J15" s="10" t="s">
        <v>46</v>
      </c>
      <c r="K15" s="12" t="b">
        <v>1</v>
      </c>
      <c r="L15" s="13" t="s">
        <v>24</v>
      </c>
      <c r="M15" s="13"/>
      <c r="N15" s="13" t="s">
        <v>73</v>
      </c>
    </row>
    <row r="16" spans="1:14" ht="84.75" customHeight="1">
      <c r="A16" s="10">
        <v>14</v>
      </c>
      <c r="B16" s="10" t="s">
        <v>25</v>
      </c>
      <c r="C16" s="10" t="s">
        <v>51</v>
      </c>
      <c r="D16" s="10" t="s">
        <v>27</v>
      </c>
      <c r="E16" s="10" t="s">
        <v>51</v>
      </c>
      <c r="F16" s="10" t="s">
        <v>74</v>
      </c>
      <c r="G16" s="11" t="s">
        <v>75</v>
      </c>
      <c r="H16" s="10" t="s">
        <v>44</v>
      </c>
      <c r="I16" s="10" t="s">
        <v>45</v>
      </c>
      <c r="J16" s="10" t="s">
        <v>46</v>
      </c>
      <c r="K16" s="12" t="b">
        <v>1</v>
      </c>
      <c r="L16" s="13" t="s">
        <v>24</v>
      </c>
      <c r="M16" s="13"/>
      <c r="N16" s="13" t="s">
        <v>24</v>
      </c>
    </row>
    <row r="17" spans="1:14" ht="84.75" customHeight="1">
      <c r="A17" s="10">
        <v>15</v>
      </c>
      <c r="B17" s="10" t="s">
        <v>25</v>
      </c>
      <c r="C17" s="10" t="s">
        <v>66</v>
      </c>
      <c r="D17" s="10" t="s">
        <v>27</v>
      </c>
      <c r="E17" s="10" t="s">
        <v>66</v>
      </c>
      <c r="F17" s="10" t="s">
        <v>74</v>
      </c>
      <c r="G17" s="11" t="s">
        <v>76</v>
      </c>
      <c r="H17" s="10" t="s">
        <v>44</v>
      </c>
      <c r="I17" s="10" t="s">
        <v>45</v>
      </c>
      <c r="J17" s="10" t="s">
        <v>46</v>
      </c>
      <c r="K17" s="12" t="b">
        <v>1</v>
      </c>
      <c r="L17" s="13" t="s">
        <v>77</v>
      </c>
      <c r="M17" s="13"/>
      <c r="N17" s="13" t="s">
        <v>78</v>
      </c>
    </row>
    <row r="18" spans="1:14" ht="84.75" customHeight="1">
      <c r="A18" s="10">
        <v>16</v>
      </c>
      <c r="B18" s="10" t="s">
        <v>25</v>
      </c>
      <c r="C18" s="10" t="s">
        <v>79</v>
      </c>
      <c r="D18" s="10" t="s">
        <v>27</v>
      </c>
      <c r="E18" s="10" t="s">
        <v>79</v>
      </c>
      <c r="F18" s="10" t="s">
        <v>80</v>
      </c>
      <c r="G18" s="11" t="s">
        <v>81</v>
      </c>
      <c r="H18" s="10" t="s">
        <v>44</v>
      </c>
      <c r="I18" s="10" t="s">
        <v>45</v>
      </c>
      <c r="J18" s="10" t="s">
        <v>46</v>
      </c>
      <c r="K18" s="12" t="b">
        <v>1</v>
      </c>
      <c r="L18" s="13" t="s">
        <v>24</v>
      </c>
      <c r="M18" s="13"/>
      <c r="N18" s="13" t="s">
        <v>82</v>
      </c>
    </row>
    <row r="19" spans="1:14" ht="84.75" customHeight="1">
      <c r="A19" s="10">
        <v>17</v>
      </c>
      <c r="B19" s="10" t="s">
        <v>25</v>
      </c>
      <c r="C19" s="10" t="s">
        <v>70</v>
      </c>
      <c r="D19" s="10" t="s">
        <v>27</v>
      </c>
      <c r="E19" s="10" t="s">
        <v>70</v>
      </c>
      <c r="F19" s="10" t="s">
        <v>80</v>
      </c>
      <c r="G19" s="11" t="s">
        <v>83</v>
      </c>
      <c r="H19" s="10" t="s">
        <v>44</v>
      </c>
      <c r="I19" s="10" t="s">
        <v>45</v>
      </c>
      <c r="J19" s="10" t="s">
        <v>46</v>
      </c>
      <c r="K19" s="12" t="b">
        <v>1</v>
      </c>
      <c r="L19" s="13" t="s">
        <v>24</v>
      </c>
      <c r="M19" s="13"/>
      <c r="N19" s="13" t="s">
        <v>84</v>
      </c>
    </row>
    <row r="20" spans="1:14" ht="84.75" customHeight="1">
      <c r="A20" s="10">
        <v>18</v>
      </c>
      <c r="B20" s="10" t="s">
        <v>39</v>
      </c>
      <c r="C20" s="10" t="s">
        <v>85</v>
      </c>
      <c r="D20" s="10" t="s">
        <v>41</v>
      </c>
      <c r="E20" s="10" t="s">
        <v>85</v>
      </c>
      <c r="F20" s="10" t="s">
        <v>86</v>
      </c>
      <c r="G20" s="11" t="s">
        <v>87</v>
      </c>
      <c r="H20" s="10" t="s">
        <v>44</v>
      </c>
      <c r="I20" s="10" t="s">
        <v>45</v>
      </c>
      <c r="J20" s="10" t="s">
        <v>46</v>
      </c>
      <c r="K20" s="12" t="b">
        <v>1</v>
      </c>
      <c r="L20" s="13" t="s">
        <v>88</v>
      </c>
      <c r="M20" s="13"/>
      <c r="N20" s="13" t="s">
        <v>89</v>
      </c>
    </row>
    <row r="21" spans="1:14" ht="84.75" customHeight="1">
      <c r="A21" s="10">
        <v>19</v>
      </c>
      <c r="B21" s="10" t="s">
        <v>39</v>
      </c>
      <c r="C21" s="10" t="s">
        <v>90</v>
      </c>
      <c r="D21" s="10" t="s">
        <v>41</v>
      </c>
      <c r="E21" s="10" t="s">
        <v>90</v>
      </c>
      <c r="F21" s="10" t="s">
        <v>86</v>
      </c>
      <c r="G21" s="11" t="s">
        <v>91</v>
      </c>
      <c r="H21" s="10" t="s">
        <v>44</v>
      </c>
      <c r="I21" s="10" t="s">
        <v>45</v>
      </c>
      <c r="J21" s="10" t="s">
        <v>46</v>
      </c>
      <c r="K21" s="12" t="b">
        <v>1</v>
      </c>
      <c r="L21" s="13" t="s">
        <v>92</v>
      </c>
      <c r="M21" s="13"/>
      <c r="N21" s="13" t="s">
        <v>24</v>
      </c>
    </row>
    <row r="22" spans="1:14" ht="84.75" customHeight="1">
      <c r="A22" s="10">
        <v>20</v>
      </c>
      <c r="B22" s="10" t="s">
        <v>16</v>
      </c>
      <c r="C22" s="10" t="s">
        <v>61</v>
      </c>
      <c r="D22" s="10" t="s">
        <v>18</v>
      </c>
      <c r="E22" s="10" t="s">
        <v>61</v>
      </c>
      <c r="F22" s="10" t="s">
        <v>93</v>
      </c>
      <c r="G22" s="11" t="s">
        <v>94</v>
      </c>
      <c r="H22" s="10" t="s">
        <v>44</v>
      </c>
      <c r="I22" s="10" t="s">
        <v>45</v>
      </c>
      <c r="J22" s="10" t="s">
        <v>46</v>
      </c>
      <c r="K22" s="12" t="b">
        <v>1</v>
      </c>
      <c r="L22" s="13" t="s">
        <v>95</v>
      </c>
      <c r="M22" s="13"/>
      <c r="N22" s="13" t="s">
        <v>24</v>
      </c>
    </row>
    <row r="23" spans="1:14" ht="84.75" customHeight="1">
      <c r="A23" s="10">
        <v>21</v>
      </c>
      <c r="B23" s="10" t="s">
        <v>25</v>
      </c>
      <c r="C23" s="10" t="s">
        <v>96</v>
      </c>
      <c r="D23" s="10" t="s">
        <v>27</v>
      </c>
      <c r="E23" s="10" t="s">
        <v>96</v>
      </c>
      <c r="F23" s="10" t="s">
        <v>93</v>
      </c>
      <c r="G23" s="11" t="s">
        <v>97</v>
      </c>
      <c r="H23" s="10" t="s">
        <v>44</v>
      </c>
      <c r="I23" s="10" t="s">
        <v>45</v>
      </c>
      <c r="J23" s="10" t="s">
        <v>46</v>
      </c>
      <c r="K23" s="12" t="b">
        <v>1</v>
      </c>
      <c r="L23" s="13" t="s">
        <v>24</v>
      </c>
      <c r="M23" s="13"/>
      <c r="N23" s="13" t="s">
        <v>24</v>
      </c>
    </row>
    <row r="24" spans="1:14" ht="84.75" customHeight="1">
      <c r="A24" s="10">
        <v>22</v>
      </c>
      <c r="B24" s="10" t="s">
        <v>25</v>
      </c>
      <c r="C24" s="10" t="s">
        <v>66</v>
      </c>
      <c r="D24" s="10" t="s">
        <v>27</v>
      </c>
      <c r="E24" s="10" t="s">
        <v>66</v>
      </c>
      <c r="F24" s="10" t="s">
        <v>98</v>
      </c>
      <c r="G24" s="11" t="s">
        <v>99</v>
      </c>
      <c r="H24" s="10" t="s">
        <v>44</v>
      </c>
      <c r="I24" s="10" t="s">
        <v>45</v>
      </c>
      <c r="J24" s="10" t="s">
        <v>46</v>
      </c>
      <c r="K24" s="12" t="b">
        <v>1</v>
      </c>
      <c r="L24" s="13" t="s">
        <v>100</v>
      </c>
      <c r="M24" s="13"/>
      <c r="N24" s="13" t="s">
        <v>24</v>
      </c>
    </row>
    <row r="25" spans="1:14" ht="84.75" customHeight="1">
      <c r="A25" s="10">
        <v>23</v>
      </c>
      <c r="B25" s="10" t="s">
        <v>25</v>
      </c>
      <c r="C25" s="10" t="s">
        <v>66</v>
      </c>
      <c r="D25" s="10" t="s">
        <v>27</v>
      </c>
      <c r="E25" s="10" t="s">
        <v>66</v>
      </c>
      <c r="F25" s="10" t="s">
        <v>101</v>
      </c>
      <c r="G25" s="11" t="s">
        <v>102</v>
      </c>
      <c r="H25" s="10" t="s">
        <v>44</v>
      </c>
      <c r="I25" s="10" t="s">
        <v>45</v>
      </c>
      <c r="J25" s="10" t="s">
        <v>46</v>
      </c>
      <c r="K25" s="12" t="b">
        <v>1</v>
      </c>
      <c r="L25" s="13" t="s">
        <v>103</v>
      </c>
      <c r="M25" s="13"/>
      <c r="N25" s="13" t="s">
        <v>24</v>
      </c>
    </row>
    <row r="26" spans="1:14" ht="84.75" customHeight="1">
      <c r="A26" s="10">
        <v>24</v>
      </c>
      <c r="B26" s="10" t="s">
        <v>25</v>
      </c>
      <c r="C26" s="10" t="s">
        <v>49</v>
      </c>
      <c r="D26" s="10" t="s">
        <v>27</v>
      </c>
      <c r="E26" s="10" t="s">
        <v>49</v>
      </c>
      <c r="F26" s="10" t="s">
        <v>104</v>
      </c>
      <c r="G26" s="11" t="s">
        <v>105</v>
      </c>
      <c r="H26" s="10" t="s">
        <v>44</v>
      </c>
      <c r="I26" s="10" t="s">
        <v>45</v>
      </c>
      <c r="J26" s="10" t="s">
        <v>46</v>
      </c>
      <c r="K26" s="12" t="b">
        <v>1</v>
      </c>
      <c r="L26" s="13" t="s">
        <v>24</v>
      </c>
      <c r="M26" s="13"/>
      <c r="N26" s="13" t="s">
        <v>24</v>
      </c>
    </row>
    <row r="27" spans="1:14" ht="84.75" customHeight="1">
      <c r="A27" s="10">
        <v>25</v>
      </c>
      <c r="B27" s="10" t="s">
        <v>25</v>
      </c>
      <c r="C27" s="10" t="s">
        <v>96</v>
      </c>
      <c r="D27" s="10" t="s">
        <v>27</v>
      </c>
      <c r="E27" s="10" t="s">
        <v>96</v>
      </c>
      <c r="F27" s="10" t="s">
        <v>106</v>
      </c>
      <c r="G27" s="11" t="s">
        <v>107</v>
      </c>
      <c r="H27" s="10" t="s">
        <v>108</v>
      </c>
      <c r="I27" s="10" t="s">
        <v>109</v>
      </c>
      <c r="J27" s="10" t="s">
        <v>110</v>
      </c>
      <c r="K27" s="12" t="b">
        <v>1</v>
      </c>
      <c r="L27" s="13" t="s">
        <v>24</v>
      </c>
      <c r="M27" s="13"/>
      <c r="N27" s="13" t="s">
        <v>24</v>
      </c>
    </row>
    <row r="28" spans="1:14" ht="84.75" customHeight="1">
      <c r="A28" s="10">
        <v>26</v>
      </c>
      <c r="B28" s="10" t="s">
        <v>25</v>
      </c>
      <c r="C28" s="10" t="s">
        <v>26</v>
      </c>
      <c r="D28" s="10" t="s">
        <v>27</v>
      </c>
      <c r="E28" s="10" t="s">
        <v>26</v>
      </c>
      <c r="F28" s="10" t="s">
        <v>106</v>
      </c>
      <c r="G28" s="11" t="s">
        <v>111</v>
      </c>
      <c r="H28" s="10" t="s">
        <v>108</v>
      </c>
      <c r="I28" s="10" t="s">
        <v>109</v>
      </c>
      <c r="J28" s="10" t="s">
        <v>110</v>
      </c>
      <c r="K28" s="12" t="b">
        <v>1</v>
      </c>
      <c r="L28" s="13" t="s">
        <v>24</v>
      </c>
      <c r="M28" s="13"/>
      <c r="N28" s="13" t="s">
        <v>24</v>
      </c>
    </row>
    <row r="29" spans="1:14" ht="84.75" customHeight="1">
      <c r="A29" s="10">
        <v>27</v>
      </c>
      <c r="B29" s="10" t="s">
        <v>39</v>
      </c>
      <c r="C29" s="10" t="s">
        <v>40</v>
      </c>
      <c r="D29" s="10" t="s">
        <v>41</v>
      </c>
      <c r="E29" s="10" t="s">
        <v>40</v>
      </c>
      <c r="F29" s="10" t="s">
        <v>106</v>
      </c>
      <c r="G29" s="11" t="s">
        <v>112</v>
      </c>
      <c r="H29" s="10" t="s">
        <v>108</v>
      </c>
      <c r="I29" s="10" t="s">
        <v>109</v>
      </c>
      <c r="J29" s="10" t="s">
        <v>110</v>
      </c>
      <c r="K29" s="12" t="b">
        <v>1</v>
      </c>
      <c r="L29" s="13" t="s">
        <v>113</v>
      </c>
      <c r="M29" s="13"/>
      <c r="N29" s="13" t="s">
        <v>114</v>
      </c>
    </row>
    <row r="30" spans="1:14" ht="84.75" customHeight="1">
      <c r="A30" s="10">
        <v>28</v>
      </c>
      <c r="B30" s="10" t="s">
        <v>16</v>
      </c>
      <c r="C30" s="10" t="s">
        <v>29</v>
      </c>
      <c r="D30" s="10" t="s">
        <v>18</v>
      </c>
      <c r="E30" s="10" t="s">
        <v>29</v>
      </c>
      <c r="F30" s="10" t="s">
        <v>115</v>
      </c>
      <c r="G30" s="11" t="s">
        <v>116</v>
      </c>
      <c r="H30" s="10" t="s">
        <v>108</v>
      </c>
      <c r="I30" s="10" t="s">
        <v>109</v>
      </c>
      <c r="J30" s="10" t="s">
        <v>110</v>
      </c>
      <c r="K30" s="12" t="b">
        <v>1</v>
      </c>
      <c r="L30" s="13" t="s">
        <v>117</v>
      </c>
      <c r="M30" s="13"/>
      <c r="N30" s="13" t="s">
        <v>24</v>
      </c>
    </row>
    <row r="31" spans="1:14" ht="84.75" customHeight="1">
      <c r="A31" s="10">
        <v>29</v>
      </c>
      <c r="B31" s="10" t="s">
        <v>25</v>
      </c>
      <c r="C31" s="10" t="s">
        <v>96</v>
      </c>
      <c r="D31" s="10" t="s">
        <v>27</v>
      </c>
      <c r="E31" s="10" t="s">
        <v>96</v>
      </c>
      <c r="F31" s="10" t="s">
        <v>118</v>
      </c>
      <c r="G31" s="11" t="s">
        <v>119</v>
      </c>
      <c r="H31" s="10" t="s">
        <v>108</v>
      </c>
      <c r="I31" s="10" t="s">
        <v>109</v>
      </c>
      <c r="J31" s="10" t="s">
        <v>110</v>
      </c>
      <c r="K31" s="12" t="b">
        <v>1</v>
      </c>
      <c r="L31" s="13" t="s">
        <v>24</v>
      </c>
      <c r="M31" s="13"/>
      <c r="N31" s="13" t="s">
        <v>24</v>
      </c>
    </row>
    <row r="32" spans="1:14" ht="84.75" customHeight="1">
      <c r="A32" s="10">
        <v>30</v>
      </c>
      <c r="B32" s="10" t="s">
        <v>25</v>
      </c>
      <c r="C32" s="10" t="s">
        <v>26</v>
      </c>
      <c r="D32" s="10" t="s">
        <v>27</v>
      </c>
      <c r="E32" s="10" t="s">
        <v>26</v>
      </c>
      <c r="F32" s="10" t="s">
        <v>118</v>
      </c>
      <c r="G32" s="11" t="s">
        <v>120</v>
      </c>
      <c r="H32" s="10" t="s">
        <v>108</v>
      </c>
      <c r="I32" s="10" t="s">
        <v>109</v>
      </c>
      <c r="J32" s="10" t="s">
        <v>110</v>
      </c>
      <c r="K32" s="12" t="b">
        <v>1</v>
      </c>
      <c r="L32" s="13" t="s">
        <v>24</v>
      </c>
      <c r="M32" s="13"/>
      <c r="N32" s="13" t="s">
        <v>24</v>
      </c>
    </row>
    <row r="33" spans="1:14" ht="84.75" customHeight="1">
      <c r="A33" s="10">
        <v>31</v>
      </c>
      <c r="B33" s="10" t="s">
        <v>25</v>
      </c>
      <c r="C33" s="10" t="s">
        <v>26</v>
      </c>
      <c r="D33" s="10" t="s">
        <v>27</v>
      </c>
      <c r="E33" s="10" t="s">
        <v>26</v>
      </c>
      <c r="F33" s="18" t="s">
        <v>121</v>
      </c>
      <c r="G33" s="11" t="s">
        <v>122</v>
      </c>
      <c r="H33" s="10" t="s">
        <v>108</v>
      </c>
      <c r="I33" s="10" t="s">
        <v>109</v>
      </c>
      <c r="J33" s="10" t="s">
        <v>110</v>
      </c>
      <c r="K33" s="12" t="b">
        <v>1</v>
      </c>
      <c r="L33" s="19" t="s">
        <v>123</v>
      </c>
      <c r="M33" s="13"/>
      <c r="N33" s="13" t="s">
        <v>24</v>
      </c>
    </row>
    <row r="34" spans="1:14" ht="84.75" customHeight="1">
      <c r="A34" s="10">
        <v>32</v>
      </c>
      <c r="B34" s="10" t="s">
        <v>39</v>
      </c>
      <c r="C34" s="10" t="s">
        <v>90</v>
      </c>
      <c r="D34" s="10" t="s">
        <v>41</v>
      </c>
      <c r="E34" s="10" t="s">
        <v>90</v>
      </c>
      <c r="F34" s="10" t="s">
        <v>121</v>
      </c>
      <c r="G34" s="11" t="s">
        <v>124</v>
      </c>
      <c r="H34" s="10" t="s">
        <v>108</v>
      </c>
      <c r="I34" s="10" t="s">
        <v>109</v>
      </c>
      <c r="J34" s="10" t="s">
        <v>110</v>
      </c>
      <c r="K34" s="12" t="b">
        <v>1</v>
      </c>
      <c r="L34" s="13" t="s">
        <v>24</v>
      </c>
      <c r="M34" s="13"/>
      <c r="N34" s="13"/>
    </row>
    <row r="35" spans="1:14" ht="84.75" customHeight="1">
      <c r="A35" s="10">
        <v>33</v>
      </c>
      <c r="B35" s="10" t="s">
        <v>25</v>
      </c>
      <c r="C35" s="10" t="s">
        <v>96</v>
      </c>
      <c r="D35" s="10" t="s">
        <v>27</v>
      </c>
      <c r="E35" s="10" t="s">
        <v>96</v>
      </c>
      <c r="F35" s="10" t="s">
        <v>125</v>
      </c>
      <c r="G35" s="11" t="s">
        <v>126</v>
      </c>
      <c r="H35" s="10" t="s">
        <v>108</v>
      </c>
      <c r="I35" s="10" t="s">
        <v>109</v>
      </c>
      <c r="J35" s="10" t="s">
        <v>110</v>
      </c>
      <c r="K35" s="12" t="b">
        <v>1</v>
      </c>
      <c r="L35" s="13" t="s">
        <v>24</v>
      </c>
      <c r="M35" s="13"/>
      <c r="N35" s="13" t="s">
        <v>24</v>
      </c>
    </row>
    <row r="36" spans="1:14" ht="84.75" customHeight="1">
      <c r="A36" s="10">
        <v>34</v>
      </c>
      <c r="B36" s="10" t="s">
        <v>39</v>
      </c>
      <c r="C36" s="10" t="s">
        <v>90</v>
      </c>
      <c r="D36" s="10" t="s">
        <v>41</v>
      </c>
      <c r="E36" s="10" t="s">
        <v>90</v>
      </c>
      <c r="F36" s="10" t="s">
        <v>127</v>
      </c>
      <c r="G36" s="11" t="s">
        <v>128</v>
      </c>
      <c r="H36" s="10" t="s">
        <v>108</v>
      </c>
      <c r="I36" s="10" t="s">
        <v>109</v>
      </c>
      <c r="J36" s="10" t="s">
        <v>110</v>
      </c>
      <c r="K36" s="12" t="b">
        <v>1</v>
      </c>
      <c r="L36" s="13" t="s">
        <v>24</v>
      </c>
      <c r="M36" s="13"/>
      <c r="N36" s="13" t="s">
        <v>24</v>
      </c>
    </row>
    <row r="37" spans="1:14" ht="84.75" customHeight="1">
      <c r="A37" s="10">
        <v>35</v>
      </c>
      <c r="B37" s="10" t="s">
        <v>25</v>
      </c>
      <c r="C37" s="10" t="s">
        <v>96</v>
      </c>
      <c r="D37" s="10" t="s">
        <v>27</v>
      </c>
      <c r="E37" s="10" t="s">
        <v>96</v>
      </c>
      <c r="F37" s="10" t="s">
        <v>129</v>
      </c>
      <c r="G37" s="11" t="s">
        <v>130</v>
      </c>
      <c r="H37" s="10" t="s">
        <v>108</v>
      </c>
      <c r="I37" s="10" t="s">
        <v>109</v>
      </c>
      <c r="J37" s="10" t="s">
        <v>110</v>
      </c>
      <c r="K37" s="12" t="b">
        <v>1</v>
      </c>
      <c r="L37" s="13" t="s">
        <v>131</v>
      </c>
      <c r="M37" s="13"/>
      <c r="N37" s="13" t="s">
        <v>132</v>
      </c>
    </row>
    <row r="38" spans="1:14" ht="84.75" customHeight="1">
      <c r="A38" s="10">
        <v>36</v>
      </c>
      <c r="B38" s="10" t="s">
        <v>25</v>
      </c>
      <c r="C38" s="10" t="s">
        <v>96</v>
      </c>
      <c r="D38" s="10" t="s">
        <v>27</v>
      </c>
      <c r="E38" s="10" t="s">
        <v>96</v>
      </c>
      <c r="F38" s="10" t="s">
        <v>133</v>
      </c>
      <c r="G38" s="11" t="s">
        <v>134</v>
      </c>
      <c r="H38" s="10" t="s">
        <v>108</v>
      </c>
      <c r="I38" s="10" t="s">
        <v>109</v>
      </c>
      <c r="J38" s="10" t="s">
        <v>110</v>
      </c>
      <c r="K38" s="12" t="b">
        <v>1</v>
      </c>
      <c r="L38" s="13" t="s">
        <v>135</v>
      </c>
      <c r="M38" s="13"/>
      <c r="N38" s="13" t="s">
        <v>136</v>
      </c>
    </row>
    <row r="39" spans="1:14" ht="84.75" customHeight="1">
      <c r="A39" s="10">
        <v>37</v>
      </c>
      <c r="B39" s="10" t="s">
        <v>39</v>
      </c>
      <c r="C39" s="10" t="s">
        <v>40</v>
      </c>
      <c r="D39" s="10" t="s">
        <v>41</v>
      </c>
      <c r="E39" s="10" t="s">
        <v>40</v>
      </c>
      <c r="F39" s="10" t="s">
        <v>133</v>
      </c>
      <c r="G39" s="11" t="s">
        <v>137</v>
      </c>
      <c r="H39" s="10" t="s">
        <v>108</v>
      </c>
      <c r="I39" s="10" t="s">
        <v>109</v>
      </c>
      <c r="J39" s="10" t="s">
        <v>110</v>
      </c>
      <c r="K39" s="12" t="b">
        <v>1</v>
      </c>
      <c r="L39" s="13" t="s">
        <v>138</v>
      </c>
      <c r="M39" s="13"/>
      <c r="N39" s="13" t="s">
        <v>139</v>
      </c>
    </row>
    <row r="40" spans="1:14" ht="84.75" customHeight="1">
      <c r="A40" s="10">
        <v>38</v>
      </c>
      <c r="B40" s="10" t="s">
        <v>25</v>
      </c>
      <c r="C40" s="10" t="s">
        <v>96</v>
      </c>
      <c r="D40" s="10" t="s">
        <v>27</v>
      </c>
      <c r="E40" s="10" t="s">
        <v>96</v>
      </c>
      <c r="F40" s="10" t="s">
        <v>140</v>
      </c>
      <c r="G40" s="11" t="s">
        <v>141</v>
      </c>
      <c r="H40" s="10" t="s">
        <v>142</v>
      </c>
      <c r="I40" s="10" t="s">
        <v>143</v>
      </c>
      <c r="J40" s="10" t="s">
        <v>46</v>
      </c>
      <c r="K40" s="12" t="b">
        <v>1</v>
      </c>
      <c r="L40" s="13" t="s">
        <v>144</v>
      </c>
      <c r="M40" s="13"/>
      <c r="N40" s="13" t="s">
        <v>24</v>
      </c>
    </row>
    <row r="41" spans="1:14" ht="84.75" customHeight="1">
      <c r="A41" s="10">
        <v>39</v>
      </c>
      <c r="B41" s="10" t="s">
        <v>16</v>
      </c>
      <c r="C41" s="10" t="s">
        <v>145</v>
      </c>
      <c r="D41" s="10" t="s">
        <v>18</v>
      </c>
      <c r="E41" s="10" t="s">
        <v>145</v>
      </c>
      <c r="F41" s="10" t="s">
        <v>146</v>
      </c>
      <c r="G41" s="11" t="s">
        <v>147</v>
      </c>
      <c r="H41" s="10" t="s">
        <v>142</v>
      </c>
      <c r="I41" s="10" t="s">
        <v>143</v>
      </c>
      <c r="J41" s="10" t="s">
        <v>46</v>
      </c>
      <c r="K41" s="12" t="b">
        <v>1</v>
      </c>
      <c r="L41" s="13" t="s">
        <v>148</v>
      </c>
      <c r="M41" s="13"/>
      <c r="N41" s="13" t="s">
        <v>24</v>
      </c>
    </row>
    <row r="42" spans="1:14" ht="84.75" customHeight="1">
      <c r="A42" s="10">
        <v>40</v>
      </c>
      <c r="B42" s="10" t="s">
        <v>16</v>
      </c>
      <c r="C42" s="10" t="s">
        <v>149</v>
      </c>
      <c r="D42" s="10" t="s">
        <v>18</v>
      </c>
      <c r="E42" s="10" t="s">
        <v>149</v>
      </c>
      <c r="F42" s="10" t="s">
        <v>146</v>
      </c>
      <c r="G42" s="11" t="s">
        <v>150</v>
      </c>
      <c r="H42" s="10" t="s">
        <v>142</v>
      </c>
      <c r="I42" s="10" t="s">
        <v>143</v>
      </c>
      <c r="J42" s="10" t="s">
        <v>46</v>
      </c>
      <c r="K42" s="12" t="b">
        <v>1</v>
      </c>
      <c r="L42" s="13" t="s">
        <v>151</v>
      </c>
      <c r="M42" s="13"/>
      <c r="N42" s="13" t="s">
        <v>24</v>
      </c>
    </row>
    <row r="43" spans="1:14" ht="84.75" customHeight="1">
      <c r="A43" s="10">
        <v>41</v>
      </c>
      <c r="B43" s="10" t="s">
        <v>39</v>
      </c>
      <c r="C43" s="10" t="s">
        <v>85</v>
      </c>
      <c r="D43" s="10" t="s">
        <v>41</v>
      </c>
      <c r="E43" s="10" t="s">
        <v>85</v>
      </c>
      <c r="F43" s="10" t="s">
        <v>152</v>
      </c>
      <c r="G43" s="11" t="s">
        <v>153</v>
      </c>
      <c r="H43" s="10" t="s">
        <v>142</v>
      </c>
      <c r="I43" s="10" t="s">
        <v>143</v>
      </c>
      <c r="J43" s="10" t="s">
        <v>46</v>
      </c>
      <c r="K43" s="12" t="b">
        <v>1</v>
      </c>
      <c r="L43" s="13" t="s">
        <v>154</v>
      </c>
      <c r="M43" s="13"/>
      <c r="N43" s="13" t="s">
        <v>155</v>
      </c>
    </row>
    <row r="44" spans="1:14" ht="84.75" customHeight="1">
      <c r="A44" s="10">
        <v>42</v>
      </c>
      <c r="B44" s="10" t="s">
        <v>39</v>
      </c>
      <c r="C44" s="10" t="s">
        <v>90</v>
      </c>
      <c r="D44" s="10" t="s">
        <v>41</v>
      </c>
      <c r="E44" s="10" t="s">
        <v>90</v>
      </c>
      <c r="F44" s="18" t="s">
        <v>156</v>
      </c>
      <c r="G44" s="11" t="s">
        <v>157</v>
      </c>
      <c r="H44" s="10" t="s">
        <v>142</v>
      </c>
      <c r="I44" s="10" t="s">
        <v>143</v>
      </c>
      <c r="J44" s="10" t="s">
        <v>46</v>
      </c>
      <c r="K44" s="12" t="b">
        <v>1</v>
      </c>
      <c r="L44" s="13" t="s">
        <v>158</v>
      </c>
      <c r="M44" s="13"/>
      <c r="N44" s="13" t="s">
        <v>24</v>
      </c>
    </row>
    <row r="45" spans="1:14" ht="84.75" customHeight="1">
      <c r="A45" s="10">
        <v>43</v>
      </c>
      <c r="B45" s="10" t="s">
        <v>39</v>
      </c>
      <c r="C45" s="10" t="s">
        <v>85</v>
      </c>
      <c r="D45" s="10" t="s">
        <v>41</v>
      </c>
      <c r="E45" s="10" t="s">
        <v>85</v>
      </c>
      <c r="F45" s="10" t="s">
        <v>156</v>
      </c>
      <c r="G45" s="11" t="s">
        <v>159</v>
      </c>
      <c r="H45" s="10" t="s">
        <v>142</v>
      </c>
      <c r="I45" s="10" t="s">
        <v>143</v>
      </c>
      <c r="J45" s="10" t="s">
        <v>46</v>
      </c>
      <c r="K45" s="12" t="b">
        <v>1</v>
      </c>
      <c r="L45" s="13" t="s">
        <v>160</v>
      </c>
      <c r="M45" s="13"/>
      <c r="N45" s="13" t="s">
        <v>161</v>
      </c>
    </row>
    <row r="46" spans="1:14" ht="84.75" customHeight="1">
      <c r="A46" s="10">
        <v>44</v>
      </c>
      <c r="B46" s="10" t="s">
        <v>25</v>
      </c>
      <c r="C46" s="10" t="s">
        <v>26</v>
      </c>
      <c r="D46" s="10" t="s">
        <v>27</v>
      </c>
      <c r="E46" s="10" t="s">
        <v>26</v>
      </c>
      <c r="F46" s="10" t="s">
        <v>156</v>
      </c>
      <c r="G46" s="11" t="s">
        <v>162</v>
      </c>
      <c r="H46" s="10" t="s">
        <v>142</v>
      </c>
      <c r="I46" s="10" t="s">
        <v>143</v>
      </c>
      <c r="J46" s="10" t="s">
        <v>46</v>
      </c>
      <c r="K46" s="12" t="b">
        <v>1</v>
      </c>
      <c r="L46" s="13" t="s">
        <v>24</v>
      </c>
      <c r="M46" s="13"/>
      <c r="N46" s="13" t="s">
        <v>24</v>
      </c>
    </row>
    <row r="47" spans="1:14" ht="84.75" customHeight="1">
      <c r="A47" s="10">
        <v>45</v>
      </c>
      <c r="B47" s="10" t="s">
        <v>16</v>
      </c>
      <c r="C47" s="10" t="s">
        <v>17</v>
      </c>
      <c r="D47" s="10" t="s">
        <v>18</v>
      </c>
      <c r="E47" s="10" t="s">
        <v>17</v>
      </c>
      <c r="F47" s="18" t="s">
        <v>163</v>
      </c>
      <c r="G47" s="20" t="s">
        <v>164</v>
      </c>
      <c r="H47" s="10" t="s">
        <v>142</v>
      </c>
      <c r="I47" s="10" t="s">
        <v>143</v>
      </c>
      <c r="J47" s="10" t="s">
        <v>46</v>
      </c>
      <c r="K47" s="12" t="b">
        <v>1</v>
      </c>
      <c r="L47" s="13" t="s">
        <v>165</v>
      </c>
      <c r="M47" s="13"/>
      <c r="N47" s="13" t="s">
        <v>24</v>
      </c>
    </row>
    <row r="48" spans="1:14" ht="84.75" customHeight="1">
      <c r="A48" s="10">
        <v>46</v>
      </c>
      <c r="B48" s="10" t="s">
        <v>16</v>
      </c>
      <c r="C48" s="10" t="s">
        <v>61</v>
      </c>
      <c r="D48" s="10" t="s">
        <v>18</v>
      </c>
      <c r="E48" s="10" t="s">
        <v>61</v>
      </c>
      <c r="F48" s="10" t="s">
        <v>163</v>
      </c>
      <c r="G48" s="20" t="s">
        <v>166</v>
      </c>
      <c r="H48" s="10" t="s">
        <v>142</v>
      </c>
      <c r="I48" s="10" t="s">
        <v>143</v>
      </c>
      <c r="J48" s="10" t="s">
        <v>46</v>
      </c>
      <c r="K48" s="12" t="b">
        <v>1</v>
      </c>
      <c r="L48" s="13" t="s">
        <v>24</v>
      </c>
      <c r="M48" s="13"/>
      <c r="N48" s="13" t="s">
        <v>167</v>
      </c>
    </row>
    <row r="49" spans="1:14" ht="84.75" customHeight="1">
      <c r="A49" s="10">
        <v>47</v>
      </c>
      <c r="B49" s="10" t="s">
        <v>33</v>
      </c>
      <c r="C49" s="10" t="s">
        <v>54</v>
      </c>
      <c r="D49" s="10" t="s">
        <v>35</v>
      </c>
      <c r="E49" s="10" t="s">
        <v>54</v>
      </c>
      <c r="F49" s="10" t="s">
        <v>163</v>
      </c>
      <c r="G49" s="11" t="s">
        <v>168</v>
      </c>
      <c r="H49" s="10" t="s">
        <v>142</v>
      </c>
      <c r="I49" s="10" t="s">
        <v>143</v>
      </c>
      <c r="J49" s="10" t="s">
        <v>46</v>
      </c>
      <c r="K49" s="12" t="b">
        <v>1</v>
      </c>
      <c r="L49" s="13" t="s">
        <v>169</v>
      </c>
      <c r="M49" s="13"/>
      <c r="N49" s="13" t="s">
        <v>170</v>
      </c>
    </row>
    <row r="50" spans="1:14" ht="84.75" customHeight="1">
      <c r="A50" s="10">
        <v>48</v>
      </c>
      <c r="B50" s="10" t="s">
        <v>39</v>
      </c>
      <c r="C50" s="10" t="s">
        <v>90</v>
      </c>
      <c r="D50" s="10" t="s">
        <v>41</v>
      </c>
      <c r="E50" s="10" t="s">
        <v>90</v>
      </c>
      <c r="F50" s="18" t="s">
        <v>171</v>
      </c>
      <c r="G50" s="11" t="s">
        <v>172</v>
      </c>
      <c r="H50" s="10" t="s">
        <v>142</v>
      </c>
      <c r="I50" s="10" t="s">
        <v>143</v>
      </c>
      <c r="J50" s="10" t="s">
        <v>46</v>
      </c>
      <c r="K50" s="12" t="b">
        <v>1</v>
      </c>
      <c r="L50" s="13" t="s">
        <v>173</v>
      </c>
      <c r="M50" s="13"/>
      <c r="N50" s="13" t="s">
        <v>24</v>
      </c>
    </row>
    <row r="51" spans="1:14" ht="84.75" customHeight="1">
      <c r="A51" s="10">
        <v>49</v>
      </c>
      <c r="B51" s="10" t="s">
        <v>39</v>
      </c>
      <c r="C51" s="10" t="s">
        <v>85</v>
      </c>
      <c r="D51" s="10" t="s">
        <v>41</v>
      </c>
      <c r="E51" s="10" t="s">
        <v>85</v>
      </c>
      <c r="F51" s="10" t="s">
        <v>171</v>
      </c>
      <c r="G51" s="11" t="s">
        <v>174</v>
      </c>
      <c r="H51" s="10" t="s">
        <v>142</v>
      </c>
      <c r="I51" s="10" t="s">
        <v>143</v>
      </c>
      <c r="J51" s="10" t="s">
        <v>46</v>
      </c>
      <c r="K51" s="12" t="b">
        <v>1</v>
      </c>
      <c r="L51" s="13" t="s">
        <v>175</v>
      </c>
      <c r="M51" s="13"/>
      <c r="N51" s="13" t="s">
        <v>176</v>
      </c>
    </row>
    <row r="52" spans="1:14" ht="84.75" customHeight="1">
      <c r="A52" s="10">
        <v>50</v>
      </c>
      <c r="B52" s="10" t="s">
        <v>16</v>
      </c>
      <c r="C52" s="10" t="s">
        <v>145</v>
      </c>
      <c r="D52" s="10" t="s">
        <v>18</v>
      </c>
      <c r="E52" s="10" t="s">
        <v>145</v>
      </c>
      <c r="F52" s="10" t="s">
        <v>177</v>
      </c>
      <c r="G52" s="11" t="s">
        <v>178</v>
      </c>
      <c r="H52" s="10" t="s">
        <v>142</v>
      </c>
      <c r="I52" s="10" t="s">
        <v>143</v>
      </c>
      <c r="J52" s="10" t="s">
        <v>46</v>
      </c>
      <c r="K52" s="12" t="b">
        <v>1</v>
      </c>
      <c r="L52" s="13" t="s">
        <v>24</v>
      </c>
      <c r="M52" s="13"/>
      <c r="N52" s="13" t="s">
        <v>24</v>
      </c>
    </row>
    <row r="53" spans="1:14" ht="84.75" customHeight="1">
      <c r="A53" s="10">
        <v>51</v>
      </c>
      <c r="B53" s="10" t="s">
        <v>25</v>
      </c>
      <c r="C53" s="10" t="s">
        <v>96</v>
      </c>
      <c r="D53" s="10" t="s">
        <v>27</v>
      </c>
      <c r="E53" s="10" t="s">
        <v>96</v>
      </c>
      <c r="F53" s="10" t="s">
        <v>179</v>
      </c>
      <c r="G53" s="11" t="s">
        <v>180</v>
      </c>
      <c r="H53" s="10" t="s">
        <v>142</v>
      </c>
      <c r="I53" s="10" t="s">
        <v>143</v>
      </c>
      <c r="J53" s="10" t="s">
        <v>46</v>
      </c>
      <c r="K53" s="12" t="b">
        <v>1</v>
      </c>
      <c r="L53" s="13" t="s">
        <v>24</v>
      </c>
      <c r="M53" s="13"/>
      <c r="N53" s="13" t="s">
        <v>24</v>
      </c>
    </row>
    <row r="54" spans="1:14" ht="84.75" customHeight="1">
      <c r="A54" s="10">
        <v>52</v>
      </c>
      <c r="B54" s="10" t="s">
        <v>39</v>
      </c>
      <c r="C54" s="10" t="s">
        <v>40</v>
      </c>
      <c r="D54" s="10" t="s">
        <v>41</v>
      </c>
      <c r="E54" s="10" t="s">
        <v>40</v>
      </c>
      <c r="F54" s="10" t="s">
        <v>179</v>
      </c>
      <c r="G54" s="11" t="s">
        <v>181</v>
      </c>
      <c r="H54" s="10" t="s">
        <v>142</v>
      </c>
      <c r="I54" s="10" t="s">
        <v>143</v>
      </c>
      <c r="J54" s="10" t="s">
        <v>46</v>
      </c>
      <c r="K54" s="12" t="b">
        <v>1</v>
      </c>
      <c r="L54" s="13" t="s">
        <v>182</v>
      </c>
      <c r="M54" s="13"/>
      <c r="N54" s="13" t="s">
        <v>183</v>
      </c>
    </row>
    <row r="55" spans="1:14" ht="84.75" customHeight="1">
      <c r="A55" s="10">
        <v>53</v>
      </c>
      <c r="B55" s="10" t="s">
        <v>25</v>
      </c>
      <c r="C55" s="10" t="s">
        <v>51</v>
      </c>
      <c r="D55" s="10" t="s">
        <v>27</v>
      </c>
      <c r="E55" s="10" t="s">
        <v>51</v>
      </c>
      <c r="F55" s="10" t="s">
        <v>184</v>
      </c>
      <c r="G55" s="11" t="s">
        <v>185</v>
      </c>
      <c r="H55" s="10" t="s">
        <v>142</v>
      </c>
      <c r="I55" s="10" t="s">
        <v>143</v>
      </c>
      <c r="J55" s="10" t="s">
        <v>46</v>
      </c>
      <c r="K55" s="12" t="b">
        <v>1</v>
      </c>
      <c r="L55" s="13" t="s">
        <v>24</v>
      </c>
      <c r="M55" s="13"/>
      <c r="N55" s="13"/>
    </row>
    <row r="56" spans="1:14" ht="84.75" customHeight="1">
      <c r="A56" s="10">
        <v>54</v>
      </c>
      <c r="B56" s="10" t="s">
        <v>25</v>
      </c>
      <c r="C56" s="10" t="s">
        <v>70</v>
      </c>
      <c r="D56" s="10" t="s">
        <v>27</v>
      </c>
      <c r="E56" s="10" t="s">
        <v>70</v>
      </c>
      <c r="F56" s="10" t="s">
        <v>184</v>
      </c>
      <c r="G56" s="11" t="s">
        <v>186</v>
      </c>
      <c r="H56" s="10" t="s">
        <v>142</v>
      </c>
      <c r="I56" s="10" t="s">
        <v>143</v>
      </c>
      <c r="J56" s="10" t="s">
        <v>46</v>
      </c>
      <c r="K56" s="12" t="b">
        <v>1</v>
      </c>
      <c r="L56" s="13" t="s">
        <v>24</v>
      </c>
      <c r="M56" s="13"/>
      <c r="N56" s="13"/>
    </row>
    <row r="57" spans="1:14" ht="84.75" customHeight="1">
      <c r="A57" s="10">
        <v>55</v>
      </c>
      <c r="B57" s="10" t="s">
        <v>25</v>
      </c>
      <c r="C57" s="10" t="s">
        <v>96</v>
      </c>
      <c r="D57" s="10" t="s">
        <v>27</v>
      </c>
      <c r="E57" s="10" t="s">
        <v>96</v>
      </c>
      <c r="F57" s="18" t="s">
        <v>187</v>
      </c>
      <c r="G57" s="11" t="s">
        <v>188</v>
      </c>
      <c r="H57" s="10" t="s">
        <v>142</v>
      </c>
      <c r="I57" s="10" t="s">
        <v>143</v>
      </c>
      <c r="J57" s="10" t="s">
        <v>46</v>
      </c>
      <c r="K57" s="12" t="b">
        <v>1</v>
      </c>
      <c r="L57" s="13" t="s">
        <v>158</v>
      </c>
      <c r="M57" s="13"/>
      <c r="N57" s="13"/>
    </row>
    <row r="58" spans="1:14" ht="84.75" customHeight="1">
      <c r="A58" s="10">
        <v>56</v>
      </c>
      <c r="B58" s="10" t="s">
        <v>39</v>
      </c>
      <c r="C58" s="10" t="s">
        <v>85</v>
      </c>
      <c r="D58" s="10" t="s">
        <v>41</v>
      </c>
      <c r="E58" s="10" t="s">
        <v>85</v>
      </c>
      <c r="F58" s="10" t="s">
        <v>187</v>
      </c>
      <c r="G58" s="11" t="s">
        <v>189</v>
      </c>
      <c r="H58" s="10" t="s">
        <v>142</v>
      </c>
      <c r="I58" s="10" t="s">
        <v>143</v>
      </c>
      <c r="J58" s="10" t="s">
        <v>46</v>
      </c>
      <c r="K58" s="12" t="b">
        <v>1</v>
      </c>
      <c r="L58" s="13" t="s">
        <v>24</v>
      </c>
      <c r="M58" s="13"/>
      <c r="N58" s="13"/>
    </row>
    <row r="59" spans="1:14" ht="84.75" customHeight="1">
      <c r="A59" s="10">
        <v>57</v>
      </c>
      <c r="B59" s="10" t="s">
        <v>25</v>
      </c>
      <c r="C59" s="10" t="s">
        <v>66</v>
      </c>
      <c r="D59" s="10" t="s">
        <v>27</v>
      </c>
      <c r="E59" s="10" t="s">
        <v>66</v>
      </c>
      <c r="F59" s="10" t="s">
        <v>190</v>
      </c>
      <c r="G59" s="11" t="s">
        <v>191</v>
      </c>
      <c r="H59" s="10" t="s">
        <v>142</v>
      </c>
      <c r="I59" s="10" t="s">
        <v>143</v>
      </c>
      <c r="J59" s="10" t="s">
        <v>46</v>
      </c>
      <c r="K59" s="12" t="b">
        <v>1</v>
      </c>
      <c r="L59" s="13" t="s">
        <v>24</v>
      </c>
      <c r="M59" s="13"/>
      <c r="N59" s="13"/>
    </row>
    <row r="60" spans="1:14" ht="84.75" customHeight="1">
      <c r="A60" s="10">
        <v>58</v>
      </c>
      <c r="B60" s="10" t="s">
        <v>25</v>
      </c>
      <c r="C60" s="10" t="s">
        <v>96</v>
      </c>
      <c r="D60" s="10" t="s">
        <v>27</v>
      </c>
      <c r="E60" s="10" t="s">
        <v>96</v>
      </c>
      <c r="F60" s="10" t="s">
        <v>192</v>
      </c>
      <c r="G60" s="11" t="s">
        <v>193</v>
      </c>
      <c r="H60" s="10" t="s">
        <v>194</v>
      </c>
      <c r="I60" s="10" t="s">
        <v>195</v>
      </c>
      <c r="J60" s="10" t="s">
        <v>110</v>
      </c>
      <c r="K60" s="12" t="b">
        <v>1</v>
      </c>
      <c r="L60" s="13"/>
      <c r="M60" s="13"/>
      <c r="N60" s="13"/>
    </row>
    <row r="61" spans="1:14" ht="84.75" customHeight="1">
      <c r="A61" s="10">
        <v>59</v>
      </c>
      <c r="B61" s="10" t="s">
        <v>16</v>
      </c>
      <c r="C61" s="10" t="s">
        <v>29</v>
      </c>
      <c r="D61" s="10" t="s">
        <v>18</v>
      </c>
      <c r="E61" s="10" t="s">
        <v>29</v>
      </c>
      <c r="F61" s="10" t="s">
        <v>192</v>
      </c>
      <c r="G61" s="11" t="s">
        <v>196</v>
      </c>
      <c r="H61" s="10" t="s">
        <v>194</v>
      </c>
      <c r="I61" s="10" t="s">
        <v>195</v>
      </c>
      <c r="J61" s="10" t="s">
        <v>110</v>
      </c>
      <c r="K61" s="12" t="b">
        <v>1</v>
      </c>
      <c r="L61" s="13"/>
      <c r="M61" s="13"/>
      <c r="N61" s="13"/>
    </row>
    <row r="62" spans="1:14" ht="84.75" customHeight="1">
      <c r="A62" s="10">
        <v>60</v>
      </c>
      <c r="B62" s="10" t="s">
        <v>25</v>
      </c>
      <c r="C62" s="10" t="s">
        <v>96</v>
      </c>
      <c r="D62" s="10" t="s">
        <v>27</v>
      </c>
      <c r="E62" s="10" t="s">
        <v>96</v>
      </c>
      <c r="F62" s="10" t="s">
        <v>197</v>
      </c>
      <c r="G62" s="11" t="s">
        <v>198</v>
      </c>
      <c r="H62" s="10" t="s">
        <v>194</v>
      </c>
      <c r="I62" s="10" t="s">
        <v>195</v>
      </c>
      <c r="J62" s="10" t="s">
        <v>110</v>
      </c>
      <c r="K62" s="12" t="b">
        <v>1</v>
      </c>
      <c r="L62" s="13"/>
      <c r="M62" s="13"/>
      <c r="N62" s="13"/>
    </row>
    <row r="63" spans="1:14" ht="84.75" customHeight="1">
      <c r="A63" s="10">
        <v>61</v>
      </c>
      <c r="B63" s="10" t="s">
        <v>33</v>
      </c>
      <c r="C63" s="10" t="s">
        <v>199</v>
      </c>
      <c r="D63" s="10" t="s">
        <v>35</v>
      </c>
      <c r="E63" s="10" t="s">
        <v>199</v>
      </c>
      <c r="F63" s="10" t="s">
        <v>200</v>
      </c>
      <c r="G63" s="11" t="s">
        <v>201</v>
      </c>
      <c r="H63" s="10" t="s">
        <v>194</v>
      </c>
      <c r="I63" s="10" t="s">
        <v>195</v>
      </c>
      <c r="J63" s="10" t="s">
        <v>110</v>
      </c>
      <c r="K63" s="12" t="b">
        <v>1</v>
      </c>
      <c r="L63" s="19" t="s">
        <v>202</v>
      </c>
      <c r="M63" s="13"/>
      <c r="N63" s="13"/>
    </row>
    <row r="64" spans="1:14" ht="128.25">
      <c r="A64" s="10">
        <v>62</v>
      </c>
      <c r="B64" s="10" t="s">
        <v>16</v>
      </c>
      <c r="C64" s="10" t="s">
        <v>29</v>
      </c>
      <c r="D64" s="10" t="s">
        <v>18</v>
      </c>
      <c r="E64" s="10" t="s">
        <v>29</v>
      </c>
      <c r="F64" s="10" t="s">
        <v>203</v>
      </c>
      <c r="G64" s="11" t="s">
        <v>204</v>
      </c>
      <c r="H64" s="10" t="s">
        <v>194</v>
      </c>
      <c r="I64" s="10" t="s">
        <v>195</v>
      </c>
      <c r="J64" s="10" t="s">
        <v>110</v>
      </c>
      <c r="K64" s="12" t="b">
        <v>1</v>
      </c>
      <c r="L64" s="13" t="s">
        <v>205</v>
      </c>
      <c r="M64" s="13"/>
      <c r="N64" s="13"/>
    </row>
    <row r="65" spans="1:14" ht="84.75" customHeight="1">
      <c r="A65" s="10">
        <v>63</v>
      </c>
      <c r="B65" s="10" t="s">
        <v>25</v>
      </c>
      <c r="C65" s="10" t="s">
        <v>79</v>
      </c>
      <c r="D65" s="10" t="s">
        <v>27</v>
      </c>
      <c r="E65" s="10" t="s">
        <v>79</v>
      </c>
      <c r="F65" s="10" t="s">
        <v>203</v>
      </c>
      <c r="G65" s="11" t="s">
        <v>206</v>
      </c>
      <c r="H65" s="10" t="s">
        <v>194</v>
      </c>
      <c r="I65" s="10" t="s">
        <v>195</v>
      </c>
      <c r="J65" s="10" t="s">
        <v>110</v>
      </c>
      <c r="K65" s="12" t="b">
        <v>1</v>
      </c>
      <c r="L65" s="13" t="s">
        <v>207</v>
      </c>
      <c r="M65" s="13"/>
      <c r="N65" s="13"/>
    </row>
    <row r="66" spans="1:14" ht="171">
      <c r="A66" s="10">
        <v>64</v>
      </c>
      <c r="B66" s="10" t="s">
        <v>25</v>
      </c>
      <c r="C66" s="10" t="s">
        <v>26</v>
      </c>
      <c r="D66" s="10" t="s">
        <v>27</v>
      </c>
      <c r="E66" s="10" t="s">
        <v>26</v>
      </c>
      <c r="F66" s="10" t="s">
        <v>208</v>
      </c>
      <c r="G66" s="11" t="s">
        <v>209</v>
      </c>
      <c r="H66" s="10" t="s">
        <v>194</v>
      </c>
      <c r="I66" s="10" t="s">
        <v>195</v>
      </c>
      <c r="J66" s="10" t="s">
        <v>110</v>
      </c>
      <c r="K66" s="12" t="b">
        <v>1</v>
      </c>
      <c r="L66" s="13" t="s">
        <v>24</v>
      </c>
      <c r="M66" s="13"/>
      <c r="N66" s="13"/>
    </row>
    <row r="67" spans="1:14" ht="84.75" customHeight="1">
      <c r="A67" s="10">
        <v>65</v>
      </c>
      <c r="B67" s="10" t="s">
        <v>25</v>
      </c>
      <c r="C67" s="10" t="s">
        <v>96</v>
      </c>
      <c r="D67" s="10" t="s">
        <v>27</v>
      </c>
      <c r="E67" s="10" t="s">
        <v>96</v>
      </c>
      <c r="F67" s="10" t="s">
        <v>208</v>
      </c>
      <c r="G67" s="11" t="s">
        <v>210</v>
      </c>
      <c r="H67" s="10" t="s">
        <v>194</v>
      </c>
      <c r="I67" s="10" t="s">
        <v>195</v>
      </c>
      <c r="J67" s="10" t="s">
        <v>110</v>
      </c>
      <c r="K67" s="12" t="b">
        <v>1</v>
      </c>
      <c r="L67" s="13" t="s">
        <v>211</v>
      </c>
      <c r="M67" s="13"/>
      <c r="N67" s="13"/>
    </row>
    <row r="68" spans="1:14" ht="171">
      <c r="A68" s="10">
        <v>66</v>
      </c>
      <c r="B68" s="10" t="s">
        <v>33</v>
      </c>
      <c r="C68" s="10" t="s">
        <v>199</v>
      </c>
      <c r="D68" s="10" t="s">
        <v>35</v>
      </c>
      <c r="E68" s="10" t="s">
        <v>199</v>
      </c>
      <c r="F68" s="10" t="s">
        <v>208</v>
      </c>
      <c r="G68" s="11" t="s">
        <v>212</v>
      </c>
      <c r="H68" s="10" t="s">
        <v>194</v>
      </c>
      <c r="I68" s="10" t="s">
        <v>195</v>
      </c>
      <c r="J68" s="10" t="s">
        <v>110</v>
      </c>
      <c r="K68" s="12" t="b">
        <v>1</v>
      </c>
      <c r="L68" s="13" t="s">
        <v>213</v>
      </c>
      <c r="M68" s="13"/>
      <c r="N68" s="13"/>
    </row>
    <row r="69" spans="1:14" ht="84.75" customHeight="1">
      <c r="A69" s="10">
        <v>67</v>
      </c>
      <c r="B69" s="10" t="s">
        <v>39</v>
      </c>
      <c r="C69" s="10" t="s">
        <v>40</v>
      </c>
      <c r="D69" s="10" t="s">
        <v>41</v>
      </c>
      <c r="E69" s="10" t="s">
        <v>40</v>
      </c>
      <c r="F69" s="10" t="s">
        <v>214</v>
      </c>
      <c r="G69" s="11" t="s">
        <v>215</v>
      </c>
      <c r="H69" s="10" t="s">
        <v>194</v>
      </c>
      <c r="I69" s="10" t="s">
        <v>195</v>
      </c>
      <c r="J69" s="10" t="s">
        <v>110</v>
      </c>
      <c r="K69" s="12" t="b">
        <v>1</v>
      </c>
      <c r="L69" s="13" t="s">
        <v>216</v>
      </c>
      <c r="M69" s="13"/>
      <c r="N69" s="13"/>
    </row>
    <row r="70" spans="1:14" ht="199.5">
      <c r="A70" s="10">
        <v>68</v>
      </c>
      <c r="B70" s="10" t="s">
        <v>25</v>
      </c>
      <c r="C70" s="10" t="s">
        <v>96</v>
      </c>
      <c r="D70" s="10" t="s">
        <v>27</v>
      </c>
      <c r="E70" s="10" t="s">
        <v>96</v>
      </c>
      <c r="F70" s="10" t="s">
        <v>217</v>
      </c>
      <c r="G70" s="11" t="s">
        <v>218</v>
      </c>
      <c r="H70" s="10" t="s">
        <v>194</v>
      </c>
      <c r="I70" s="10" t="s">
        <v>195</v>
      </c>
      <c r="J70" s="10" t="s">
        <v>110</v>
      </c>
      <c r="K70" s="12" t="b">
        <v>1</v>
      </c>
      <c r="L70" s="13" t="s">
        <v>219</v>
      </c>
      <c r="M70" s="13"/>
      <c r="N70" s="13"/>
    </row>
    <row r="71" spans="1:14" ht="14.25" customHeight="1">
      <c r="A71" s="10">
        <v>69</v>
      </c>
      <c r="B71" s="10" t="s">
        <v>25</v>
      </c>
      <c r="C71" s="10" t="s">
        <v>70</v>
      </c>
      <c r="D71" s="10" t="s">
        <v>27</v>
      </c>
      <c r="E71" s="10" t="s">
        <v>70</v>
      </c>
      <c r="F71" s="10" t="s">
        <v>217</v>
      </c>
      <c r="G71" s="11" t="s">
        <v>220</v>
      </c>
      <c r="H71" s="10" t="s">
        <v>194</v>
      </c>
      <c r="I71" s="10" t="s">
        <v>195</v>
      </c>
      <c r="J71" s="10" t="s">
        <v>110</v>
      </c>
      <c r="K71" s="12" t="b">
        <v>1</v>
      </c>
      <c r="L71" s="13" t="s">
        <v>24</v>
      </c>
      <c r="M71" s="13"/>
      <c r="N71" s="13"/>
    </row>
    <row r="72" spans="1:14" ht="14.25" customHeight="1">
      <c r="A72" s="10">
        <v>70</v>
      </c>
      <c r="B72" s="10" t="s">
        <v>25</v>
      </c>
      <c r="C72" s="10" t="s">
        <v>79</v>
      </c>
      <c r="D72" s="10" t="s">
        <v>27</v>
      </c>
      <c r="E72" s="10" t="s">
        <v>79</v>
      </c>
      <c r="F72" s="10" t="s">
        <v>217</v>
      </c>
      <c r="G72" s="11" t="s">
        <v>221</v>
      </c>
      <c r="H72" s="10" t="s">
        <v>194</v>
      </c>
      <c r="I72" s="10" t="s">
        <v>195</v>
      </c>
      <c r="J72" s="10" t="s">
        <v>110</v>
      </c>
      <c r="K72" s="12" t="b">
        <v>1</v>
      </c>
      <c r="L72" s="13" t="s">
        <v>24</v>
      </c>
      <c r="M72" s="13"/>
      <c r="N72" s="13"/>
    </row>
    <row r="73" spans="1:14" ht="14.25" customHeight="1">
      <c r="A73" s="10">
        <v>71</v>
      </c>
      <c r="B73" s="10" t="s">
        <v>25</v>
      </c>
      <c r="C73" s="10" t="s">
        <v>51</v>
      </c>
      <c r="D73" s="10" t="s">
        <v>27</v>
      </c>
      <c r="E73" s="10" t="s">
        <v>51</v>
      </c>
      <c r="F73" s="10" t="s">
        <v>222</v>
      </c>
      <c r="G73" s="11" t="s">
        <v>223</v>
      </c>
      <c r="H73" s="10" t="s">
        <v>224</v>
      </c>
      <c r="I73" s="10" t="s">
        <v>225</v>
      </c>
      <c r="J73" s="10" t="s">
        <v>46</v>
      </c>
      <c r="K73" s="12" t="b">
        <v>1</v>
      </c>
      <c r="L73" s="13" t="s">
        <v>226</v>
      </c>
      <c r="M73" s="13"/>
      <c r="N73" s="13"/>
    </row>
    <row r="74" spans="1:14" ht="14.25" customHeight="1">
      <c r="A74" s="10">
        <v>72</v>
      </c>
      <c r="B74" s="10" t="s">
        <v>25</v>
      </c>
      <c r="C74" s="10" t="s">
        <v>66</v>
      </c>
      <c r="D74" s="10" t="s">
        <v>27</v>
      </c>
      <c r="E74" s="10" t="s">
        <v>66</v>
      </c>
      <c r="F74" s="10" t="s">
        <v>227</v>
      </c>
      <c r="G74" s="11" t="s">
        <v>228</v>
      </c>
      <c r="H74" s="10" t="s">
        <v>224</v>
      </c>
      <c r="I74" s="10" t="s">
        <v>225</v>
      </c>
      <c r="J74" s="10" t="s">
        <v>46</v>
      </c>
      <c r="K74" s="12" t="b">
        <v>1</v>
      </c>
      <c r="L74" s="19" t="s">
        <v>229</v>
      </c>
      <c r="M74" s="13"/>
      <c r="N74" s="13"/>
    </row>
    <row r="75" spans="1:14" ht="14.25" customHeight="1">
      <c r="A75" s="10">
        <v>73</v>
      </c>
      <c r="B75" s="10" t="s">
        <v>39</v>
      </c>
      <c r="C75" s="10" t="s">
        <v>40</v>
      </c>
      <c r="D75" s="10" t="s">
        <v>41</v>
      </c>
      <c r="E75" s="10" t="s">
        <v>40</v>
      </c>
      <c r="F75" s="10" t="s">
        <v>230</v>
      </c>
      <c r="G75" s="11" t="s">
        <v>231</v>
      </c>
      <c r="H75" s="10" t="s">
        <v>224</v>
      </c>
      <c r="I75" s="10" t="s">
        <v>225</v>
      </c>
      <c r="J75" s="10" t="s">
        <v>46</v>
      </c>
      <c r="K75" s="12" t="b">
        <v>1</v>
      </c>
      <c r="L75" s="13" t="s">
        <v>232</v>
      </c>
      <c r="M75" s="13"/>
      <c r="N75" s="13"/>
    </row>
    <row r="76" spans="1:14" ht="14.25" customHeight="1">
      <c r="A76" s="10">
        <v>74</v>
      </c>
      <c r="B76" s="10" t="s">
        <v>25</v>
      </c>
      <c r="C76" s="10" t="s">
        <v>66</v>
      </c>
      <c r="D76" s="10" t="s">
        <v>27</v>
      </c>
      <c r="E76" s="10" t="s">
        <v>66</v>
      </c>
      <c r="F76" s="18" t="s">
        <v>233</v>
      </c>
      <c r="G76" s="11" t="s">
        <v>234</v>
      </c>
      <c r="H76" s="10" t="s">
        <v>224</v>
      </c>
      <c r="I76" s="10" t="s">
        <v>225</v>
      </c>
      <c r="J76" s="10" t="s">
        <v>46</v>
      </c>
      <c r="K76" s="12" t="b">
        <v>1</v>
      </c>
      <c r="L76" s="19" t="s">
        <v>235</v>
      </c>
      <c r="M76" s="13"/>
      <c r="N76" s="13"/>
    </row>
    <row r="77" spans="1:14" ht="14.25" customHeight="1">
      <c r="A77" s="10">
        <v>75</v>
      </c>
      <c r="B77" s="10" t="s">
        <v>25</v>
      </c>
      <c r="C77" s="10" t="s">
        <v>70</v>
      </c>
      <c r="D77" s="10" t="s">
        <v>27</v>
      </c>
      <c r="E77" s="10" t="s">
        <v>70</v>
      </c>
      <c r="F77" s="10" t="s">
        <v>233</v>
      </c>
      <c r="G77" s="11" t="s">
        <v>236</v>
      </c>
      <c r="H77" s="10" t="s">
        <v>224</v>
      </c>
      <c r="I77" s="10" t="s">
        <v>225</v>
      </c>
      <c r="J77" s="10" t="s">
        <v>46</v>
      </c>
      <c r="K77" s="12" t="b">
        <v>1</v>
      </c>
      <c r="L77" s="13" t="s">
        <v>237</v>
      </c>
      <c r="M77" s="13"/>
      <c r="N77" s="13"/>
    </row>
    <row r="78" spans="1:14" ht="14.25" customHeight="1">
      <c r="A78" s="10">
        <v>76</v>
      </c>
      <c r="B78" s="10" t="s">
        <v>25</v>
      </c>
      <c r="C78" s="10" t="s">
        <v>70</v>
      </c>
      <c r="D78" s="10" t="s">
        <v>27</v>
      </c>
      <c r="E78" s="10" t="s">
        <v>70</v>
      </c>
      <c r="F78" s="10" t="s">
        <v>238</v>
      </c>
      <c r="G78" s="11" t="s">
        <v>239</v>
      </c>
      <c r="H78" s="10" t="s">
        <v>224</v>
      </c>
      <c r="I78" s="10" t="s">
        <v>225</v>
      </c>
      <c r="J78" s="10" t="s">
        <v>46</v>
      </c>
      <c r="K78" s="12" t="b">
        <v>1</v>
      </c>
      <c r="L78" s="13" t="s">
        <v>24</v>
      </c>
      <c r="M78" s="13"/>
      <c r="N78" s="13"/>
    </row>
    <row r="79" spans="1:14" ht="14.25" customHeight="1">
      <c r="A79" s="10">
        <v>77</v>
      </c>
      <c r="B79" s="10" t="s">
        <v>39</v>
      </c>
      <c r="C79" s="10" t="s">
        <v>40</v>
      </c>
      <c r="D79" s="10" t="s">
        <v>41</v>
      </c>
      <c r="E79" s="10" t="s">
        <v>40</v>
      </c>
      <c r="F79" s="10" t="s">
        <v>240</v>
      </c>
      <c r="G79" s="11" t="s">
        <v>241</v>
      </c>
      <c r="H79" s="10" t="s">
        <v>224</v>
      </c>
      <c r="I79" s="10" t="s">
        <v>225</v>
      </c>
      <c r="J79" s="10" t="s">
        <v>46</v>
      </c>
      <c r="K79" s="12" t="b">
        <v>1</v>
      </c>
      <c r="L79" s="13"/>
      <c r="M79" s="13"/>
      <c r="N79" s="13"/>
    </row>
    <row r="80" spans="1:14" ht="14.25" customHeight="1">
      <c r="A80" s="12">
        <v>78</v>
      </c>
      <c r="B80" s="12" t="s">
        <v>16</v>
      </c>
      <c r="C80" s="12" t="s">
        <v>145</v>
      </c>
      <c r="D80" s="12" t="s">
        <v>18</v>
      </c>
      <c r="E80" s="12" t="s">
        <v>145</v>
      </c>
      <c r="F80" s="10" t="s">
        <v>242</v>
      </c>
      <c r="G80" s="21" t="s">
        <v>243</v>
      </c>
      <c r="H80" s="12" t="s">
        <v>244</v>
      </c>
      <c r="I80" s="12" t="s">
        <v>245</v>
      </c>
      <c r="J80" s="12" t="s">
        <v>246</v>
      </c>
      <c r="K80" s="12" t="b">
        <v>1</v>
      </c>
      <c r="L80" s="13" t="s">
        <v>24</v>
      </c>
      <c r="M80" s="13"/>
      <c r="N80" s="13"/>
    </row>
    <row r="81" spans="1:14" ht="14.25" customHeight="1">
      <c r="A81" s="12">
        <v>79</v>
      </c>
      <c r="B81" s="12" t="s">
        <v>25</v>
      </c>
      <c r="C81" s="12" t="s">
        <v>49</v>
      </c>
      <c r="D81" s="12" t="s">
        <v>27</v>
      </c>
      <c r="E81" s="12" t="s">
        <v>49</v>
      </c>
      <c r="F81" s="10" t="s">
        <v>247</v>
      </c>
      <c r="G81" s="21" t="s">
        <v>248</v>
      </c>
      <c r="H81" s="12" t="s">
        <v>244</v>
      </c>
      <c r="I81" s="12" t="s">
        <v>245</v>
      </c>
      <c r="J81" s="12" t="s">
        <v>246</v>
      </c>
      <c r="K81" s="12" t="b">
        <v>1</v>
      </c>
      <c r="L81" s="13" t="s">
        <v>24</v>
      </c>
      <c r="M81" s="13"/>
      <c r="N81" s="13"/>
    </row>
    <row r="82" spans="1:14" ht="14.25" customHeight="1">
      <c r="A82" s="12">
        <v>80</v>
      </c>
      <c r="B82" s="12" t="s">
        <v>25</v>
      </c>
      <c r="C82" s="12" t="s">
        <v>70</v>
      </c>
      <c r="D82" s="12" t="s">
        <v>27</v>
      </c>
      <c r="E82" s="12" t="s">
        <v>70</v>
      </c>
      <c r="F82" s="10" t="s">
        <v>249</v>
      </c>
      <c r="G82" s="22" t="s">
        <v>250</v>
      </c>
      <c r="H82" s="12" t="s">
        <v>244</v>
      </c>
      <c r="I82" s="12" t="s">
        <v>245</v>
      </c>
      <c r="J82" s="12" t="s">
        <v>246</v>
      </c>
      <c r="K82" s="12" t="b">
        <v>1</v>
      </c>
      <c r="L82" s="13" t="s">
        <v>251</v>
      </c>
      <c r="M82" s="13"/>
      <c r="N82" s="13"/>
    </row>
    <row r="83" spans="1:14" ht="14.25" customHeight="1">
      <c r="A83" s="12">
        <v>81</v>
      </c>
      <c r="B83" s="12" t="s">
        <v>25</v>
      </c>
      <c r="C83" s="12" t="s">
        <v>66</v>
      </c>
      <c r="D83" s="12" t="s">
        <v>27</v>
      </c>
      <c r="E83" s="12" t="s">
        <v>66</v>
      </c>
      <c r="F83" s="10" t="s">
        <v>249</v>
      </c>
      <c r="G83" s="21" t="s">
        <v>252</v>
      </c>
      <c r="H83" s="12" t="s">
        <v>244</v>
      </c>
      <c r="I83" s="12" t="s">
        <v>245</v>
      </c>
      <c r="J83" s="12" t="s">
        <v>246</v>
      </c>
      <c r="K83" s="12" t="b">
        <v>1</v>
      </c>
      <c r="L83" s="13" t="s">
        <v>24</v>
      </c>
      <c r="M83" s="13"/>
      <c r="N83" s="13"/>
    </row>
    <row r="84" spans="1:14" ht="14.25" customHeight="1">
      <c r="A84" s="12">
        <v>82</v>
      </c>
      <c r="B84" s="12" t="s">
        <v>25</v>
      </c>
      <c r="C84" s="12" t="s">
        <v>79</v>
      </c>
      <c r="D84" s="12" t="s">
        <v>27</v>
      </c>
      <c r="E84" s="12" t="s">
        <v>79</v>
      </c>
      <c r="F84" s="10" t="s">
        <v>253</v>
      </c>
      <c r="G84" s="22" t="s">
        <v>254</v>
      </c>
      <c r="H84" s="12" t="s">
        <v>255</v>
      </c>
      <c r="I84" s="12" t="s">
        <v>256</v>
      </c>
      <c r="J84" s="12" t="s">
        <v>246</v>
      </c>
      <c r="K84" s="12" t="b">
        <v>1</v>
      </c>
      <c r="L84" s="13" t="s">
        <v>251</v>
      </c>
      <c r="M84" s="13"/>
      <c r="N84" s="13"/>
    </row>
    <row r="85" spans="1:14" ht="14.25" customHeight="1">
      <c r="A85" s="12">
        <v>83</v>
      </c>
      <c r="B85" s="12" t="s">
        <v>25</v>
      </c>
      <c r="C85" s="12" t="s">
        <v>51</v>
      </c>
      <c r="D85" s="12" t="s">
        <v>27</v>
      </c>
      <c r="E85" s="12" t="s">
        <v>51</v>
      </c>
      <c r="F85" s="10" t="s">
        <v>257</v>
      </c>
      <c r="G85" s="22" t="s">
        <v>258</v>
      </c>
      <c r="H85" s="12" t="s">
        <v>255</v>
      </c>
      <c r="I85" s="12" t="s">
        <v>256</v>
      </c>
      <c r="J85" s="12" t="s">
        <v>246</v>
      </c>
      <c r="K85" s="12" t="b">
        <v>1</v>
      </c>
      <c r="L85" s="13" t="s">
        <v>259</v>
      </c>
      <c r="M85" s="13"/>
      <c r="N85" s="13"/>
    </row>
    <row r="86" spans="1:14" ht="14.25" customHeight="1">
      <c r="A86" s="12">
        <v>84</v>
      </c>
      <c r="B86" s="12" t="s">
        <v>25</v>
      </c>
      <c r="C86" s="12" t="s">
        <v>70</v>
      </c>
      <c r="D86" s="12" t="s">
        <v>27</v>
      </c>
      <c r="E86" s="12" t="s">
        <v>70</v>
      </c>
      <c r="F86" s="10" t="s">
        <v>260</v>
      </c>
      <c r="G86" s="22" t="s">
        <v>261</v>
      </c>
      <c r="H86" s="12" t="s">
        <v>255</v>
      </c>
      <c r="I86" s="12" t="s">
        <v>256</v>
      </c>
      <c r="J86" s="12" t="s">
        <v>246</v>
      </c>
      <c r="K86" s="12" t="b">
        <v>1</v>
      </c>
      <c r="L86" s="13" t="s">
        <v>24</v>
      </c>
      <c r="M86" s="13"/>
      <c r="N86" s="13"/>
    </row>
    <row r="87" spans="1:14" ht="14.25" customHeight="1">
      <c r="A87" s="12">
        <v>85</v>
      </c>
      <c r="B87" s="12" t="s">
        <v>25</v>
      </c>
      <c r="C87" s="12" t="s">
        <v>70</v>
      </c>
      <c r="D87" s="12" t="s">
        <v>27</v>
      </c>
      <c r="E87" s="12" t="s">
        <v>70</v>
      </c>
      <c r="F87" s="10" t="s">
        <v>262</v>
      </c>
      <c r="G87" s="22" t="s">
        <v>263</v>
      </c>
      <c r="H87" s="12" t="s">
        <v>255</v>
      </c>
      <c r="I87" s="12" t="s">
        <v>256</v>
      </c>
      <c r="J87" s="12" t="s">
        <v>246</v>
      </c>
      <c r="K87" s="12" t="b">
        <v>1</v>
      </c>
      <c r="L87" s="13" t="s">
        <v>24</v>
      </c>
      <c r="M87" s="13"/>
      <c r="N87" s="13"/>
    </row>
    <row r="88" spans="1:14" ht="14.25" customHeight="1">
      <c r="A88" s="12">
        <v>86</v>
      </c>
      <c r="B88" s="12" t="s">
        <v>25</v>
      </c>
      <c r="C88" s="12" t="s">
        <v>96</v>
      </c>
      <c r="D88" s="12" t="s">
        <v>27</v>
      </c>
      <c r="E88" s="12" t="s">
        <v>96</v>
      </c>
      <c r="F88" s="10" t="s">
        <v>264</v>
      </c>
      <c r="G88" s="22" t="s">
        <v>265</v>
      </c>
      <c r="H88" s="12" t="s">
        <v>255</v>
      </c>
      <c r="I88" s="12" t="s">
        <v>256</v>
      </c>
      <c r="J88" s="12" t="s">
        <v>246</v>
      </c>
      <c r="K88" s="12" t="b">
        <v>1</v>
      </c>
      <c r="L88" s="13" t="s">
        <v>266</v>
      </c>
      <c r="M88" s="13"/>
      <c r="N88" s="13"/>
    </row>
    <row r="89" spans="1:14" ht="14.25" customHeight="1">
      <c r="A89" s="12">
        <v>87</v>
      </c>
      <c r="B89" s="12" t="s">
        <v>39</v>
      </c>
      <c r="C89" s="12" t="s">
        <v>90</v>
      </c>
      <c r="D89" s="12" t="s">
        <v>41</v>
      </c>
      <c r="E89" s="12" t="s">
        <v>90</v>
      </c>
      <c r="F89" s="10" t="s">
        <v>267</v>
      </c>
      <c r="G89" s="22" t="s">
        <v>268</v>
      </c>
      <c r="H89" s="12" t="s">
        <v>255</v>
      </c>
      <c r="I89" s="12" t="s">
        <v>256</v>
      </c>
      <c r="J89" s="12" t="s">
        <v>246</v>
      </c>
      <c r="K89" s="12" t="b">
        <v>1</v>
      </c>
      <c r="L89" s="13" t="s">
        <v>269</v>
      </c>
      <c r="M89" s="13"/>
      <c r="N89" s="13"/>
    </row>
    <row r="90" spans="1:14" ht="14.25" customHeight="1">
      <c r="A90" s="12">
        <v>88</v>
      </c>
      <c r="B90" s="12" t="s">
        <v>39</v>
      </c>
      <c r="C90" s="12" t="s">
        <v>40</v>
      </c>
      <c r="D90" s="12" t="s">
        <v>41</v>
      </c>
      <c r="E90" s="12" t="s">
        <v>40</v>
      </c>
      <c r="F90" s="10" t="s">
        <v>270</v>
      </c>
      <c r="G90" s="22" t="s">
        <v>271</v>
      </c>
      <c r="H90" s="12" t="s">
        <v>272</v>
      </c>
      <c r="I90" s="12" t="s">
        <v>273</v>
      </c>
      <c r="J90" s="12" t="s">
        <v>246</v>
      </c>
      <c r="K90" s="12" t="b">
        <v>1</v>
      </c>
      <c r="L90" s="13" t="s">
        <v>274</v>
      </c>
      <c r="M90" s="13"/>
      <c r="N90" s="13"/>
    </row>
    <row r="91" spans="1:14" ht="14.25" customHeight="1">
      <c r="A91" s="12">
        <v>89</v>
      </c>
      <c r="B91" s="12" t="s">
        <v>25</v>
      </c>
      <c r="C91" s="12" t="s">
        <v>70</v>
      </c>
      <c r="D91" s="12" t="s">
        <v>27</v>
      </c>
      <c r="E91" s="12" t="s">
        <v>70</v>
      </c>
      <c r="F91" s="10" t="s">
        <v>275</v>
      </c>
      <c r="G91" s="22" t="s">
        <v>276</v>
      </c>
      <c r="H91" s="12" t="s">
        <v>272</v>
      </c>
      <c r="I91" s="12" t="s">
        <v>273</v>
      </c>
      <c r="J91" s="12" t="s">
        <v>246</v>
      </c>
      <c r="K91" s="12" t="b">
        <v>1</v>
      </c>
      <c r="L91" s="13" t="s">
        <v>24</v>
      </c>
      <c r="M91" s="13"/>
      <c r="N91" s="13"/>
    </row>
    <row r="92" spans="1:14" ht="14.25" customHeight="1">
      <c r="A92" s="12">
        <v>90</v>
      </c>
      <c r="B92" s="12" t="s">
        <v>25</v>
      </c>
      <c r="C92" s="12" t="s">
        <v>26</v>
      </c>
      <c r="D92" s="12" t="s">
        <v>27</v>
      </c>
      <c r="E92" s="12" t="s">
        <v>26</v>
      </c>
      <c r="F92" s="18" t="s">
        <v>277</v>
      </c>
      <c r="G92" s="22" t="s">
        <v>278</v>
      </c>
      <c r="H92" s="12" t="s">
        <v>272</v>
      </c>
      <c r="I92" s="12" t="s">
        <v>273</v>
      </c>
      <c r="J92" s="12" t="s">
        <v>246</v>
      </c>
      <c r="K92" s="12" t="b">
        <v>1</v>
      </c>
      <c r="L92" s="13" t="s">
        <v>24</v>
      </c>
      <c r="M92" s="13"/>
      <c r="N92" s="13"/>
    </row>
    <row r="93" spans="1:14" ht="14.25" customHeight="1">
      <c r="A93" s="12">
        <v>91</v>
      </c>
      <c r="B93" s="12" t="s">
        <v>25</v>
      </c>
      <c r="C93" s="12" t="s">
        <v>66</v>
      </c>
      <c r="D93" s="12" t="s">
        <v>27</v>
      </c>
      <c r="E93" s="12" t="s">
        <v>66</v>
      </c>
      <c r="F93" s="10" t="s">
        <v>279</v>
      </c>
      <c r="G93" s="22" t="s">
        <v>280</v>
      </c>
      <c r="H93" s="12" t="s">
        <v>272</v>
      </c>
      <c r="I93" s="12" t="s">
        <v>273</v>
      </c>
      <c r="J93" s="12" t="s">
        <v>246</v>
      </c>
      <c r="K93" s="12" t="b">
        <v>1</v>
      </c>
      <c r="L93" s="13" t="s">
        <v>24</v>
      </c>
      <c r="M93" s="13"/>
      <c r="N93" s="13"/>
    </row>
    <row r="94" spans="1:14" ht="14.25" customHeight="1">
      <c r="A94" s="12">
        <v>92</v>
      </c>
      <c r="B94" s="12" t="s">
        <v>39</v>
      </c>
      <c r="C94" s="12" t="s">
        <v>40</v>
      </c>
      <c r="D94" s="12" t="s">
        <v>41</v>
      </c>
      <c r="E94" s="12" t="s">
        <v>40</v>
      </c>
      <c r="F94" s="10" t="s">
        <v>281</v>
      </c>
      <c r="G94" s="22" t="s">
        <v>282</v>
      </c>
      <c r="H94" s="12" t="s">
        <v>272</v>
      </c>
      <c r="I94" s="12" t="s">
        <v>273</v>
      </c>
      <c r="J94" s="12" t="s">
        <v>246</v>
      </c>
      <c r="K94" s="12" t="b">
        <v>1</v>
      </c>
      <c r="L94" s="13" t="s">
        <v>24</v>
      </c>
      <c r="M94" s="13"/>
      <c r="N94" s="13"/>
    </row>
    <row r="95" spans="1:14" ht="14.25" customHeight="1">
      <c r="A95" s="12">
        <v>93</v>
      </c>
      <c r="B95" s="12" t="s">
        <v>25</v>
      </c>
      <c r="C95" s="12" t="s">
        <v>96</v>
      </c>
      <c r="D95" s="12" t="s">
        <v>27</v>
      </c>
      <c r="E95" s="12" t="s">
        <v>96</v>
      </c>
      <c r="F95" s="18" t="s">
        <v>283</v>
      </c>
      <c r="G95" s="22" t="s">
        <v>284</v>
      </c>
      <c r="H95" s="12" t="s">
        <v>272</v>
      </c>
      <c r="I95" s="12" t="s">
        <v>273</v>
      </c>
      <c r="J95" s="12" t="s">
        <v>246</v>
      </c>
      <c r="K95" s="12" t="b">
        <v>1</v>
      </c>
      <c r="L95" s="13" t="s">
        <v>24</v>
      </c>
      <c r="M95" s="13"/>
      <c r="N95" s="13"/>
    </row>
    <row r="96" spans="1:14" ht="14.25" customHeight="1">
      <c r="A96" s="12">
        <v>94</v>
      </c>
      <c r="B96" s="12" t="s">
        <v>25</v>
      </c>
      <c r="C96" s="12" t="s">
        <v>51</v>
      </c>
      <c r="D96" s="12" t="s">
        <v>27</v>
      </c>
      <c r="E96" s="12" t="s">
        <v>51</v>
      </c>
      <c r="F96" s="10" t="s">
        <v>285</v>
      </c>
      <c r="G96" s="22" t="s">
        <v>286</v>
      </c>
      <c r="H96" s="12" t="s">
        <v>272</v>
      </c>
      <c r="I96" s="12" t="s">
        <v>273</v>
      </c>
      <c r="J96" s="12" t="s">
        <v>246</v>
      </c>
      <c r="K96" s="12" t="b">
        <v>1</v>
      </c>
      <c r="L96" s="13" t="s">
        <v>287</v>
      </c>
      <c r="M96" s="13"/>
      <c r="N96" s="13"/>
    </row>
    <row r="97" spans="1:14" ht="14.25" customHeight="1">
      <c r="A97" s="12">
        <v>95</v>
      </c>
      <c r="B97" s="12" t="s">
        <v>25</v>
      </c>
      <c r="C97" s="12" t="s">
        <v>49</v>
      </c>
      <c r="D97" s="12" t="s">
        <v>27</v>
      </c>
      <c r="E97" s="12" t="s">
        <v>49</v>
      </c>
      <c r="F97" s="10" t="s">
        <v>288</v>
      </c>
      <c r="G97" s="22" t="s">
        <v>289</v>
      </c>
      <c r="H97" s="12" t="s">
        <v>272</v>
      </c>
      <c r="I97" s="12" t="s">
        <v>273</v>
      </c>
      <c r="J97" s="12" t="s">
        <v>246</v>
      </c>
      <c r="K97" s="12" t="b">
        <v>1</v>
      </c>
      <c r="L97" s="13" t="s">
        <v>290</v>
      </c>
      <c r="M97" s="13"/>
      <c r="N97" s="13"/>
    </row>
    <row r="98" spans="1:14" ht="14.25" customHeight="1">
      <c r="A98" s="12">
        <v>96</v>
      </c>
      <c r="B98" s="12" t="s">
        <v>39</v>
      </c>
      <c r="C98" s="12" t="s">
        <v>85</v>
      </c>
      <c r="D98" s="12" t="s">
        <v>41</v>
      </c>
      <c r="E98" s="12" t="s">
        <v>85</v>
      </c>
      <c r="F98" s="10" t="s">
        <v>291</v>
      </c>
      <c r="G98" s="22" t="s">
        <v>292</v>
      </c>
      <c r="H98" s="12" t="s">
        <v>272</v>
      </c>
      <c r="I98" s="12" t="s">
        <v>273</v>
      </c>
      <c r="J98" s="12" t="s">
        <v>246</v>
      </c>
      <c r="K98" s="12" t="b">
        <v>1</v>
      </c>
      <c r="L98" s="13" t="s">
        <v>293</v>
      </c>
      <c r="M98" s="13"/>
      <c r="N98" s="13"/>
    </row>
    <row r="99" spans="1:14" ht="14.25" customHeight="1">
      <c r="A99" s="12">
        <v>97</v>
      </c>
      <c r="B99" s="12" t="s">
        <v>33</v>
      </c>
      <c r="C99" s="12" t="s">
        <v>199</v>
      </c>
      <c r="D99" s="12" t="s">
        <v>35</v>
      </c>
      <c r="E99" s="12" t="s">
        <v>199</v>
      </c>
      <c r="F99" s="10" t="s">
        <v>294</v>
      </c>
      <c r="G99" s="22" t="s">
        <v>295</v>
      </c>
      <c r="H99" s="12" t="s">
        <v>272</v>
      </c>
      <c r="I99" s="12" t="s">
        <v>273</v>
      </c>
      <c r="J99" s="12" t="s">
        <v>246</v>
      </c>
      <c r="K99" s="12" t="b">
        <v>1</v>
      </c>
      <c r="L99" s="13" t="s">
        <v>296</v>
      </c>
      <c r="M99" s="13"/>
      <c r="N99" s="13"/>
    </row>
    <row r="100" spans="1:14" ht="14.25" customHeight="1">
      <c r="A100" s="12">
        <v>98</v>
      </c>
      <c r="B100" s="12" t="s">
        <v>25</v>
      </c>
      <c r="C100" s="12" t="s">
        <v>79</v>
      </c>
      <c r="D100" s="12" t="s">
        <v>27</v>
      </c>
      <c r="E100" s="12" t="s">
        <v>79</v>
      </c>
      <c r="F100" s="10" t="s">
        <v>297</v>
      </c>
      <c r="G100" s="21" t="s">
        <v>298</v>
      </c>
      <c r="H100" s="12" t="s">
        <v>272</v>
      </c>
      <c r="I100" s="12" t="s">
        <v>273</v>
      </c>
      <c r="J100" s="12" t="s">
        <v>246</v>
      </c>
      <c r="K100" s="12" t="b">
        <v>1</v>
      </c>
      <c r="L100" s="13" t="s">
        <v>299</v>
      </c>
      <c r="M100" s="13"/>
      <c r="N100" s="13"/>
    </row>
    <row r="101" spans="1:14" ht="14.25" customHeight="1">
      <c r="A101" s="23" t="s">
        <v>300</v>
      </c>
      <c r="B101" s="23" t="s">
        <v>25</v>
      </c>
      <c r="C101" s="23" t="s">
        <v>49</v>
      </c>
      <c r="D101" s="23" t="s">
        <v>27</v>
      </c>
      <c r="E101" s="23"/>
      <c r="F101" s="24" t="s">
        <v>301</v>
      </c>
      <c r="G101" s="25" t="s">
        <v>302</v>
      </c>
      <c r="H101" s="23" t="s">
        <v>255</v>
      </c>
      <c r="I101" s="23" t="s">
        <v>256</v>
      </c>
      <c r="J101" s="23" t="s">
        <v>246</v>
      </c>
      <c r="K101" s="12" t="b">
        <v>0</v>
      </c>
      <c r="L101" s="13" t="s">
        <v>303</v>
      </c>
      <c r="M101" s="13"/>
      <c r="N101" s="13"/>
    </row>
    <row r="102" spans="1:14" ht="14.25" customHeight="1">
      <c r="A102" s="23" t="s">
        <v>300</v>
      </c>
      <c r="B102" s="12" t="s">
        <v>25</v>
      </c>
      <c r="C102" s="12" t="s">
        <v>79</v>
      </c>
      <c r="D102" s="23" t="s">
        <v>27</v>
      </c>
      <c r="F102" s="24" t="s">
        <v>304</v>
      </c>
      <c r="G102" s="25" t="s">
        <v>305</v>
      </c>
      <c r="H102" s="23" t="s">
        <v>255</v>
      </c>
      <c r="I102" s="23" t="s">
        <v>256</v>
      </c>
      <c r="J102" s="23" t="s">
        <v>246</v>
      </c>
      <c r="K102" s="12" t="b">
        <v>0</v>
      </c>
      <c r="L102" s="13" t="s">
        <v>303</v>
      </c>
      <c r="M102" s="13"/>
      <c r="N102" s="13"/>
    </row>
    <row r="103" spans="1:14" ht="14.25" customHeight="1">
      <c r="G103" s="21"/>
      <c r="L103" s="13"/>
      <c r="M103" s="13"/>
      <c r="N103" s="13"/>
    </row>
    <row r="104" spans="1:14" ht="14.25" customHeight="1">
      <c r="F104" s="26"/>
      <c r="G104" s="21"/>
      <c r="L104" s="13"/>
      <c r="M104" s="13"/>
      <c r="N104" s="13"/>
    </row>
    <row r="105" spans="1:14" ht="14.25" customHeight="1">
      <c r="F105" s="26"/>
      <c r="G105" s="21"/>
      <c r="L105" s="13"/>
      <c r="M105" s="13"/>
      <c r="N105" s="13"/>
    </row>
    <row r="106" spans="1:14" ht="14.25" customHeight="1">
      <c r="F106" s="26"/>
      <c r="G106" s="21"/>
      <c r="L106" s="13"/>
      <c r="M106" s="13"/>
      <c r="N106" s="13"/>
    </row>
    <row r="107" spans="1:14" ht="14.25" customHeight="1">
      <c r="F107" s="26"/>
      <c r="G107" s="21"/>
      <c r="L107" s="13"/>
      <c r="M107" s="13"/>
      <c r="N107" s="13"/>
    </row>
    <row r="108" spans="1:14" ht="14.25" customHeight="1">
      <c r="F108" s="26"/>
      <c r="G108" s="21"/>
      <c r="L108" s="13"/>
      <c r="M108" s="13"/>
      <c r="N108" s="13"/>
    </row>
    <row r="109" spans="1:14" ht="14.25" customHeight="1">
      <c r="F109" s="26"/>
      <c r="G109" s="21"/>
      <c r="L109" s="13"/>
      <c r="M109" s="13"/>
      <c r="N109" s="13"/>
    </row>
    <row r="110" spans="1:14" ht="14.25" customHeight="1">
      <c r="F110" s="26"/>
      <c r="G110" s="21"/>
      <c r="L110" s="13"/>
      <c r="M110" s="13"/>
      <c r="N110" s="13"/>
    </row>
    <row r="111" spans="1:14" ht="14.25" customHeight="1">
      <c r="F111" s="26"/>
      <c r="G111" s="21"/>
      <c r="L111" s="13"/>
      <c r="M111" s="13"/>
      <c r="N111" s="13"/>
    </row>
    <row r="112" spans="1:14" ht="14.25" customHeight="1">
      <c r="F112" s="26"/>
      <c r="G112" s="21"/>
      <c r="L112" s="13"/>
      <c r="M112" s="13"/>
      <c r="N112" s="13"/>
    </row>
    <row r="113" spans="6:14" ht="14.25" customHeight="1">
      <c r="F113" s="26"/>
      <c r="G113" s="21"/>
      <c r="L113" s="13"/>
      <c r="M113" s="13"/>
      <c r="N113" s="13"/>
    </row>
    <row r="114" spans="6:14" ht="14.25" customHeight="1">
      <c r="F114" s="26"/>
      <c r="G114" s="21"/>
      <c r="L114" s="13"/>
      <c r="M114" s="13"/>
      <c r="N114" s="13"/>
    </row>
    <row r="115" spans="6:14" ht="14.25" customHeight="1">
      <c r="F115" s="26"/>
      <c r="G115" s="21"/>
      <c r="L115" s="13"/>
      <c r="M115" s="13"/>
      <c r="N115" s="13"/>
    </row>
    <row r="116" spans="6:14" ht="14.25" customHeight="1">
      <c r="F116" s="26"/>
      <c r="G116" s="21"/>
      <c r="L116" s="13"/>
      <c r="M116" s="13"/>
      <c r="N116" s="13"/>
    </row>
    <row r="117" spans="6:14" ht="14.25" customHeight="1">
      <c r="F117" s="26"/>
      <c r="G117" s="21"/>
      <c r="L117" s="13"/>
      <c r="M117" s="13"/>
      <c r="N117" s="13"/>
    </row>
    <row r="118" spans="6:14" ht="14.25" customHeight="1">
      <c r="F118" s="26"/>
      <c r="G118" s="21"/>
      <c r="L118" s="13"/>
      <c r="M118" s="13"/>
      <c r="N118" s="13"/>
    </row>
    <row r="119" spans="6:14" ht="14.25" customHeight="1">
      <c r="F119" s="26"/>
      <c r="G119" s="21"/>
      <c r="L119" s="13"/>
      <c r="M119" s="13"/>
      <c r="N119" s="13"/>
    </row>
    <row r="120" spans="6:14" ht="14.25" customHeight="1">
      <c r="F120" s="26"/>
      <c r="G120" s="21"/>
      <c r="L120" s="13"/>
      <c r="M120" s="13"/>
      <c r="N120" s="13"/>
    </row>
    <row r="121" spans="6:14" ht="14.25" customHeight="1">
      <c r="F121" s="26"/>
      <c r="G121" s="21"/>
      <c r="L121" s="27"/>
      <c r="M121" s="27"/>
      <c r="N121" s="27"/>
    </row>
    <row r="122" spans="6:14" ht="14.25" customHeight="1">
      <c r="F122" s="26"/>
      <c r="G122" s="21"/>
      <c r="L122" s="27"/>
      <c r="M122" s="27"/>
      <c r="N122" s="27"/>
    </row>
    <row r="123" spans="6:14" ht="14.25" customHeight="1">
      <c r="F123" s="26"/>
      <c r="G123" s="21"/>
      <c r="L123" s="27"/>
      <c r="M123" s="27"/>
      <c r="N123" s="27"/>
    </row>
    <row r="124" spans="6:14" ht="14.25" customHeight="1">
      <c r="F124" s="26"/>
      <c r="G124" s="21"/>
      <c r="L124" s="27"/>
      <c r="M124" s="27"/>
      <c r="N124" s="27"/>
    </row>
    <row r="125" spans="6:14" ht="14.25" customHeight="1">
      <c r="F125" s="26"/>
      <c r="G125" s="21"/>
      <c r="L125" s="27"/>
      <c r="M125" s="27"/>
      <c r="N125" s="27"/>
    </row>
    <row r="126" spans="6:14" ht="14.25" customHeight="1">
      <c r="F126" s="26"/>
      <c r="G126" s="21"/>
      <c r="L126" s="27"/>
      <c r="M126" s="27"/>
      <c r="N126" s="27"/>
    </row>
    <row r="127" spans="6:14" ht="14.25" customHeight="1">
      <c r="F127" s="26"/>
      <c r="G127" s="21"/>
      <c r="L127" s="27"/>
      <c r="M127" s="27"/>
      <c r="N127" s="27"/>
    </row>
    <row r="128" spans="6:14" ht="14.25" customHeight="1">
      <c r="F128" s="26"/>
      <c r="G128" s="21"/>
      <c r="L128" s="27"/>
      <c r="M128" s="27"/>
      <c r="N128" s="27"/>
    </row>
    <row r="129" spans="6:14" ht="14.25" customHeight="1">
      <c r="F129" s="26"/>
      <c r="G129" s="21"/>
      <c r="L129" s="27"/>
      <c r="M129" s="27"/>
      <c r="N129" s="27"/>
    </row>
    <row r="130" spans="6:14" ht="14.25" customHeight="1">
      <c r="F130" s="26"/>
      <c r="G130" s="21"/>
      <c r="L130" s="27"/>
      <c r="M130" s="27"/>
      <c r="N130" s="27"/>
    </row>
    <row r="131" spans="6:14" ht="14.25" customHeight="1">
      <c r="F131" s="26"/>
      <c r="G131" s="21"/>
      <c r="L131" s="27"/>
      <c r="M131" s="27"/>
      <c r="N131" s="27"/>
    </row>
    <row r="132" spans="6:14" ht="14.25" customHeight="1">
      <c r="F132" s="26"/>
      <c r="G132" s="21"/>
      <c r="L132" s="27"/>
      <c r="M132" s="27"/>
      <c r="N132" s="27"/>
    </row>
    <row r="133" spans="6:14" ht="14.25" customHeight="1">
      <c r="F133" s="26"/>
      <c r="G133" s="21"/>
      <c r="L133" s="27"/>
      <c r="M133" s="27"/>
      <c r="N133" s="27"/>
    </row>
    <row r="134" spans="6:14" ht="14.25" customHeight="1">
      <c r="F134" s="26"/>
      <c r="G134" s="21"/>
      <c r="L134" s="27"/>
      <c r="M134" s="27"/>
      <c r="N134" s="27"/>
    </row>
    <row r="135" spans="6:14" ht="14.25" customHeight="1">
      <c r="F135" s="26"/>
      <c r="G135" s="21"/>
      <c r="L135" s="27"/>
      <c r="M135" s="27"/>
      <c r="N135" s="27"/>
    </row>
    <row r="136" spans="6:14" ht="14.25" customHeight="1">
      <c r="F136" s="26"/>
      <c r="G136" s="21"/>
      <c r="L136" s="27"/>
      <c r="M136" s="27"/>
      <c r="N136" s="27"/>
    </row>
    <row r="137" spans="6:14" ht="14.25" customHeight="1">
      <c r="F137" s="26"/>
      <c r="G137" s="21"/>
      <c r="L137" s="27"/>
      <c r="M137" s="27"/>
      <c r="N137" s="27"/>
    </row>
    <row r="138" spans="6:14" ht="14.25" customHeight="1">
      <c r="F138" s="26"/>
      <c r="G138" s="21"/>
      <c r="L138" s="27"/>
      <c r="M138" s="27"/>
      <c r="N138" s="27"/>
    </row>
    <row r="139" spans="6:14" ht="14.25" customHeight="1">
      <c r="F139" s="26"/>
      <c r="G139" s="21"/>
      <c r="L139" s="27"/>
      <c r="M139" s="27"/>
      <c r="N139" s="27"/>
    </row>
    <row r="140" spans="6:14" ht="14.25" customHeight="1">
      <c r="F140" s="26"/>
      <c r="G140" s="21"/>
      <c r="L140" s="27"/>
      <c r="M140" s="27"/>
      <c r="N140" s="27"/>
    </row>
    <row r="141" spans="6:14" ht="14.25" customHeight="1">
      <c r="F141" s="26"/>
      <c r="G141" s="21"/>
      <c r="L141" s="27"/>
      <c r="M141" s="27"/>
      <c r="N141" s="27"/>
    </row>
    <row r="142" spans="6:14" ht="14.25" customHeight="1">
      <c r="F142" s="26"/>
      <c r="G142" s="21"/>
      <c r="L142" s="27"/>
      <c r="M142" s="27"/>
      <c r="N142" s="27"/>
    </row>
    <row r="143" spans="6:14" ht="14.25" customHeight="1">
      <c r="F143" s="26"/>
      <c r="G143" s="21"/>
      <c r="L143" s="27"/>
      <c r="M143" s="27"/>
      <c r="N143" s="27"/>
    </row>
    <row r="144" spans="6:14" ht="14.25" customHeight="1">
      <c r="F144" s="26"/>
      <c r="G144" s="21"/>
      <c r="L144" s="27"/>
      <c r="M144" s="27"/>
      <c r="N144" s="27"/>
    </row>
    <row r="145" spans="6:14" ht="14.25" customHeight="1">
      <c r="F145" s="26"/>
      <c r="G145" s="21"/>
      <c r="L145" s="27"/>
      <c r="M145" s="27"/>
      <c r="N145" s="27"/>
    </row>
    <row r="146" spans="6:14" ht="14.25" customHeight="1">
      <c r="F146" s="26"/>
      <c r="G146" s="21"/>
      <c r="L146" s="27"/>
      <c r="M146" s="27"/>
      <c r="N146" s="27"/>
    </row>
    <row r="147" spans="6:14" ht="14.25" customHeight="1">
      <c r="F147" s="26"/>
      <c r="G147" s="21"/>
      <c r="L147" s="27"/>
      <c r="M147" s="27"/>
      <c r="N147" s="27"/>
    </row>
    <row r="148" spans="6:14" ht="14.25" customHeight="1">
      <c r="F148" s="26"/>
      <c r="G148" s="21"/>
      <c r="L148" s="27"/>
      <c r="M148" s="27"/>
      <c r="N148" s="27"/>
    </row>
    <row r="149" spans="6:14" ht="14.25" customHeight="1">
      <c r="F149" s="26"/>
      <c r="G149" s="21"/>
      <c r="L149" s="27"/>
      <c r="M149" s="27"/>
      <c r="N149" s="27"/>
    </row>
    <row r="150" spans="6:14" ht="14.25" customHeight="1">
      <c r="F150" s="26"/>
      <c r="G150" s="21"/>
      <c r="L150" s="27"/>
      <c r="M150" s="27"/>
      <c r="N150" s="27"/>
    </row>
    <row r="151" spans="6:14" ht="14.25" customHeight="1">
      <c r="F151" s="26"/>
      <c r="G151" s="21"/>
      <c r="L151" s="27"/>
      <c r="M151" s="27"/>
      <c r="N151" s="27"/>
    </row>
    <row r="152" spans="6:14" ht="14.25" customHeight="1">
      <c r="F152" s="26"/>
      <c r="G152" s="21"/>
      <c r="L152" s="27"/>
      <c r="M152" s="27"/>
      <c r="N152" s="27"/>
    </row>
    <row r="153" spans="6:14" ht="14.25" customHeight="1">
      <c r="F153" s="26"/>
      <c r="G153" s="21"/>
      <c r="L153" s="27"/>
      <c r="M153" s="27"/>
      <c r="N153" s="27"/>
    </row>
    <row r="154" spans="6:14" ht="14.25" customHeight="1">
      <c r="F154" s="26"/>
      <c r="G154" s="21"/>
      <c r="L154" s="27"/>
      <c r="M154" s="27"/>
      <c r="N154" s="27"/>
    </row>
    <row r="155" spans="6:14" ht="14.25" customHeight="1">
      <c r="F155" s="26"/>
      <c r="G155" s="21"/>
      <c r="L155" s="27"/>
      <c r="M155" s="27"/>
      <c r="N155" s="27"/>
    </row>
    <row r="156" spans="6:14" ht="14.25" customHeight="1">
      <c r="F156" s="26"/>
      <c r="G156" s="21"/>
      <c r="L156" s="27"/>
      <c r="M156" s="27"/>
      <c r="N156" s="27"/>
    </row>
    <row r="157" spans="6:14" ht="14.25" customHeight="1">
      <c r="F157" s="26"/>
      <c r="G157" s="21"/>
      <c r="L157" s="27"/>
      <c r="M157" s="27"/>
      <c r="N157" s="27"/>
    </row>
    <row r="158" spans="6:14" ht="14.25" customHeight="1">
      <c r="F158" s="26"/>
      <c r="G158" s="21"/>
      <c r="L158" s="27"/>
      <c r="M158" s="27"/>
      <c r="N158" s="27"/>
    </row>
    <row r="159" spans="6:14" ht="14.25" customHeight="1">
      <c r="F159" s="26"/>
      <c r="G159" s="21"/>
      <c r="L159" s="27"/>
      <c r="M159" s="27"/>
      <c r="N159" s="27"/>
    </row>
    <row r="160" spans="6:14" ht="14.25" customHeight="1">
      <c r="F160" s="26"/>
      <c r="G160" s="21"/>
      <c r="L160" s="27"/>
      <c r="M160" s="27"/>
      <c r="N160" s="27"/>
    </row>
    <row r="161" spans="6:14" ht="14.25" customHeight="1">
      <c r="F161" s="26"/>
      <c r="G161" s="21"/>
      <c r="L161" s="27"/>
      <c r="M161" s="27"/>
      <c r="N161" s="27"/>
    </row>
    <row r="162" spans="6:14" ht="14.25" customHeight="1">
      <c r="F162" s="26"/>
      <c r="G162" s="21"/>
      <c r="L162" s="27"/>
      <c r="M162" s="27"/>
      <c r="N162" s="27"/>
    </row>
    <row r="163" spans="6:14" ht="14.25" customHeight="1">
      <c r="F163" s="26"/>
      <c r="G163" s="21"/>
      <c r="L163" s="27"/>
      <c r="M163" s="27"/>
      <c r="N163" s="27"/>
    </row>
    <row r="164" spans="6:14" ht="14.25" customHeight="1">
      <c r="F164" s="26"/>
      <c r="G164" s="21"/>
      <c r="L164" s="27"/>
      <c r="M164" s="27"/>
      <c r="N164" s="27"/>
    </row>
    <row r="165" spans="6:14" ht="14.25" customHeight="1">
      <c r="F165" s="26"/>
      <c r="G165" s="21"/>
      <c r="L165" s="27"/>
      <c r="M165" s="27"/>
      <c r="N165" s="27"/>
    </row>
    <row r="166" spans="6:14" ht="14.25" customHeight="1">
      <c r="F166" s="26"/>
      <c r="G166" s="21"/>
      <c r="L166" s="27"/>
      <c r="M166" s="27"/>
      <c r="N166" s="27"/>
    </row>
    <row r="167" spans="6:14" ht="14.25" customHeight="1">
      <c r="F167" s="26"/>
      <c r="G167" s="21"/>
      <c r="L167" s="27"/>
      <c r="M167" s="27"/>
      <c r="N167" s="27"/>
    </row>
    <row r="168" spans="6:14" ht="14.25" customHeight="1">
      <c r="F168" s="26"/>
      <c r="G168" s="21"/>
      <c r="L168" s="27"/>
      <c r="M168" s="27"/>
      <c r="N168" s="27"/>
    </row>
    <row r="169" spans="6:14" ht="14.25" customHeight="1">
      <c r="F169" s="26"/>
      <c r="G169" s="21"/>
      <c r="L169" s="27"/>
      <c r="M169" s="27"/>
      <c r="N169" s="27"/>
    </row>
    <row r="170" spans="6:14" ht="14.25" customHeight="1">
      <c r="F170" s="26"/>
      <c r="G170" s="21"/>
      <c r="L170" s="27"/>
      <c r="M170" s="27"/>
      <c r="N170" s="27"/>
    </row>
    <row r="171" spans="6:14" ht="14.25" customHeight="1">
      <c r="F171" s="26"/>
      <c r="G171" s="21"/>
      <c r="L171" s="27"/>
      <c r="M171" s="27"/>
      <c r="N171" s="27"/>
    </row>
    <row r="172" spans="6:14" ht="14.25" customHeight="1">
      <c r="F172" s="26"/>
      <c r="G172" s="21"/>
      <c r="L172" s="27"/>
      <c r="M172" s="27"/>
      <c r="N172" s="27"/>
    </row>
    <row r="173" spans="6:14" ht="14.25" customHeight="1">
      <c r="F173" s="26"/>
      <c r="G173" s="21"/>
      <c r="L173" s="27"/>
      <c r="M173" s="27"/>
      <c r="N173" s="27"/>
    </row>
    <row r="174" spans="6:14" ht="14.25" customHeight="1">
      <c r="F174" s="26"/>
      <c r="G174" s="21"/>
      <c r="L174" s="27"/>
      <c r="M174" s="27"/>
      <c r="N174" s="27"/>
    </row>
    <row r="175" spans="6:14" ht="14.25" customHeight="1">
      <c r="F175" s="26"/>
      <c r="G175" s="21"/>
      <c r="L175" s="27"/>
      <c r="M175" s="27"/>
      <c r="N175" s="27"/>
    </row>
    <row r="176" spans="6:14" ht="14.25" customHeight="1">
      <c r="F176" s="26"/>
      <c r="G176" s="21"/>
      <c r="L176" s="27"/>
      <c r="M176" s="27"/>
      <c r="N176" s="27"/>
    </row>
    <row r="177" spans="6:14" ht="14.25" customHeight="1">
      <c r="F177" s="26"/>
      <c r="G177" s="21"/>
      <c r="L177" s="27"/>
      <c r="M177" s="27"/>
      <c r="N177" s="27"/>
    </row>
    <row r="178" spans="6:14" ht="14.25" customHeight="1">
      <c r="F178" s="26"/>
      <c r="G178" s="21"/>
      <c r="L178" s="27"/>
      <c r="M178" s="27"/>
      <c r="N178" s="27"/>
    </row>
    <row r="179" spans="6:14" ht="14.25" customHeight="1">
      <c r="F179" s="26"/>
      <c r="G179" s="21"/>
      <c r="L179" s="27"/>
      <c r="M179" s="27"/>
      <c r="N179" s="27"/>
    </row>
    <row r="180" spans="6:14" ht="14.25" customHeight="1">
      <c r="F180" s="26"/>
      <c r="G180" s="21"/>
      <c r="L180" s="27"/>
      <c r="M180" s="27"/>
      <c r="N180" s="27"/>
    </row>
    <row r="181" spans="6:14" ht="14.25" customHeight="1">
      <c r="F181" s="26"/>
      <c r="G181" s="21"/>
      <c r="L181" s="27"/>
      <c r="M181" s="27"/>
      <c r="N181" s="27"/>
    </row>
    <row r="182" spans="6:14" ht="14.25" customHeight="1">
      <c r="F182" s="26"/>
      <c r="G182" s="21"/>
      <c r="L182" s="27"/>
      <c r="M182" s="27"/>
      <c r="N182" s="27"/>
    </row>
    <row r="183" spans="6:14" ht="14.25" customHeight="1">
      <c r="F183" s="26"/>
      <c r="G183" s="21"/>
      <c r="L183" s="27"/>
      <c r="M183" s="27"/>
      <c r="N183" s="27"/>
    </row>
    <row r="184" spans="6:14" ht="14.25" customHeight="1">
      <c r="F184" s="26"/>
      <c r="G184" s="21"/>
      <c r="L184" s="27"/>
      <c r="M184" s="27"/>
      <c r="N184" s="27"/>
    </row>
    <row r="185" spans="6:14" ht="14.25" customHeight="1">
      <c r="F185" s="26"/>
      <c r="G185" s="21"/>
      <c r="L185" s="27"/>
      <c r="M185" s="27"/>
      <c r="N185" s="27"/>
    </row>
    <row r="186" spans="6:14" ht="14.25" customHeight="1">
      <c r="F186" s="26"/>
      <c r="G186" s="21"/>
      <c r="L186" s="27"/>
      <c r="M186" s="27"/>
      <c r="N186" s="27"/>
    </row>
    <row r="187" spans="6:14" ht="14.25" customHeight="1">
      <c r="F187" s="26"/>
      <c r="G187" s="21"/>
      <c r="L187" s="27"/>
      <c r="M187" s="27"/>
      <c r="N187" s="27"/>
    </row>
    <row r="188" spans="6:14" ht="14.25" customHeight="1">
      <c r="F188" s="26"/>
      <c r="G188" s="21"/>
      <c r="L188" s="27"/>
      <c r="M188" s="27"/>
      <c r="N188" s="27"/>
    </row>
    <row r="189" spans="6:14" ht="14.25" customHeight="1">
      <c r="F189" s="26"/>
      <c r="G189" s="21"/>
      <c r="L189" s="27"/>
      <c r="M189" s="27"/>
      <c r="N189" s="27"/>
    </row>
    <row r="190" spans="6:14" ht="14.25" customHeight="1">
      <c r="F190" s="26"/>
      <c r="G190" s="21"/>
      <c r="L190" s="27"/>
      <c r="M190" s="27"/>
      <c r="N190" s="27"/>
    </row>
    <row r="191" spans="6:14" ht="14.25" customHeight="1">
      <c r="F191" s="26"/>
      <c r="G191" s="21"/>
      <c r="L191" s="27"/>
      <c r="M191" s="27"/>
      <c r="N191" s="27"/>
    </row>
    <row r="192" spans="6:14" ht="14.25" customHeight="1">
      <c r="F192" s="26"/>
      <c r="G192" s="21"/>
      <c r="L192" s="27"/>
      <c r="M192" s="27"/>
      <c r="N192" s="27"/>
    </row>
    <row r="193" spans="6:14" ht="14.25" customHeight="1">
      <c r="F193" s="26"/>
      <c r="G193" s="21"/>
      <c r="L193" s="27"/>
      <c r="M193" s="27"/>
      <c r="N193" s="27"/>
    </row>
    <row r="194" spans="6:14" ht="14.25" customHeight="1">
      <c r="F194" s="26"/>
      <c r="G194" s="21"/>
      <c r="L194" s="27"/>
      <c r="M194" s="27"/>
      <c r="N194" s="27"/>
    </row>
    <row r="195" spans="6:14" ht="14.25" customHeight="1">
      <c r="F195" s="26"/>
      <c r="G195" s="21"/>
      <c r="L195" s="27"/>
      <c r="M195" s="27"/>
      <c r="N195" s="27"/>
    </row>
    <row r="196" spans="6:14" ht="14.25" customHeight="1">
      <c r="F196" s="26"/>
      <c r="G196" s="21"/>
      <c r="L196" s="27"/>
      <c r="M196" s="27"/>
      <c r="N196" s="27"/>
    </row>
    <row r="197" spans="6:14" ht="14.25" customHeight="1">
      <c r="F197" s="26"/>
      <c r="G197" s="21"/>
      <c r="L197" s="27"/>
      <c r="M197" s="27"/>
      <c r="N197" s="27"/>
    </row>
    <row r="198" spans="6:14" ht="14.25" customHeight="1">
      <c r="F198" s="26"/>
      <c r="G198" s="21"/>
      <c r="L198" s="27"/>
      <c r="M198" s="27"/>
      <c r="N198" s="27"/>
    </row>
    <row r="199" spans="6:14" ht="14.25" customHeight="1">
      <c r="F199" s="26"/>
      <c r="G199" s="21"/>
      <c r="L199" s="27"/>
      <c r="M199" s="27"/>
      <c r="N199" s="27"/>
    </row>
    <row r="200" spans="6:14" ht="14.25" customHeight="1">
      <c r="F200" s="26"/>
      <c r="G200" s="21"/>
      <c r="L200" s="27"/>
      <c r="M200" s="27"/>
      <c r="N200" s="27"/>
    </row>
    <row r="201" spans="6:14" ht="14.25" customHeight="1">
      <c r="F201" s="26"/>
      <c r="G201" s="21"/>
      <c r="L201" s="27"/>
      <c r="M201" s="27"/>
      <c r="N201" s="27"/>
    </row>
    <row r="202" spans="6:14" ht="14.25" customHeight="1">
      <c r="F202" s="26"/>
      <c r="G202" s="21"/>
      <c r="L202" s="27"/>
      <c r="M202" s="27"/>
      <c r="N202" s="27"/>
    </row>
    <row r="203" spans="6:14" ht="14.25" customHeight="1">
      <c r="F203" s="26"/>
      <c r="G203" s="21"/>
      <c r="L203" s="27"/>
      <c r="M203" s="27"/>
      <c r="N203" s="27"/>
    </row>
    <row r="204" spans="6:14" ht="14.25" customHeight="1">
      <c r="F204" s="26"/>
      <c r="G204" s="21"/>
      <c r="L204" s="27"/>
      <c r="M204" s="27"/>
      <c r="N204" s="27"/>
    </row>
    <row r="205" spans="6:14" ht="14.25" customHeight="1">
      <c r="F205" s="26"/>
      <c r="G205" s="21"/>
      <c r="L205" s="27"/>
      <c r="M205" s="27"/>
      <c r="N205" s="27"/>
    </row>
    <row r="206" spans="6:14" ht="14.25" customHeight="1">
      <c r="F206" s="26"/>
      <c r="G206" s="21"/>
      <c r="L206" s="27"/>
      <c r="M206" s="27"/>
      <c r="N206" s="27"/>
    </row>
    <row r="207" spans="6:14" ht="14.25" customHeight="1">
      <c r="F207" s="26"/>
      <c r="G207" s="21"/>
      <c r="L207" s="27"/>
      <c r="M207" s="27"/>
      <c r="N207" s="27"/>
    </row>
    <row r="208" spans="6:14" ht="14.25" customHeight="1">
      <c r="F208" s="26"/>
      <c r="G208" s="21"/>
      <c r="L208" s="27"/>
      <c r="M208" s="27"/>
      <c r="N208" s="27"/>
    </row>
    <row r="209" spans="6:14" ht="14.25" customHeight="1">
      <c r="F209" s="26"/>
      <c r="G209" s="21"/>
      <c r="L209" s="27"/>
      <c r="M209" s="27"/>
      <c r="N209" s="27"/>
    </row>
    <row r="210" spans="6:14" ht="14.25" customHeight="1">
      <c r="F210" s="26"/>
      <c r="G210" s="21"/>
      <c r="L210" s="27"/>
      <c r="M210" s="27"/>
      <c r="N210" s="27"/>
    </row>
    <row r="211" spans="6:14" ht="14.25" customHeight="1">
      <c r="F211" s="26"/>
      <c r="G211" s="21"/>
      <c r="L211" s="27"/>
      <c r="M211" s="27"/>
      <c r="N211" s="27"/>
    </row>
    <row r="212" spans="6:14" ht="14.25" customHeight="1">
      <c r="F212" s="26"/>
      <c r="G212" s="21"/>
      <c r="L212" s="27"/>
      <c r="M212" s="27"/>
      <c r="N212" s="27"/>
    </row>
    <row r="213" spans="6:14" ht="14.25" customHeight="1">
      <c r="F213" s="26"/>
      <c r="G213" s="21"/>
      <c r="L213" s="27"/>
      <c r="M213" s="27"/>
      <c r="N213" s="27"/>
    </row>
    <row r="214" spans="6:14" ht="14.25" customHeight="1">
      <c r="F214" s="26"/>
      <c r="G214" s="21"/>
      <c r="L214" s="27"/>
      <c r="M214" s="27"/>
      <c r="N214" s="27"/>
    </row>
    <row r="215" spans="6:14" ht="14.25" customHeight="1">
      <c r="F215" s="26"/>
      <c r="G215" s="21"/>
      <c r="L215" s="27"/>
      <c r="M215" s="27"/>
      <c r="N215" s="27"/>
    </row>
    <row r="216" spans="6:14" ht="14.25" customHeight="1">
      <c r="F216" s="26"/>
      <c r="G216" s="21"/>
      <c r="L216" s="27"/>
      <c r="M216" s="27"/>
      <c r="N216" s="27"/>
    </row>
    <row r="217" spans="6:14" ht="14.25" customHeight="1">
      <c r="F217" s="26"/>
      <c r="G217" s="21"/>
      <c r="L217" s="27"/>
      <c r="M217" s="27"/>
      <c r="N217" s="27"/>
    </row>
    <row r="218" spans="6:14" ht="14.25" customHeight="1">
      <c r="F218" s="26"/>
      <c r="G218" s="21"/>
      <c r="L218" s="27"/>
      <c r="M218" s="27"/>
      <c r="N218" s="27"/>
    </row>
    <row r="219" spans="6:14" ht="14.25" customHeight="1">
      <c r="F219" s="26"/>
      <c r="G219" s="21"/>
      <c r="L219" s="27"/>
      <c r="M219" s="27"/>
      <c r="N219" s="27"/>
    </row>
    <row r="220" spans="6:14" ht="14.25" customHeight="1">
      <c r="F220" s="26"/>
      <c r="G220" s="21"/>
      <c r="L220" s="27"/>
      <c r="M220" s="27"/>
      <c r="N220" s="27"/>
    </row>
    <row r="221" spans="6:14" ht="14.25" customHeight="1">
      <c r="F221" s="26"/>
      <c r="G221" s="21"/>
      <c r="L221" s="27"/>
      <c r="M221" s="27"/>
      <c r="N221" s="27"/>
    </row>
    <row r="222" spans="6:14" ht="14.25" customHeight="1">
      <c r="F222" s="26"/>
      <c r="G222" s="21"/>
      <c r="L222" s="27"/>
      <c r="M222" s="27"/>
      <c r="N222" s="27"/>
    </row>
    <row r="223" spans="6:14" ht="14.25" customHeight="1">
      <c r="F223" s="26"/>
      <c r="G223" s="21"/>
      <c r="L223" s="27"/>
      <c r="M223" s="27"/>
      <c r="N223" s="27"/>
    </row>
    <row r="224" spans="6:14" ht="14.25" customHeight="1">
      <c r="F224" s="26"/>
      <c r="G224" s="21"/>
      <c r="L224" s="27"/>
      <c r="M224" s="27"/>
      <c r="N224" s="27"/>
    </row>
    <row r="225" spans="6:14" ht="14.25" customHeight="1">
      <c r="F225" s="26"/>
      <c r="G225" s="21"/>
      <c r="L225" s="27"/>
      <c r="M225" s="27"/>
      <c r="N225" s="27"/>
    </row>
    <row r="226" spans="6:14" ht="14.25" customHeight="1">
      <c r="F226" s="26"/>
      <c r="G226" s="21"/>
      <c r="L226" s="27"/>
      <c r="M226" s="27"/>
      <c r="N226" s="27"/>
    </row>
    <row r="227" spans="6:14" ht="14.25" customHeight="1">
      <c r="F227" s="26"/>
      <c r="G227" s="21"/>
      <c r="L227" s="27"/>
      <c r="M227" s="27"/>
      <c r="N227" s="27"/>
    </row>
    <row r="228" spans="6:14" ht="14.25" customHeight="1">
      <c r="F228" s="26"/>
      <c r="G228" s="21"/>
      <c r="L228" s="27"/>
      <c r="M228" s="27"/>
      <c r="N228" s="27"/>
    </row>
    <row r="229" spans="6:14" ht="14.25" customHeight="1">
      <c r="F229" s="26"/>
      <c r="G229" s="21"/>
      <c r="L229" s="27"/>
      <c r="M229" s="27"/>
      <c r="N229" s="27"/>
    </row>
    <row r="230" spans="6:14" ht="14.25" customHeight="1">
      <c r="F230" s="26"/>
      <c r="G230" s="21"/>
      <c r="L230" s="27"/>
      <c r="M230" s="27"/>
      <c r="N230" s="27"/>
    </row>
    <row r="231" spans="6:14" ht="14.25" customHeight="1">
      <c r="F231" s="26"/>
      <c r="G231" s="21"/>
      <c r="L231" s="27"/>
      <c r="M231" s="27"/>
      <c r="N231" s="27"/>
    </row>
    <row r="232" spans="6:14" ht="14.25" customHeight="1">
      <c r="F232" s="26"/>
      <c r="G232" s="21"/>
      <c r="L232" s="27"/>
      <c r="M232" s="27"/>
      <c r="N232" s="27"/>
    </row>
    <row r="233" spans="6:14" ht="14.25" customHeight="1">
      <c r="F233" s="26"/>
      <c r="G233" s="21"/>
      <c r="L233" s="27"/>
      <c r="M233" s="27"/>
      <c r="N233" s="27"/>
    </row>
    <row r="234" spans="6:14" ht="14.25" customHeight="1">
      <c r="F234" s="26"/>
      <c r="G234" s="21"/>
      <c r="L234" s="27"/>
      <c r="M234" s="27"/>
      <c r="N234" s="27"/>
    </row>
    <row r="235" spans="6:14" ht="14.25" customHeight="1">
      <c r="F235" s="26"/>
      <c r="G235" s="21"/>
      <c r="L235" s="27"/>
      <c r="M235" s="27"/>
      <c r="N235" s="27"/>
    </row>
    <row r="236" spans="6:14" ht="14.25" customHeight="1">
      <c r="F236" s="26"/>
      <c r="G236" s="21"/>
      <c r="L236" s="27"/>
      <c r="M236" s="27"/>
      <c r="N236" s="27"/>
    </row>
    <row r="237" spans="6:14" ht="14.25" customHeight="1">
      <c r="F237" s="26"/>
      <c r="G237" s="21"/>
      <c r="L237" s="27"/>
      <c r="M237" s="27"/>
      <c r="N237" s="27"/>
    </row>
    <row r="238" spans="6:14" ht="14.25" customHeight="1">
      <c r="F238" s="26"/>
      <c r="G238" s="21"/>
      <c r="L238" s="27"/>
      <c r="M238" s="27"/>
      <c r="N238" s="27"/>
    </row>
    <row r="239" spans="6:14" ht="14.25" customHeight="1">
      <c r="F239" s="26"/>
      <c r="G239" s="21"/>
      <c r="L239" s="27"/>
      <c r="M239" s="27"/>
      <c r="N239" s="27"/>
    </row>
    <row r="240" spans="6:14" ht="14.25" customHeight="1">
      <c r="F240" s="26"/>
      <c r="G240" s="21"/>
      <c r="L240" s="27"/>
      <c r="M240" s="27"/>
      <c r="N240" s="27"/>
    </row>
    <row r="241" spans="6:14" ht="14.25" customHeight="1">
      <c r="F241" s="26"/>
      <c r="G241" s="21"/>
      <c r="L241" s="27"/>
      <c r="M241" s="27"/>
      <c r="N241" s="27"/>
    </row>
    <row r="242" spans="6:14" ht="14.25" customHeight="1">
      <c r="F242" s="26"/>
      <c r="G242" s="21"/>
      <c r="L242" s="27"/>
      <c r="M242" s="27"/>
      <c r="N242" s="27"/>
    </row>
    <row r="243" spans="6:14" ht="14.25" customHeight="1">
      <c r="F243" s="26"/>
      <c r="G243" s="21"/>
      <c r="L243" s="27"/>
      <c r="M243" s="27"/>
      <c r="N243" s="27"/>
    </row>
    <row r="244" spans="6:14" ht="14.25" customHeight="1">
      <c r="F244" s="26"/>
      <c r="G244" s="21"/>
      <c r="L244" s="27"/>
      <c r="M244" s="27"/>
      <c r="N244" s="27"/>
    </row>
    <row r="245" spans="6:14" ht="14.25" customHeight="1">
      <c r="F245" s="26"/>
      <c r="G245" s="21"/>
      <c r="L245" s="27"/>
      <c r="M245" s="27"/>
      <c r="N245" s="27"/>
    </row>
    <row r="246" spans="6:14" ht="14.25" customHeight="1">
      <c r="F246" s="26"/>
      <c r="G246" s="21"/>
      <c r="L246" s="27"/>
      <c r="M246" s="27"/>
      <c r="N246" s="27"/>
    </row>
    <row r="247" spans="6:14" ht="14.25" customHeight="1">
      <c r="F247" s="26"/>
      <c r="G247" s="21"/>
      <c r="L247" s="27"/>
      <c r="M247" s="27"/>
      <c r="N247" s="27"/>
    </row>
    <row r="248" spans="6:14" ht="14.25" customHeight="1">
      <c r="F248" s="26"/>
      <c r="G248" s="21"/>
      <c r="L248" s="27"/>
      <c r="M248" s="27"/>
      <c r="N248" s="27"/>
    </row>
    <row r="249" spans="6:14" ht="14.25" customHeight="1">
      <c r="F249" s="26"/>
      <c r="G249" s="21"/>
      <c r="L249" s="27"/>
      <c r="M249" s="27"/>
      <c r="N249" s="27"/>
    </row>
    <row r="250" spans="6:14" ht="14.25" customHeight="1">
      <c r="F250" s="26"/>
      <c r="G250" s="21"/>
      <c r="L250" s="27"/>
      <c r="M250" s="27"/>
      <c r="N250" s="27"/>
    </row>
    <row r="251" spans="6:14" ht="14.25" customHeight="1">
      <c r="F251" s="26"/>
      <c r="G251" s="21"/>
      <c r="L251" s="27"/>
      <c r="M251" s="27"/>
      <c r="N251" s="27"/>
    </row>
    <row r="252" spans="6:14" ht="14.25" customHeight="1">
      <c r="F252" s="26"/>
      <c r="G252" s="21"/>
      <c r="L252" s="27"/>
      <c r="M252" s="27"/>
      <c r="N252" s="27"/>
    </row>
    <row r="253" spans="6:14" ht="14.25" customHeight="1">
      <c r="F253" s="26"/>
      <c r="G253" s="21"/>
      <c r="L253" s="27"/>
      <c r="M253" s="27"/>
      <c r="N253" s="27"/>
    </row>
    <row r="254" spans="6:14" ht="14.25" customHeight="1">
      <c r="F254" s="26"/>
      <c r="G254" s="21"/>
      <c r="L254" s="27"/>
      <c r="M254" s="27"/>
      <c r="N254" s="27"/>
    </row>
    <row r="255" spans="6:14" ht="14.25" customHeight="1">
      <c r="F255" s="26"/>
      <c r="G255" s="21"/>
      <c r="L255" s="27"/>
      <c r="M255" s="27"/>
      <c r="N255" s="27"/>
    </row>
    <row r="256" spans="6:14" ht="14.25" customHeight="1">
      <c r="F256" s="26"/>
      <c r="G256" s="21"/>
      <c r="L256" s="27"/>
      <c r="M256" s="27"/>
      <c r="N256" s="27"/>
    </row>
    <row r="257" spans="6:14" ht="14.25" customHeight="1">
      <c r="F257" s="26"/>
      <c r="G257" s="21"/>
      <c r="L257" s="27"/>
      <c r="M257" s="27"/>
      <c r="N257" s="27"/>
    </row>
    <row r="258" spans="6:14" ht="14.25" customHeight="1">
      <c r="F258" s="26"/>
      <c r="G258" s="21"/>
      <c r="L258" s="27"/>
      <c r="M258" s="27"/>
      <c r="N258" s="27"/>
    </row>
    <row r="259" spans="6:14" ht="14.25" customHeight="1">
      <c r="F259" s="26"/>
      <c r="G259" s="21"/>
      <c r="L259" s="27"/>
      <c r="M259" s="27"/>
      <c r="N259" s="27"/>
    </row>
    <row r="260" spans="6:14" ht="14.25" customHeight="1">
      <c r="F260" s="26"/>
      <c r="G260" s="21"/>
      <c r="L260" s="27"/>
      <c r="M260" s="27"/>
      <c r="N260" s="27"/>
    </row>
    <row r="261" spans="6:14" ht="14.25" customHeight="1">
      <c r="F261" s="26"/>
      <c r="G261" s="21"/>
      <c r="L261" s="27"/>
      <c r="M261" s="27"/>
      <c r="N261" s="27"/>
    </row>
    <row r="262" spans="6:14" ht="14.25" customHeight="1">
      <c r="F262" s="26"/>
      <c r="G262" s="21"/>
      <c r="L262" s="27"/>
      <c r="M262" s="27"/>
      <c r="N262" s="27"/>
    </row>
    <row r="263" spans="6:14" ht="14.25" customHeight="1">
      <c r="F263" s="26"/>
      <c r="G263" s="21"/>
      <c r="L263" s="27"/>
      <c r="M263" s="27"/>
      <c r="N263" s="27"/>
    </row>
    <row r="264" spans="6:14" ht="14.25" customHeight="1">
      <c r="F264" s="26"/>
      <c r="G264" s="21"/>
      <c r="L264" s="27"/>
      <c r="M264" s="27"/>
      <c r="N264" s="27"/>
    </row>
    <row r="265" spans="6:14" ht="14.25" customHeight="1">
      <c r="F265" s="26"/>
      <c r="G265" s="21"/>
      <c r="L265" s="27"/>
      <c r="M265" s="27"/>
      <c r="N265" s="27"/>
    </row>
    <row r="266" spans="6:14" ht="14.25" customHeight="1">
      <c r="F266" s="26"/>
      <c r="G266" s="21"/>
      <c r="L266" s="27"/>
      <c r="M266" s="27"/>
      <c r="N266" s="27"/>
    </row>
    <row r="267" spans="6:14" ht="14.25" customHeight="1">
      <c r="F267" s="26"/>
      <c r="G267" s="21"/>
      <c r="L267" s="27"/>
      <c r="M267" s="27"/>
      <c r="N267" s="27"/>
    </row>
    <row r="268" spans="6:14" ht="14.25" customHeight="1">
      <c r="F268" s="26"/>
      <c r="G268" s="21"/>
      <c r="L268" s="27"/>
      <c r="M268" s="27"/>
      <c r="N268" s="27"/>
    </row>
    <row r="269" spans="6:14" ht="14.25" customHeight="1">
      <c r="F269" s="26"/>
      <c r="G269" s="21"/>
      <c r="L269" s="27"/>
      <c r="M269" s="27"/>
      <c r="N269" s="27"/>
    </row>
    <row r="270" spans="6:14" ht="14.25" customHeight="1">
      <c r="F270" s="26"/>
      <c r="G270" s="21"/>
      <c r="L270" s="27"/>
      <c r="M270" s="27"/>
      <c r="N270" s="27"/>
    </row>
    <row r="271" spans="6:14" ht="14.25" customHeight="1">
      <c r="F271" s="26"/>
      <c r="G271" s="21"/>
      <c r="L271" s="27"/>
      <c r="M271" s="27"/>
      <c r="N271" s="27"/>
    </row>
    <row r="272" spans="6:14" ht="14.25" customHeight="1">
      <c r="F272" s="26"/>
      <c r="G272" s="21"/>
      <c r="L272" s="27"/>
      <c r="M272" s="27"/>
      <c r="N272" s="27"/>
    </row>
    <row r="273" spans="6:14" ht="14.25" customHeight="1">
      <c r="F273" s="26"/>
      <c r="G273" s="21"/>
      <c r="L273" s="27"/>
      <c r="M273" s="27"/>
      <c r="N273" s="27"/>
    </row>
    <row r="274" spans="6:14" ht="14.25" customHeight="1">
      <c r="F274" s="26"/>
      <c r="G274" s="21"/>
      <c r="L274" s="27"/>
      <c r="M274" s="27"/>
      <c r="N274" s="27"/>
    </row>
    <row r="275" spans="6:14" ht="14.25" customHeight="1">
      <c r="F275" s="26"/>
      <c r="G275" s="21"/>
      <c r="L275" s="27"/>
      <c r="M275" s="27"/>
      <c r="N275" s="27"/>
    </row>
    <row r="276" spans="6:14" ht="14.25" customHeight="1">
      <c r="F276" s="26"/>
      <c r="G276" s="21"/>
      <c r="L276" s="27"/>
      <c r="M276" s="27"/>
      <c r="N276" s="27"/>
    </row>
    <row r="277" spans="6:14" ht="14.25" customHeight="1">
      <c r="F277" s="26"/>
      <c r="G277" s="21"/>
      <c r="L277" s="27"/>
      <c r="M277" s="27"/>
      <c r="N277" s="27"/>
    </row>
    <row r="278" spans="6:14" ht="14.25" customHeight="1">
      <c r="F278" s="26"/>
      <c r="G278" s="21"/>
      <c r="L278" s="27"/>
      <c r="M278" s="27"/>
      <c r="N278" s="27"/>
    </row>
    <row r="279" spans="6:14" ht="14.25" customHeight="1">
      <c r="F279" s="26"/>
      <c r="G279" s="21"/>
      <c r="L279" s="27"/>
      <c r="M279" s="27"/>
      <c r="N279" s="27"/>
    </row>
    <row r="280" spans="6:14" ht="14.25" customHeight="1">
      <c r="F280" s="26"/>
      <c r="G280" s="21"/>
      <c r="L280" s="27"/>
      <c r="M280" s="27"/>
      <c r="N280" s="27"/>
    </row>
    <row r="281" spans="6:14" ht="14.25" customHeight="1">
      <c r="F281" s="26"/>
      <c r="G281" s="21"/>
      <c r="L281" s="27"/>
      <c r="M281" s="27"/>
      <c r="N281" s="27"/>
    </row>
    <row r="282" spans="6:14" ht="14.25" customHeight="1">
      <c r="F282" s="26"/>
      <c r="G282" s="21"/>
      <c r="L282" s="27"/>
      <c r="M282" s="27"/>
      <c r="N282" s="27"/>
    </row>
    <row r="283" spans="6:14" ht="14.25" customHeight="1">
      <c r="F283" s="26"/>
      <c r="G283" s="21"/>
      <c r="L283" s="27"/>
      <c r="M283" s="27"/>
      <c r="N283" s="27"/>
    </row>
    <row r="284" spans="6:14" ht="14.25" customHeight="1">
      <c r="F284" s="26"/>
      <c r="G284" s="21"/>
      <c r="L284" s="27"/>
      <c r="M284" s="27"/>
      <c r="N284" s="27"/>
    </row>
    <row r="285" spans="6:14" ht="14.25" customHeight="1">
      <c r="F285" s="26"/>
      <c r="G285" s="21"/>
      <c r="L285" s="27"/>
      <c r="M285" s="27"/>
      <c r="N285" s="27"/>
    </row>
    <row r="286" spans="6:14" ht="14.25" customHeight="1">
      <c r="F286" s="26"/>
      <c r="G286" s="21"/>
      <c r="L286" s="27"/>
      <c r="M286" s="27"/>
      <c r="N286" s="27"/>
    </row>
    <row r="287" spans="6:14" ht="14.25" customHeight="1">
      <c r="F287" s="26"/>
      <c r="G287" s="21"/>
      <c r="L287" s="27"/>
      <c r="M287" s="27"/>
      <c r="N287" s="27"/>
    </row>
    <row r="288" spans="6:14" ht="14.25" customHeight="1">
      <c r="F288" s="26"/>
      <c r="G288" s="21"/>
      <c r="L288" s="27"/>
      <c r="M288" s="27"/>
      <c r="N288" s="27"/>
    </row>
    <row r="289" spans="6:14" ht="14.25" customHeight="1">
      <c r="F289" s="26"/>
      <c r="G289" s="21"/>
      <c r="L289" s="27"/>
      <c r="M289" s="27"/>
      <c r="N289" s="27"/>
    </row>
    <row r="290" spans="6:14" ht="14.25" customHeight="1">
      <c r="F290" s="26"/>
      <c r="G290" s="21"/>
      <c r="L290" s="27"/>
      <c r="M290" s="27"/>
      <c r="N290" s="27"/>
    </row>
    <row r="291" spans="6:14" ht="14.25" customHeight="1">
      <c r="F291" s="26"/>
      <c r="G291" s="21"/>
      <c r="L291" s="27"/>
      <c r="M291" s="27"/>
      <c r="N291" s="27"/>
    </row>
    <row r="292" spans="6:14" ht="14.25" customHeight="1">
      <c r="F292" s="26"/>
      <c r="G292" s="21"/>
      <c r="L292" s="27"/>
      <c r="M292" s="27"/>
      <c r="N292" s="27"/>
    </row>
    <row r="293" spans="6:14" ht="14.25" customHeight="1">
      <c r="F293" s="26"/>
      <c r="G293" s="21"/>
      <c r="L293" s="27"/>
      <c r="M293" s="27"/>
      <c r="N293" s="27"/>
    </row>
    <row r="294" spans="6:14" ht="14.25" customHeight="1">
      <c r="F294" s="26"/>
      <c r="G294" s="21"/>
      <c r="L294" s="27"/>
      <c r="M294" s="27"/>
      <c r="N294" s="27"/>
    </row>
    <row r="295" spans="6:14" ht="14.25" customHeight="1">
      <c r="F295" s="26"/>
      <c r="G295" s="21"/>
      <c r="L295" s="27"/>
      <c r="M295" s="27"/>
      <c r="N295" s="27"/>
    </row>
    <row r="296" spans="6:14" ht="14.25" customHeight="1">
      <c r="F296" s="26"/>
      <c r="G296" s="21"/>
      <c r="L296" s="27"/>
      <c r="M296" s="27"/>
      <c r="N296" s="27"/>
    </row>
    <row r="297" spans="6:14" ht="14.25" customHeight="1">
      <c r="F297" s="26"/>
      <c r="G297" s="21"/>
      <c r="L297" s="27"/>
      <c r="M297" s="27"/>
      <c r="N297" s="27"/>
    </row>
    <row r="298" spans="6:14" ht="14.25" customHeight="1">
      <c r="F298" s="26"/>
      <c r="G298" s="21"/>
      <c r="L298" s="27"/>
      <c r="M298" s="27"/>
      <c r="N298" s="27"/>
    </row>
    <row r="299" spans="6:14" ht="14.25" customHeight="1">
      <c r="F299" s="26"/>
      <c r="G299" s="21"/>
      <c r="L299" s="27"/>
      <c r="M299" s="27"/>
      <c r="N299" s="27"/>
    </row>
    <row r="300" spans="6:14" ht="14.25" customHeight="1">
      <c r="F300" s="26"/>
      <c r="G300" s="21"/>
      <c r="L300" s="27"/>
      <c r="M300" s="27"/>
      <c r="N300" s="27"/>
    </row>
    <row r="301" spans="6:14" ht="14.25" customHeight="1">
      <c r="F301" s="26"/>
      <c r="G301" s="21"/>
      <c r="L301" s="27"/>
      <c r="M301" s="27"/>
      <c r="N301" s="27"/>
    </row>
    <row r="302" spans="6:14" ht="14.25" customHeight="1">
      <c r="F302" s="26"/>
      <c r="G302" s="21"/>
      <c r="L302" s="27"/>
      <c r="M302" s="27"/>
      <c r="N302" s="27"/>
    </row>
    <row r="303" spans="6:14" ht="14.25" customHeight="1">
      <c r="F303" s="26"/>
      <c r="G303" s="21"/>
      <c r="L303" s="27"/>
      <c r="M303" s="27"/>
      <c r="N303" s="27"/>
    </row>
    <row r="304" spans="6:14" ht="14.25" customHeight="1">
      <c r="F304" s="26"/>
      <c r="G304" s="21"/>
      <c r="L304" s="27"/>
      <c r="M304" s="27"/>
      <c r="N304" s="27"/>
    </row>
    <row r="305" spans="6:14" ht="14.25" customHeight="1">
      <c r="F305" s="26"/>
      <c r="G305" s="21"/>
      <c r="L305" s="27"/>
      <c r="M305" s="27"/>
      <c r="N305" s="27"/>
    </row>
    <row r="306" spans="6:14" ht="14.25" customHeight="1">
      <c r="F306" s="26"/>
      <c r="G306" s="21"/>
      <c r="L306" s="27"/>
      <c r="M306" s="27"/>
      <c r="N306" s="27"/>
    </row>
    <row r="307" spans="6:14" ht="14.25" customHeight="1">
      <c r="F307" s="26"/>
      <c r="G307" s="21"/>
      <c r="L307" s="27"/>
      <c r="M307" s="27"/>
      <c r="N307" s="27"/>
    </row>
    <row r="308" spans="6:14" ht="14.25" customHeight="1">
      <c r="F308" s="26"/>
      <c r="G308" s="21"/>
      <c r="L308" s="27"/>
      <c r="M308" s="27"/>
      <c r="N308" s="27"/>
    </row>
    <row r="309" spans="6:14" ht="14.25" customHeight="1">
      <c r="F309" s="26"/>
      <c r="G309" s="21"/>
      <c r="L309" s="27"/>
      <c r="M309" s="27"/>
      <c r="N309" s="27"/>
    </row>
    <row r="310" spans="6:14" ht="14.25" customHeight="1">
      <c r="F310" s="26"/>
      <c r="G310" s="21"/>
      <c r="L310" s="27"/>
      <c r="M310" s="27"/>
      <c r="N310" s="27"/>
    </row>
    <row r="311" spans="6:14" ht="14.25" customHeight="1">
      <c r="F311" s="26"/>
      <c r="G311" s="21"/>
      <c r="L311" s="27"/>
      <c r="M311" s="27"/>
      <c r="N311" s="27"/>
    </row>
    <row r="312" spans="6:14" ht="14.25" customHeight="1">
      <c r="F312" s="26"/>
      <c r="G312" s="21"/>
      <c r="L312" s="27"/>
      <c r="M312" s="27"/>
      <c r="N312" s="27"/>
    </row>
    <row r="313" spans="6:14" ht="14.25" customHeight="1">
      <c r="F313" s="26"/>
      <c r="G313" s="21"/>
      <c r="L313" s="27"/>
      <c r="M313" s="27"/>
      <c r="N313" s="27"/>
    </row>
    <row r="314" spans="6:14" ht="14.25" customHeight="1">
      <c r="F314" s="26"/>
      <c r="G314" s="21"/>
      <c r="L314" s="27"/>
      <c r="M314" s="27"/>
      <c r="N314" s="27"/>
    </row>
    <row r="315" spans="6:14" ht="14.25" customHeight="1">
      <c r="F315" s="26"/>
      <c r="G315" s="21"/>
      <c r="L315" s="27"/>
      <c r="M315" s="27"/>
      <c r="N315" s="27"/>
    </row>
    <row r="316" spans="6:14" ht="14.25" customHeight="1">
      <c r="F316" s="26"/>
      <c r="G316" s="21"/>
      <c r="L316" s="27"/>
      <c r="M316" s="27"/>
      <c r="N316" s="27"/>
    </row>
    <row r="317" spans="6:14" ht="14.25" customHeight="1">
      <c r="F317" s="26"/>
      <c r="G317" s="21"/>
      <c r="L317" s="27"/>
      <c r="M317" s="27"/>
      <c r="N317" s="27"/>
    </row>
    <row r="318" spans="6:14" ht="14.25" customHeight="1">
      <c r="F318" s="26"/>
      <c r="G318" s="21"/>
      <c r="L318" s="27"/>
      <c r="M318" s="27"/>
      <c r="N318" s="27"/>
    </row>
    <row r="319" spans="6:14" ht="14.25" customHeight="1">
      <c r="F319" s="26"/>
      <c r="G319" s="21"/>
      <c r="L319" s="27"/>
      <c r="M319" s="27"/>
      <c r="N319" s="27"/>
    </row>
    <row r="320" spans="6:14" ht="14.25" customHeight="1">
      <c r="F320" s="26"/>
      <c r="G320" s="21"/>
      <c r="L320" s="27"/>
      <c r="M320" s="27"/>
      <c r="N320" s="27"/>
    </row>
    <row r="321" spans="6:14" ht="14.25" customHeight="1">
      <c r="F321" s="26"/>
      <c r="G321" s="21"/>
      <c r="L321" s="27"/>
      <c r="M321" s="27"/>
      <c r="N321" s="27"/>
    </row>
    <row r="322" spans="6:14" ht="14.25" customHeight="1">
      <c r="F322" s="26"/>
      <c r="G322" s="21"/>
      <c r="L322" s="27"/>
      <c r="M322" s="27"/>
      <c r="N322" s="27"/>
    </row>
    <row r="323" spans="6:14" ht="14.25" customHeight="1">
      <c r="F323" s="26"/>
      <c r="G323" s="21"/>
      <c r="L323" s="27"/>
      <c r="M323" s="27"/>
      <c r="N323" s="27"/>
    </row>
    <row r="324" spans="6:14" ht="14.25" customHeight="1">
      <c r="F324" s="26"/>
      <c r="G324" s="21"/>
      <c r="L324" s="27"/>
      <c r="M324" s="27"/>
      <c r="N324" s="27"/>
    </row>
    <row r="325" spans="6:14" ht="14.25" customHeight="1">
      <c r="F325" s="26"/>
      <c r="G325" s="21"/>
      <c r="L325" s="27"/>
      <c r="M325" s="27"/>
      <c r="N325" s="27"/>
    </row>
    <row r="326" spans="6:14" ht="14.25" customHeight="1">
      <c r="F326" s="26"/>
      <c r="G326" s="21"/>
      <c r="L326" s="27"/>
      <c r="M326" s="27"/>
      <c r="N326" s="27"/>
    </row>
    <row r="327" spans="6:14" ht="14.25" customHeight="1">
      <c r="F327" s="26"/>
      <c r="G327" s="21"/>
      <c r="L327" s="27"/>
      <c r="M327" s="27"/>
      <c r="N327" s="27"/>
    </row>
    <row r="328" spans="6:14" ht="14.25" customHeight="1">
      <c r="F328" s="26"/>
      <c r="G328" s="21"/>
      <c r="L328" s="27"/>
      <c r="M328" s="27"/>
      <c r="N328" s="27"/>
    </row>
    <row r="329" spans="6:14" ht="14.25" customHeight="1">
      <c r="F329" s="26"/>
      <c r="G329" s="21"/>
      <c r="L329" s="27"/>
      <c r="M329" s="27"/>
      <c r="N329" s="27"/>
    </row>
    <row r="330" spans="6:14" ht="14.25" customHeight="1">
      <c r="F330" s="26"/>
      <c r="G330" s="21"/>
      <c r="L330" s="27"/>
      <c r="M330" s="27"/>
      <c r="N330" s="27"/>
    </row>
    <row r="331" spans="6:14" ht="14.25" customHeight="1">
      <c r="F331" s="26"/>
      <c r="G331" s="21"/>
      <c r="L331" s="27"/>
      <c r="M331" s="27"/>
      <c r="N331" s="27"/>
    </row>
    <row r="332" spans="6:14" ht="14.25" customHeight="1">
      <c r="F332" s="26"/>
      <c r="G332" s="21"/>
      <c r="L332" s="27"/>
      <c r="M332" s="27"/>
      <c r="N332" s="27"/>
    </row>
    <row r="333" spans="6:14" ht="14.25" customHeight="1">
      <c r="F333" s="26"/>
      <c r="G333" s="21"/>
      <c r="L333" s="27"/>
      <c r="M333" s="27"/>
      <c r="N333" s="27"/>
    </row>
    <row r="334" spans="6:14" ht="14.25" customHeight="1">
      <c r="F334" s="26"/>
      <c r="G334" s="21"/>
      <c r="L334" s="27"/>
      <c r="M334" s="27"/>
      <c r="N334" s="27"/>
    </row>
    <row r="335" spans="6:14" ht="14.25" customHeight="1">
      <c r="F335" s="26"/>
      <c r="G335" s="21"/>
      <c r="L335" s="27"/>
      <c r="M335" s="27"/>
      <c r="N335" s="27"/>
    </row>
    <row r="336" spans="6:14" ht="14.25" customHeight="1">
      <c r="F336" s="26"/>
      <c r="G336" s="21"/>
      <c r="L336" s="27"/>
      <c r="M336" s="27"/>
      <c r="N336" s="27"/>
    </row>
    <row r="337" spans="6:14" ht="14.25" customHeight="1">
      <c r="F337" s="26"/>
      <c r="G337" s="21"/>
      <c r="L337" s="27"/>
      <c r="M337" s="27"/>
      <c r="N337" s="27"/>
    </row>
    <row r="338" spans="6:14" ht="14.25" customHeight="1">
      <c r="F338" s="26"/>
      <c r="G338" s="21"/>
      <c r="L338" s="27"/>
      <c r="M338" s="27"/>
      <c r="N338" s="27"/>
    </row>
    <row r="339" spans="6:14" ht="14.25" customHeight="1">
      <c r="F339" s="26"/>
      <c r="G339" s="21"/>
      <c r="L339" s="27"/>
      <c r="M339" s="27"/>
      <c r="N339" s="27"/>
    </row>
    <row r="340" spans="6:14" ht="14.25" customHeight="1">
      <c r="F340" s="26"/>
      <c r="G340" s="21"/>
      <c r="L340" s="27"/>
      <c r="M340" s="27"/>
      <c r="N340" s="27"/>
    </row>
    <row r="341" spans="6:14" ht="14.25" customHeight="1">
      <c r="F341" s="26"/>
      <c r="G341" s="21"/>
      <c r="L341" s="27"/>
      <c r="M341" s="27"/>
      <c r="N341" s="27"/>
    </row>
    <row r="342" spans="6:14" ht="14.25" customHeight="1">
      <c r="F342" s="26"/>
      <c r="G342" s="21"/>
      <c r="L342" s="27"/>
      <c r="M342" s="27"/>
      <c r="N342" s="27"/>
    </row>
    <row r="343" spans="6:14" ht="14.25" customHeight="1">
      <c r="F343" s="26"/>
      <c r="G343" s="21"/>
      <c r="L343" s="27"/>
      <c r="M343" s="27"/>
      <c r="N343" s="27"/>
    </row>
    <row r="344" spans="6:14" ht="14.25" customHeight="1">
      <c r="F344" s="26"/>
      <c r="G344" s="21"/>
      <c r="L344" s="27"/>
      <c r="M344" s="27"/>
      <c r="N344" s="27"/>
    </row>
    <row r="345" spans="6:14" ht="14.25" customHeight="1">
      <c r="F345" s="26"/>
      <c r="G345" s="21"/>
      <c r="L345" s="27"/>
      <c r="M345" s="27"/>
      <c r="N345" s="27"/>
    </row>
    <row r="346" spans="6:14" ht="14.25" customHeight="1">
      <c r="F346" s="26"/>
      <c r="G346" s="21"/>
      <c r="L346" s="27"/>
      <c r="M346" s="27"/>
      <c r="N346" s="27"/>
    </row>
    <row r="347" spans="6:14" ht="14.25" customHeight="1">
      <c r="F347" s="26"/>
      <c r="G347" s="21"/>
      <c r="L347" s="27"/>
      <c r="M347" s="27"/>
      <c r="N347" s="27"/>
    </row>
    <row r="348" spans="6:14" ht="14.25" customHeight="1">
      <c r="F348" s="26"/>
      <c r="G348" s="21"/>
      <c r="L348" s="27"/>
      <c r="M348" s="27"/>
      <c r="N348" s="27"/>
    </row>
    <row r="349" spans="6:14" ht="14.25" customHeight="1">
      <c r="F349" s="26"/>
      <c r="G349" s="21"/>
      <c r="L349" s="27"/>
      <c r="M349" s="27"/>
      <c r="N349" s="27"/>
    </row>
    <row r="350" spans="6:14" ht="14.25" customHeight="1">
      <c r="F350" s="26"/>
      <c r="G350" s="21"/>
      <c r="L350" s="27"/>
      <c r="M350" s="27"/>
      <c r="N350" s="27"/>
    </row>
    <row r="351" spans="6:14" ht="14.25" customHeight="1">
      <c r="F351" s="26"/>
      <c r="G351" s="21"/>
      <c r="L351" s="27"/>
      <c r="M351" s="27"/>
      <c r="N351" s="27"/>
    </row>
    <row r="352" spans="6:14" ht="14.25" customHeight="1">
      <c r="F352" s="26"/>
      <c r="G352" s="21"/>
      <c r="L352" s="27"/>
      <c r="M352" s="27"/>
      <c r="N352" s="27"/>
    </row>
    <row r="353" spans="6:14" ht="14.25" customHeight="1">
      <c r="F353" s="26"/>
      <c r="G353" s="21"/>
      <c r="L353" s="27"/>
      <c r="M353" s="27"/>
      <c r="N353" s="27"/>
    </row>
    <row r="354" spans="6:14" ht="14.25" customHeight="1">
      <c r="F354" s="26"/>
      <c r="G354" s="21"/>
      <c r="L354" s="27"/>
      <c r="M354" s="27"/>
      <c r="N354" s="27"/>
    </row>
    <row r="355" spans="6:14" ht="14.25" customHeight="1">
      <c r="F355" s="26"/>
      <c r="G355" s="21"/>
      <c r="L355" s="27"/>
      <c r="M355" s="27"/>
      <c r="N355" s="27"/>
    </row>
    <row r="356" spans="6:14" ht="14.25" customHeight="1">
      <c r="F356" s="26"/>
      <c r="G356" s="21"/>
      <c r="L356" s="27"/>
      <c r="M356" s="27"/>
      <c r="N356" s="27"/>
    </row>
    <row r="357" spans="6:14" ht="14.25" customHeight="1">
      <c r="F357" s="26"/>
      <c r="G357" s="21"/>
      <c r="L357" s="27"/>
      <c r="M357" s="27"/>
      <c r="N357" s="27"/>
    </row>
    <row r="358" spans="6:14" ht="14.25" customHeight="1">
      <c r="F358" s="26"/>
      <c r="G358" s="21"/>
      <c r="L358" s="27"/>
      <c r="M358" s="27"/>
      <c r="N358" s="27"/>
    </row>
    <row r="359" spans="6:14" ht="14.25" customHeight="1">
      <c r="F359" s="26"/>
      <c r="G359" s="21"/>
      <c r="L359" s="27"/>
      <c r="M359" s="27"/>
      <c r="N359" s="27"/>
    </row>
    <row r="360" spans="6:14" ht="14.25" customHeight="1">
      <c r="F360" s="26"/>
      <c r="G360" s="21"/>
      <c r="L360" s="27"/>
      <c r="M360" s="27"/>
      <c r="N360" s="27"/>
    </row>
    <row r="361" spans="6:14" ht="14.25" customHeight="1">
      <c r="F361" s="26"/>
      <c r="G361" s="21"/>
      <c r="L361" s="27"/>
      <c r="M361" s="27"/>
      <c r="N361" s="27"/>
    </row>
    <row r="362" spans="6:14" ht="14.25" customHeight="1">
      <c r="F362" s="26"/>
      <c r="G362" s="21"/>
      <c r="L362" s="27"/>
      <c r="M362" s="27"/>
      <c r="N362" s="27"/>
    </row>
    <row r="363" spans="6:14" ht="14.25" customHeight="1">
      <c r="F363" s="26"/>
      <c r="G363" s="21"/>
      <c r="L363" s="27"/>
      <c r="M363" s="27"/>
      <c r="N363" s="27"/>
    </row>
    <row r="364" spans="6:14" ht="14.25" customHeight="1">
      <c r="F364" s="26"/>
      <c r="G364" s="21"/>
      <c r="L364" s="27"/>
      <c r="M364" s="27"/>
      <c r="N364" s="27"/>
    </row>
    <row r="365" spans="6:14" ht="14.25" customHeight="1">
      <c r="F365" s="26"/>
      <c r="G365" s="21"/>
      <c r="L365" s="27"/>
      <c r="M365" s="27"/>
      <c r="N365" s="27"/>
    </row>
    <row r="366" spans="6:14" ht="14.25" customHeight="1">
      <c r="F366" s="26"/>
      <c r="G366" s="21"/>
      <c r="L366" s="27"/>
      <c r="M366" s="27"/>
      <c r="N366" s="27"/>
    </row>
    <row r="367" spans="6:14" ht="14.25" customHeight="1">
      <c r="F367" s="26"/>
      <c r="G367" s="21"/>
      <c r="L367" s="27"/>
      <c r="M367" s="27"/>
      <c r="N367" s="27"/>
    </row>
    <row r="368" spans="6:14" ht="14.25" customHeight="1">
      <c r="F368" s="26"/>
      <c r="G368" s="21"/>
      <c r="L368" s="27"/>
      <c r="M368" s="27"/>
      <c r="N368" s="27"/>
    </row>
    <row r="369" spans="6:14" ht="14.25" customHeight="1">
      <c r="F369" s="26"/>
      <c r="G369" s="21"/>
      <c r="L369" s="27"/>
      <c r="M369" s="27"/>
      <c r="N369" s="27"/>
    </row>
    <row r="370" spans="6:14" ht="14.25" customHeight="1">
      <c r="F370" s="26"/>
      <c r="G370" s="21"/>
      <c r="L370" s="27"/>
      <c r="M370" s="27"/>
      <c r="N370" s="27"/>
    </row>
    <row r="371" spans="6:14" ht="14.25" customHeight="1">
      <c r="F371" s="26"/>
      <c r="G371" s="21"/>
      <c r="L371" s="27"/>
      <c r="M371" s="27"/>
      <c r="N371" s="27"/>
    </row>
    <row r="372" spans="6:14" ht="14.25" customHeight="1">
      <c r="F372" s="26"/>
      <c r="G372" s="21"/>
      <c r="L372" s="27"/>
      <c r="M372" s="27"/>
      <c r="N372" s="27"/>
    </row>
    <row r="373" spans="6:14" ht="14.25" customHeight="1">
      <c r="F373" s="26"/>
      <c r="G373" s="21"/>
      <c r="L373" s="27"/>
      <c r="M373" s="27"/>
      <c r="N373" s="27"/>
    </row>
    <row r="374" spans="6:14" ht="14.25" customHeight="1">
      <c r="F374" s="26"/>
      <c r="G374" s="21"/>
      <c r="L374" s="27"/>
      <c r="M374" s="27"/>
      <c r="N374" s="27"/>
    </row>
    <row r="375" spans="6:14" ht="14.25" customHeight="1">
      <c r="F375" s="26"/>
      <c r="G375" s="21"/>
      <c r="L375" s="27"/>
      <c r="M375" s="27"/>
      <c r="N375" s="27"/>
    </row>
    <row r="376" spans="6:14" ht="14.25" customHeight="1">
      <c r="F376" s="26"/>
      <c r="G376" s="21"/>
      <c r="L376" s="27"/>
      <c r="M376" s="27"/>
      <c r="N376" s="27"/>
    </row>
    <row r="377" spans="6:14" ht="14.25" customHeight="1">
      <c r="F377" s="26"/>
      <c r="G377" s="21"/>
      <c r="L377" s="27"/>
      <c r="M377" s="27"/>
      <c r="N377" s="27"/>
    </row>
    <row r="378" spans="6:14" ht="14.25" customHeight="1">
      <c r="F378" s="26"/>
      <c r="G378" s="21"/>
      <c r="L378" s="27"/>
      <c r="M378" s="27"/>
      <c r="N378" s="27"/>
    </row>
    <row r="379" spans="6:14" ht="14.25" customHeight="1">
      <c r="F379" s="26"/>
      <c r="G379" s="21"/>
      <c r="L379" s="27"/>
      <c r="M379" s="27"/>
      <c r="N379" s="27"/>
    </row>
    <row r="380" spans="6:14" ht="14.25" customHeight="1">
      <c r="F380" s="26"/>
      <c r="G380" s="21"/>
      <c r="L380" s="27"/>
      <c r="M380" s="27"/>
      <c r="N380" s="27"/>
    </row>
    <row r="381" spans="6:14" ht="14.25" customHeight="1">
      <c r="F381" s="26"/>
      <c r="G381" s="21"/>
      <c r="L381" s="27"/>
      <c r="M381" s="27"/>
      <c r="N381" s="27"/>
    </row>
    <row r="382" spans="6:14" ht="14.25" customHeight="1">
      <c r="F382" s="26"/>
      <c r="G382" s="21"/>
      <c r="L382" s="27"/>
      <c r="M382" s="27"/>
      <c r="N382" s="27"/>
    </row>
    <row r="383" spans="6:14" ht="14.25" customHeight="1">
      <c r="F383" s="26"/>
      <c r="G383" s="21"/>
      <c r="L383" s="27"/>
      <c r="M383" s="27"/>
      <c r="N383" s="27"/>
    </row>
    <row r="384" spans="6:14" ht="14.25" customHeight="1">
      <c r="F384" s="26"/>
      <c r="G384" s="21"/>
      <c r="L384" s="27"/>
      <c r="M384" s="27"/>
      <c r="N384" s="27"/>
    </row>
    <row r="385" spans="6:14" ht="14.25" customHeight="1">
      <c r="F385" s="26"/>
      <c r="G385" s="21"/>
      <c r="L385" s="27"/>
      <c r="M385" s="27"/>
      <c r="N385" s="27"/>
    </row>
    <row r="386" spans="6:14" ht="14.25" customHeight="1">
      <c r="F386" s="26"/>
      <c r="G386" s="21"/>
      <c r="L386" s="27"/>
      <c r="M386" s="27"/>
      <c r="N386" s="27"/>
    </row>
    <row r="387" spans="6:14" ht="14.25" customHeight="1">
      <c r="F387" s="26"/>
      <c r="G387" s="21"/>
      <c r="L387" s="27"/>
      <c r="M387" s="27"/>
      <c r="N387" s="27"/>
    </row>
    <row r="388" spans="6:14" ht="14.25" customHeight="1">
      <c r="F388" s="26"/>
      <c r="G388" s="21"/>
      <c r="L388" s="27"/>
      <c r="M388" s="27"/>
      <c r="N388" s="27"/>
    </row>
    <row r="389" spans="6:14" ht="14.25" customHeight="1">
      <c r="F389" s="26"/>
      <c r="G389" s="21"/>
      <c r="L389" s="27"/>
      <c r="M389" s="27"/>
      <c r="N389" s="27"/>
    </row>
    <row r="390" spans="6:14" ht="14.25" customHeight="1">
      <c r="F390" s="26"/>
      <c r="G390" s="21"/>
      <c r="L390" s="27"/>
      <c r="M390" s="27"/>
      <c r="N390" s="27"/>
    </row>
    <row r="391" spans="6:14" ht="14.25" customHeight="1">
      <c r="F391" s="26"/>
      <c r="G391" s="21"/>
      <c r="L391" s="27"/>
      <c r="M391" s="27"/>
      <c r="N391" s="27"/>
    </row>
    <row r="392" spans="6:14" ht="14.25" customHeight="1">
      <c r="F392" s="26"/>
      <c r="G392" s="21"/>
      <c r="L392" s="27"/>
      <c r="M392" s="27"/>
      <c r="N392" s="27"/>
    </row>
    <row r="393" spans="6:14" ht="14.25" customHeight="1">
      <c r="F393" s="26"/>
      <c r="G393" s="21"/>
      <c r="L393" s="27"/>
      <c r="M393" s="27"/>
      <c r="N393" s="27"/>
    </row>
    <row r="394" spans="6:14" ht="14.25" customHeight="1">
      <c r="F394" s="26"/>
      <c r="G394" s="21"/>
      <c r="L394" s="27"/>
      <c r="M394" s="27"/>
      <c r="N394" s="27"/>
    </row>
    <row r="395" spans="6:14" ht="14.25" customHeight="1">
      <c r="F395" s="26"/>
      <c r="G395" s="21"/>
      <c r="L395" s="27"/>
      <c r="M395" s="27"/>
      <c r="N395" s="27"/>
    </row>
    <row r="396" spans="6:14" ht="14.25" customHeight="1">
      <c r="F396" s="26"/>
      <c r="G396" s="21"/>
      <c r="L396" s="27"/>
      <c r="M396" s="27"/>
      <c r="N396" s="27"/>
    </row>
    <row r="397" spans="6:14" ht="14.25" customHeight="1">
      <c r="F397" s="26"/>
      <c r="G397" s="21"/>
      <c r="L397" s="27"/>
      <c r="M397" s="27"/>
      <c r="N397" s="27"/>
    </row>
    <row r="398" spans="6:14" ht="14.25" customHeight="1">
      <c r="F398" s="26"/>
      <c r="G398" s="21"/>
      <c r="L398" s="27"/>
      <c r="M398" s="27"/>
      <c r="N398" s="27"/>
    </row>
    <row r="399" spans="6:14" ht="14.25" customHeight="1">
      <c r="F399" s="26"/>
      <c r="G399" s="21"/>
      <c r="L399" s="27"/>
      <c r="M399" s="27"/>
      <c r="N399" s="27"/>
    </row>
    <row r="400" spans="6:14" ht="14.25" customHeight="1">
      <c r="F400" s="26"/>
      <c r="G400" s="21"/>
      <c r="L400" s="27"/>
      <c r="M400" s="27"/>
      <c r="N400" s="27"/>
    </row>
    <row r="401" spans="6:14" ht="14.25" customHeight="1">
      <c r="F401" s="26"/>
      <c r="G401" s="21"/>
      <c r="L401" s="27"/>
      <c r="M401" s="27"/>
      <c r="N401" s="27"/>
    </row>
    <row r="402" spans="6:14" ht="14.25" customHeight="1">
      <c r="F402" s="26"/>
      <c r="G402" s="21"/>
      <c r="L402" s="27"/>
      <c r="M402" s="27"/>
      <c r="N402" s="27"/>
    </row>
    <row r="403" spans="6:14" ht="14.25" customHeight="1">
      <c r="F403" s="26"/>
      <c r="G403" s="21"/>
      <c r="L403" s="27"/>
      <c r="M403" s="27"/>
      <c r="N403" s="27"/>
    </row>
    <row r="404" spans="6:14" ht="14.25" customHeight="1">
      <c r="F404" s="26"/>
      <c r="G404" s="21"/>
      <c r="L404" s="27"/>
      <c r="M404" s="27"/>
      <c r="N404" s="27"/>
    </row>
    <row r="405" spans="6:14" ht="14.25" customHeight="1">
      <c r="F405" s="26"/>
      <c r="G405" s="21"/>
      <c r="L405" s="27"/>
      <c r="M405" s="27"/>
      <c r="N405" s="27"/>
    </row>
    <row r="406" spans="6:14" ht="14.25" customHeight="1">
      <c r="F406" s="26"/>
      <c r="G406" s="21"/>
      <c r="L406" s="27"/>
      <c r="M406" s="27"/>
      <c r="N406" s="27"/>
    </row>
    <row r="407" spans="6:14" ht="14.25" customHeight="1">
      <c r="F407" s="26"/>
      <c r="G407" s="21"/>
      <c r="L407" s="27"/>
      <c r="M407" s="27"/>
      <c r="N407" s="27"/>
    </row>
    <row r="408" spans="6:14" ht="14.25" customHeight="1">
      <c r="F408" s="26"/>
      <c r="G408" s="21"/>
      <c r="L408" s="27"/>
      <c r="M408" s="27"/>
      <c r="N408" s="27"/>
    </row>
    <row r="409" spans="6:14" ht="14.25" customHeight="1">
      <c r="F409" s="26"/>
      <c r="G409" s="21"/>
      <c r="L409" s="27"/>
      <c r="M409" s="27"/>
      <c r="N409" s="27"/>
    </row>
    <row r="410" spans="6:14" ht="14.25" customHeight="1">
      <c r="F410" s="26"/>
      <c r="G410" s="21"/>
      <c r="L410" s="27"/>
      <c r="M410" s="27"/>
      <c r="N410" s="27"/>
    </row>
    <row r="411" spans="6:14" ht="14.25" customHeight="1">
      <c r="F411" s="26"/>
      <c r="G411" s="21"/>
      <c r="L411" s="27"/>
      <c r="M411" s="27"/>
      <c r="N411" s="27"/>
    </row>
    <row r="412" spans="6:14" ht="14.25" customHeight="1">
      <c r="F412" s="26"/>
      <c r="G412" s="21"/>
      <c r="L412" s="27"/>
      <c r="M412" s="27"/>
      <c r="N412" s="27"/>
    </row>
    <row r="413" spans="6:14" ht="14.25" customHeight="1">
      <c r="F413" s="26"/>
      <c r="G413" s="21"/>
      <c r="L413" s="27"/>
      <c r="M413" s="27"/>
      <c r="N413" s="27"/>
    </row>
    <row r="414" spans="6:14" ht="14.25" customHeight="1">
      <c r="F414" s="26"/>
      <c r="G414" s="21"/>
      <c r="L414" s="27"/>
      <c r="M414" s="27"/>
      <c r="N414" s="27"/>
    </row>
    <row r="415" spans="6:14" ht="14.25" customHeight="1">
      <c r="F415" s="26"/>
      <c r="G415" s="21"/>
      <c r="L415" s="27"/>
      <c r="M415" s="27"/>
      <c r="N415" s="27"/>
    </row>
    <row r="416" spans="6:14" ht="14.25" customHeight="1">
      <c r="F416" s="26"/>
      <c r="G416" s="21"/>
      <c r="L416" s="27"/>
      <c r="M416" s="27"/>
      <c r="N416" s="27"/>
    </row>
    <row r="417" spans="6:14" ht="14.25" customHeight="1">
      <c r="F417" s="26"/>
      <c r="G417" s="21"/>
      <c r="L417" s="27"/>
      <c r="M417" s="27"/>
      <c r="N417" s="27"/>
    </row>
    <row r="418" spans="6:14" ht="14.25" customHeight="1">
      <c r="F418" s="26"/>
      <c r="G418" s="21"/>
      <c r="L418" s="27"/>
      <c r="M418" s="27"/>
      <c r="N418" s="27"/>
    </row>
    <row r="419" spans="6:14" ht="14.25" customHeight="1">
      <c r="F419" s="26"/>
      <c r="G419" s="21"/>
      <c r="L419" s="27"/>
      <c r="M419" s="27"/>
      <c r="N419" s="27"/>
    </row>
    <row r="420" spans="6:14" ht="14.25" customHeight="1">
      <c r="F420" s="26"/>
      <c r="G420" s="21"/>
      <c r="L420" s="27"/>
      <c r="M420" s="27"/>
      <c r="N420" s="27"/>
    </row>
    <row r="421" spans="6:14" ht="14.25" customHeight="1">
      <c r="F421" s="26"/>
      <c r="G421" s="21"/>
      <c r="L421" s="27"/>
      <c r="M421" s="27"/>
      <c r="N421" s="27"/>
    </row>
    <row r="422" spans="6:14" ht="14.25" customHeight="1">
      <c r="F422" s="26"/>
      <c r="G422" s="21"/>
      <c r="L422" s="27"/>
      <c r="M422" s="27"/>
      <c r="N422" s="27"/>
    </row>
    <row r="423" spans="6:14" ht="14.25" customHeight="1">
      <c r="F423" s="26"/>
      <c r="G423" s="21"/>
      <c r="L423" s="27"/>
      <c r="M423" s="27"/>
      <c r="N423" s="27"/>
    </row>
    <row r="424" spans="6:14" ht="14.25" customHeight="1">
      <c r="F424" s="26"/>
      <c r="G424" s="21"/>
      <c r="L424" s="27"/>
      <c r="M424" s="27"/>
      <c r="N424" s="27"/>
    </row>
    <row r="425" spans="6:14" ht="14.25" customHeight="1">
      <c r="F425" s="26"/>
      <c r="G425" s="21"/>
      <c r="L425" s="27"/>
      <c r="M425" s="27"/>
      <c r="N425" s="27"/>
    </row>
    <row r="426" spans="6:14" ht="14.25" customHeight="1">
      <c r="F426" s="26"/>
      <c r="G426" s="21"/>
      <c r="L426" s="27"/>
      <c r="M426" s="27"/>
      <c r="N426" s="27"/>
    </row>
    <row r="427" spans="6:14" ht="14.25" customHeight="1">
      <c r="F427" s="26"/>
      <c r="G427" s="21"/>
      <c r="L427" s="27"/>
      <c r="M427" s="27"/>
      <c r="N427" s="27"/>
    </row>
    <row r="428" spans="6:14" ht="14.25" customHeight="1">
      <c r="F428" s="26"/>
      <c r="G428" s="21"/>
      <c r="L428" s="27"/>
      <c r="M428" s="27"/>
      <c r="N428" s="27"/>
    </row>
    <row r="429" spans="6:14" ht="14.25" customHeight="1">
      <c r="F429" s="26"/>
      <c r="G429" s="21"/>
      <c r="L429" s="27"/>
      <c r="M429" s="27"/>
      <c r="N429" s="27"/>
    </row>
    <row r="430" spans="6:14" ht="14.25" customHeight="1">
      <c r="F430" s="26"/>
      <c r="G430" s="21"/>
      <c r="L430" s="27"/>
      <c r="M430" s="27"/>
      <c r="N430" s="27"/>
    </row>
    <row r="431" spans="6:14" ht="14.25" customHeight="1">
      <c r="F431" s="26"/>
      <c r="G431" s="21"/>
      <c r="L431" s="27"/>
      <c r="M431" s="27"/>
      <c r="N431" s="27"/>
    </row>
    <row r="432" spans="6:14" ht="14.25" customHeight="1">
      <c r="F432" s="26"/>
      <c r="G432" s="21"/>
      <c r="L432" s="27"/>
      <c r="M432" s="27"/>
      <c r="N432" s="27"/>
    </row>
    <row r="433" spans="6:14" ht="14.25" customHeight="1">
      <c r="F433" s="26"/>
      <c r="G433" s="21"/>
      <c r="L433" s="27"/>
      <c r="M433" s="27"/>
      <c r="N433" s="27"/>
    </row>
    <row r="434" spans="6:14" ht="14.25" customHeight="1">
      <c r="F434" s="26"/>
      <c r="G434" s="21"/>
      <c r="L434" s="27"/>
      <c r="M434" s="27"/>
      <c r="N434" s="27"/>
    </row>
    <row r="435" spans="6:14" ht="14.25" customHeight="1">
      <c r="F435" s="26"/>
      <c r="G435" s="21"/>
      <c r="L435" s="27"/>
      <c r="M435" s="27"/>
      <c r="N435" s="27"/>
    </row>
    <row r="436" spans="6:14" ht="14.25" customHeight="1">
      <c r="F436" s="26"/>
      <c r="G436" s="21"/>
      <c r="L436" s="27"/>
      <c r="M436" s="27"/>
      <c r="N436" s="27"/>
    </row>
    <row r="437" spans="6:14" ht="14.25" customHeight="1">
      <c r="F437" s="26"/>
      <c r="G437" s="21"/>
      <c r="L437" s="27"/>
      <c r="M437" s="27"/>
      <c r="N437" s="27"/>
    </row>
    <row r="438" spans="6:14" ht="14.25" customHeight="1">
      <c r="F438" s="26"/>
      <c r="G438" s="21"/>
      <c r="L438" s="27"/>
      <c r="M438" s="27"/>
      <c r="N438" s="27"/>
    </row>
    <row r="439" spans="6:14" ht="14.25" customHeight="1">
      <c r="F439" s="26"/>
      <c r="G439" s="21"/>
      <c r="L439" s="27"/>
      <c r="M439" s="27"/>
      <c r="N439" s="27"/>
    </row>
    <row r="440" spans="6:14" ht="14.25" customHeight="1">
      <c r="F440" s="26"/>
      <c r="G440" s="21"/>
      <c r="L440" s="27"/>
      <c r="M440" s="27"/>
      <c r="N440" s="27"/>
    </row>
    <row r="441" spans="6:14" ht="14.25" customHeight="1">
      <c r="F441" s="26"/>
      <c r="G441" s="21"/>
      <c r="L441" s="27"/>
      <c r="M441" s="27"/>
      <c r="N441" s="27"/>
    </row>
    <row r="442" spans="6:14" ht="14.25" customHeight="1">
      <c r="F442" s="26"/>
      <c r="G442" s="21"/>
      <c r="L442" s="27"/>
      <c r="M442" s="27"/>
      <c r="N442" s="27"/>
    </row>
    <row r="443" spans="6:14" ht="14.25" customHeight="1">
      <c r="F443" s="26"/>
      <c r="G443" s="21"/>
      <c r="L443" s="27"/>
      <c r="M443" s="27"/>
      <c r="N443" s="27"/>
    </row>
    <row r="444" spans="6:14" ht="14.25" customHeight="1">
      <c r="F444" s="26"/>
      <c r="G444" s="21"/>
      <c r="L444" s="27"/>
      <c r="M444" s="27"/>
      <c r="N444" s="27"/>
    </row>
    <row r="445" spans="6:14" ht="14.25" customHeight="1">
      <c r="F445" s="26"/>
      <c r="G445" s="21"/>
      <c r="L445" s="27"/>
      <c r="M445" s="27"/>
      <c r="N445" s="27"/>
    </row>
    <row r="446" spans="6:14" ht="14.25" customHeight="1">
      <c r="F446" s="26"/>
      <c r="G446" s="21"/>
      <c r="L446" s="27"/>
      <c r="M446" s="27"/>
      <c r="N446" s="27"/>
    </row>
    <row r="447" spans="6:14" ht="14.25" customHeight="1">
      <c r="F447" s="26"/>
      <c r="G447" s="21"/>
      <c r="L447" s="27"/>
      <c r="M447" s="27"/>
      <c r="N447" s="27"/>
    </row>
    <row r="448" spans="6:14" ht="14.25" customHeight="1">
      <c r="F448" s="26"/>
      <c r="G448" s="21"/>
      <c r="L448" s="27"/>
      <c r="M448" s="27"/>
      <c r="N448" s="27"/>
    </row>
    <row r="449" spans="6:14" ht="14.25" customHeight="1">
      <c r="F449" s="26"/>
      <c r="G449" s="21"/>
      <c r="L449" s="27"/>
      <c r="M449" s="27"/>
      <c r="N449" s="27"/>
    </row>
    <row r="450" spans="6:14" ht="14.25" customHeight="1">
      <c r="F450" s="26"/>
      <c r="G450" s="21"/>
      <c r="L450" s="27"/>
      <c r="M450" s="27"/>
      <c r="N450" s="27"/>
    </row>
    <row r="451" spans="6:14" ht="14.25" customHeight="1">
      <c r="F451" s="26"/>
      <c r="G451" s="21"/>
      <c r="L451" s="27"/>
      <c r="M451" s="27"/>
      <c r="N451" s="27"/>
    </row>
    <row r="452" spans="6:14" ht="14.25" customHeight="1">
      <c r="F452" s="26"/>
      <c r="G452" s="21"/>
      <c r="L452" s="27"/>
      <c r="M452" s="27"/>
      <c r="N452" s="27"/>
    </row>
    <row r="453" spans="6:14" ht="14.25" customHeight="1">
      <c r="F453" s="26"/>
      <c r="G453" s="21"/>
      <c r="L453" s="27"/>
      <c r="M453" s="27"/>
      <c r="N453" s="27"/>
    </row>
    <row r="454" spans="6:14" ht="14.25" customHeight="1">
      <c r="F454" s="26"/>
      <c r="G454" s="21"/>
      <c r="L454" s="27"/>
      <c r="M454" s="27"/>
      <c r="N454" s="27"/>
    </row>
    <row r="455" spans="6:14" ht="14.25" customHeight="1">
      <c r="F455" s="26"/>
      <c r="G455" s="21"/>
      <c r="L455" s="27"/>
      <c r="M455" s="27"/>
      <c r="N455" s="27"/>
    </row>
    <row r="456" spans="6:14" ht="14.25" customHeight="1">
      <c r="F456" s="26"/>
      <c r="G456" s="21"/>
      <c r="L456" s="27"/>
      <c r="M456" s="27"/>
      <c r="N456" s="27"/>
    </row>
    <row r="457" spans="6:14" ht="14.25" customHeight="1">
      <c r="F457" s="26"/>
      <c r="G457" s="21"/>
      <c r="L457" s="27"/>
      <c r="M457" s="27"/>
      <c r="N457" s="27"/>
    </row>
    <row r="458" spans="6:14" ht="14.25" customHeight="1">
      <c r="F458" s="26"/>
      <c r="G458" s="21"/>
      <c r="L458" s="27"/>
      <c r="M458" s="27"/>
      <c r="N458" s="27"/>
    </row>
    <row r="459" spans="6:14" ht="14.25" customHeight="1">
      <c r="F459" s="26"/>
      <c r="G459" s="21"/>
      <c r="L459" s="27"/>
      <c r="M459" s="27"/>
      <c r="N459" s="27"/>
    </row>
    <row r="460" spans="6:14" ht="14.25" customHeight="1">
      <c r="F460" s="26"/>
      <c r="G460" s="21"/>
      <c r="L460" s="27"/>
      <c r="M460" s="27"/>
      <c r="N460" s="27"/>
    </row>
    <row r="461" spans="6:14" ht="14.25" customHeight="1">
      <c r="F461" s="26"/>
      <c r="G461" s="21"/>
      <c r="L461" s="27"/>
      <c r="M461" s="27"/>
      <c r="N461" s="27"/>
    </row>
    <row r="462" spans="6:14" ht="14.25" customHeight="1">
      <c r="F462" s="26"/>
      <c r="G462" s="21"/>
      <c r="L462" s="27"/>
      <c r="M462" s="27"/>
      <c r="N462" s="27"/>
    </row>
    <row r="463" spans="6:14" ht="14.25" customHeight="1">
      <c r="F463" s="26"/>
      <c r="G463" s="21"/>
      <c r="L463" s="27"/>
      <c r="M463" s="27"/>
      <c r="N463" s="27"/>
    </row>
    <row r="464" spans="6:14" ht="14.25" customHeight="1">
      <c r="F464" s="26"/>
      <c r="G464" s="21"/>
      <c r="L464" s="27"/>
      <c r="M464" s="27"/>
      <c r="N464" s="27"/>
    </row>
    <row r="465" spans="6:14" ht="14.25" customHeight="1">
      <c r="F465" s="26"/>
      <c r="G465" s="21"/>
      <c r="L465" s="27"/>
      <c r="M465" s="27"/>
      <c r="N465" s="27"/>
    </row>
    <row r="466" spans="6:14" ht="14.25" customHeight="1">
      <c r="F466" s="26"/>
      <c r="G466" s="21"/>
      <c r="L466" s="27"/>
      <c r="M466" s="27"/>
      <c r="N466" s="27"/>
    </row>
    <row r="467" spans="6:14" ht="14.25" customHeight="1">
      <c r="F467" s="26"/>
      <c r="G467" s="21"/>
      <c r="L467" s="27"/>
      <c r="M467" s="27"/>
      <c r="N467" s="27"/>
    </row>
    <row r="468" spans="6:14" ht="14.25" customHeight="1">
      <c r="F468" s="26"/>
      <c r="G468" s="21"/>
      <c r="L468" s="27"/>
      <c r="M468" s="27"/>
      <c r="N468" s="27"/>
    </row>
    <row r="469" spans="6:14" ht="14.25" customHeight="1">
      <c r="F469" s="26"/>
      <c r="G469" s="21"/>
      <c r="L469" s="27"/>
      <c r="M469" s="27"/>
      <c r="N469" s="27"/>
    </row>
    <row r="470" spans="6:14" ht="14.25" customHeight="1">
      <c r="F470" s="26"/>
      <c r="G470" s="21"/>
      <c r="L470" s="27"/>
      <c r="M470" s="27"/>
      <c r="N470" s="27"/>
    </row>
    <row r="471" spans="6:14" ht="14.25" customHeight="1">
      <c r="F471" s="26"/>
      <c r="G471" s="21"/>
      <c r="L471" s="27"/>
      <c r="M471" s="27"/>
      <c r="N471" s="27"/>
    </row>
    <row r="472" spans="6:14" ht="14.25" customHeight="1">
      <c r="F472" s="26"/>
      <c r="G472" s="21"/>
      <c r="L472" s="27"/>
      <c r="M472" s="27"/>
      <c r="N472" s="27"/>
    </row>
    <row r="473" spans="6:14" ht="14.25" customHeight="1">
      <c r="F473" s="26"/>
      <c r="G473" s="21"/>
      <c r="L473" s="27"/>
      <c r="M473" s="27"/>
      <c r="N473" s="27"/>
    </row>
    <row r="474" spans="6:14" ht="14.25" customHeight="1">
      <c r="F474" s="26"/>
      <c r="G474" s="21"/>
      <c r="L474" s="27"/>
      <c r="M474" s="27"/>
      <c r="N474" s="27"/>
    </row>
    <row r="475" spans="6:14" ht="14.25" customHeight="1">
      <c r="F475" s="26"/>
      <c r="G475" s="21"/>
      <c r="L475" s="27"/>
      <c r="M475" s="27"/>
      <c r="N475" s="27"/>
    </row>
    <row r="476" spans="6:14" ht="14.25" customHeight="1">
      <c r="F476" s="26"/>
      <c r="G476" s="21"/>
      <c r="L476" s="27"/>
      <c r="M476" s="27"/>
      <c r="N476" s="27"/>
    </row>
    <row r="477" spans="6:14" ht="14.25" customHeight="1">
      <c r="F477" s="26"/>
      <c r="G477" s="21"/>
      <c r="L477" s="27"/>
      <c r="M477" s="27"/>
      <c r="N477" s="27"/>
    </row>
    <row r="478" spans="6:14" ht="14.25" customHeight="1">
      <c r="F478" s="26"/>
      <c r="G478" s="21"/>
      <c r="L478" s="27"/>
      <c r="M478" s="27"/>
      <c r="N478" s="27"/>
    </row>
    <row r="479" spans="6:14" ht="14.25" customHeight="1">
      <c r="F479" s="26"/>
      <c r="G479" s="21"/>
      <c r="L479" s="27"/>
      <c r="M479" s="27"/>
      <c r="N479" s="27"/>
    </row>
    <row r="480" spans="6:14" ht="14.25" customHeight="1">
      <c r="F480" s="26"/>
      <c r="G480" s="21"/>
      <c r="L480" s="27"/>
      <c r="M480" s="27"/>
      <c r="N480" s="27"/>
    </row>
    <row r="481" spans="6:14" ht="14.25" customHeight="1">
      <c r="F481" s="26"/>
      <c r="G481" s="21"/>
      <c r="L481" s="27"/>
      <c r="M481" s="27"/>
      <c r="N481" s="27"/>
    </row>
    <row r="482" spans="6:14" ht="14.25" customHeight="1">
      <c r="F482" s="26"/>
      <c r="G482" s="21"/>
      <c r="L482" s="27"/>
      <c r="M482" s="27"/>
      <c r="N482" s="27"/>
    </row>
    <row r="483" spans="6:14" ht="14.25" customHeight="1">
      <c r="F483" s="26"/>
      <c r="G483" s="21"/>
      <c r="L483" s="27"/>
      <c r="M483" s="27"/>
      <c r="N483" s="27"/>
    </row>
    <row r="484" spans="6:14" ht="14.25" customHeight="1">
      <c r="F484" s="26"/>
      <c r="G484" s="21"/>
      <c r="L484" s="27"/>
      <c r="M484" s="27"/>
      <c r="N484" s="27"/>
    </row>
    <row r="485" spans="6:14" ht="14.25" customHeight="1">
      <c r="F485" s="26"/>
      <c r="G485" s="21"/>
      <c r="L485" s="27"/>
      <c r="M485" s="27"/>
      <c r="N485" s="27"/>
    </row>
    <row r="486" spans="6:14" ht="14.25" customHeight="1">
      <c r="F486" s="26"/>
      <c r="G486" s="21"/>
      <c r="L486" s="27"/>
      <c r="M486" s="27"/>
      <c r="N486" s="27"/>
    </row>
    <row r="487" spans="6:14" ht="14.25" customHeight="1">
      <c r="F487" s="26"/>
      <c r="G487" s="21"/>
      <c r="L487" s="27"/>
      <c r="M487" s="27"/>
      <c r="N487" s="27"/>
    </row>
    <row r="488" spans="6:14" ht="14.25" customHeight="1">
      <c r="F488" s="26"/>
      <c r="G488" s="21"/>
      <c r="L488" s="27"/>
      <c r="M488" s="27"/>
      <c r="N488" s="27"/>
    </row>
    <row r="489" spans="6:14" ht="14.25" customHeight="1">
      <c r="F489" s="26"/>
      <c r="G489" s="21"/>
      <c r="L489" s="27"/>
      <c r="M489" s="27"/>
      <c r="N489" s="27"/>
    </row>
    <row r="490" spans="6:14" ht="14.25" customHeight="1">
      <c r="F490" s="26"/>
      <c r="G490" s="21"/>
      <c r="L490" s="27"/>
      <c r="M490" s="27"/>
      <c r="N490" s="27"/>
    </row>
    <row r="491" spans="6:14" ht="14.25" customHeight="1">
      <c r="F491" s="26"/>
      <c r="G491" s="21"/>
      <c r="L491" s="27"/>
      <c r="M491" s="27"/>
      <c r="N491" s="27"/>
    </row>
    <row r="492" spans="6:14" ht="14.25" customHeight="1">
      <c r="F492" s="26"/>
      <c r="G492" s="21"/>
      <c r="L492" s="27"/>
      <c r="M492" s="27"/>
      <c r="N492" s="27"/>
    </row>
    <row r="493" spans="6:14" ht="14.25" customHeight="1">
      <c r="F493" s="26"/>
      <c r="G493" s="21"/>
      <c r="L493" s="27"/>
      <c r="M493" s="27"/>
      <c r="N493" s="27"/>
    </row>
    <row r="494" spans="6:14" ht="14.25" customHeight="1">
      <c r="F494" s="26"/>
      <c r="G494" s="21"/>
      <c r="L494" s="27"/>
      <c r="M494" s="27"/>
      <c r="N494" s="27"/>
    </row>
    <row r="495" spans="6:14" ht="14.25" customHeight="1">
      <c r="F495" s="26"/>
      <c r="G495" s="21"/>
      <c r="L495" s="27"/>
      <c r="M495" s="27"/>
      <c r="N495" s="27"/>
    </row>
    <row r="496" spans="6:14" ht="14.25" customHeight="1">
      <c r="F496" s="26"/>
      <c r="G496" s="21"/>
      <c r="L496" s="27"/>
      <c r="M496" s="27"/>
      <c r="N496" s="27"/>
    </row>
    <row r="497" spans="6:14" ht="14.25" customHeight="1">
      <c r="F497" s="26"/>
      <c r="G497" s="21"/>
      <c r="L497" s="27"/>
      <c r="M497" s="27"/>
      <c r="N497" s="27"/>
    </row>
    <row r="498" spans="6:14" ht="14.25" customHeight="1">
      <c r="F498" s="26"/>
      <c r="G498" s="21"/>
      <c r="L498" s="27"/>
      <c r="M498" s="27"/>
      <c r="N498" s="27"/>
    </row>
    <row r="499" spans="6:14" ht="14.25" customHeight="1">
      <c r="F499" s="26"/>
      <c r="G499" s="21"/>
      <c r="L499" s="27"/>
      <c r="M499" s="27"/>
      <c r="N499" s="27"/>
    </row>
    <row r="500" spans="6:14" ht="14.25" customHeight="1">
      <c r="F500" s="26"/>
      <c r="G500" s="21"/>
      <c r="L500" s="27"/>
      <c r="M500" s="27"/>
      <c r="N500" s="27"/>
    </row>
    <row r="501" spans="6:14" ht="14.25" customHeight="1">
      <c r="F501" s="26"/>
      <c r="G501" s="21"/>
      <c r="L501" s="27"/>
      <c r="M501" s="27"/>
      <c r="N501" s="27"/>
    </row>
    <row r="502" spans="6:14" ht="14.25" customHeight="1">
      <c r="F502" s="26"/>
      <c r="G502" s="21"/>
      <c r="L502" s="27"/>
      <c r="M502" s="27"/>
      <c r="N502" s="27"/>
    </row>
    <row r="503" spans="6:14" ht="14.25" customHeight="1">
      <c r="F503" s="26"/>
      <c r="G503" s="21"/>
      <c r="L503" s="27"/>
      <c r="M503" s="27"/>
      <c r="N503" s="27"/>
    </row>
    <row r="504" spans="6:14" ht="14.25" customHeight="1">
      <c r="F504" s="26"/>
      <c r="G504" s="21"/>
      <c r="L504" s="27"/>
      <c r="M504" s="27"/>
      <c r="N504" s="27"/>
    </row>
    <row r="505" spans="6:14" ht="14.25" customHeight="1">
      <c r="F505" s="26"/>
      <c r="G505" s="21"/>
      <c r="L505" s="27"/>
      <c r="M505" s="27"/>
      <c r="N505" s="27"/>
    </row>
    <row r="506" spans="6:14" ht="14.25" customHeight="1">
      <c r="F506" s="26"/>
      <c r="G506" s="21"/>
      <c r="L506" s="27"/>
      <c r="M506" s="27"/>
      <c r="N506" s="27"/>
    </row>
    <row r="507" spans="6:14" ht="14.25" customHeight="1">
      <c r="F507" s="26"/>
      <c r="G507" s="21"/>
      <c r="L507" s="27"/>
      <c r="M507" s="27"/>
      <c r="N507" s="27"/>
    </row>
    <row r="508" spans="6:14" ht="14.25" customHeight="1">
      <c r="F508" s="26"/>
      <c r="G508" s="21"/>
      <c r="L508" s="27"/>
      <c r="M508" s="27"/>
      <c r="N508" s="27"/>
    </row>
    <row r="509" spans="6:14" ht="14.25" customHeight="1">
      <c r="F509" s="26"/>
      <c r="G509" s="21"/>
      <c r="L509" s="27"/>
      <c r="M509" s="27"/>
      <c r="N509" s="27"/>
    </row>
    <row r="510" spans="6:14" ht="14.25" customHeight="1">
      <c r="F510" s="26"/>
      <c r="G510" s="21"/>
      <c r="L510" s="27"/>
      <c r="M510" s="27"/>
      <c r="N510" s="27"/>
    </row>
    <row r="511" spans="6:14" ht="14.25" customHeight="1">
      <c r="F511" s="26"/>
      <c r="G511" s="21"/>
      <c r="L511" s="27"/>
      <c r="M511" s="27"/>
      <c r="N511" s="27"/>
    </row>
    <row r="512" spans="6:14" ht="14.25" customHeight="1">
      <c r="F512" s="26"/>
      <c r="G512" s="21"/>
      <c r="L512" s="27"/>
      <c r="M512" s="27"/>
      <c r="N512" s="27"/>
    </row>
    <row r="513" spans="6:14" ht="14.25" customHeight="1">
      <c r="F513" s="26"/>
      <c r="G513" s="21"/>
      <c r="L513" s="27"/>
      <c r="M513" s="27"/>
      <c r="N513" s="27"/>
    </row>
    <row r="514" spans="6:14" ht="14.25" customHeight="1">
      <c r="F514" s="26"/>
      <c r="G514" s="21"/>
      <c r="L514" s="27"/>
      <c r="M514" s="27"/>
      <c r="N514" s="27"/>
    </row>
    <row r="515" spans="6:14" ht="14.25" customHeight="1">
      <c r="F515" s="26"/>
      <c r="G515" s="21"/>
      <c r="L515" s="27"/>
      <c r="M515" s="27"/>
      <c r="N515" s="27"/>
    </row>
    <row r="516" spans="6:14" ht="14.25" customHeight="1">
      <c r="F516" s="26"/>
      <c r="G516" s="21"/>
      <c r="L516" s="27"/>
      <c r="M516" s="27"/>
      <c r="N516" s="27"/>
    </row>
    <row r="517" spans="6:14" ht="14.25" customHeight="1">
      <c r="F517" s="26"/>
      <c r="G517" s="21"/>
      <c r="L517" s="27"/>
      <c r="M517" s="27"/>
      <c r="N517" s="27"/>
    </row>
    <row r="518" spans="6:14" ht="14.25" customHeight="1">
      <c r="F518" s="26"/>
      <c r="G518" s="21"/>
      <c r="L518" s="27"/>
      <c r="M518" s="27"/>
      <c r="N518" s="27"/>
    </row>
    <row r="519" spans="6:14" ht="14.25" customHeight="1">
      <c r="F519" s="26"/>
      <c r="G519" s="21"/>
      <c r="L519" s="27"/>
      <c r="M519" s="27"/>
      <c r="N519" s="27"/>
    </row>
    <row r="520" spans="6:14" ht="14.25" customHeight="1">
      <c r="F520" s="26"/>
      <c r="G520" s="21"/>
      <c r="L520" s="27"/>
      <c r="M520" s="27"/>
      <c r="N520" s="27"/>
    </row>
    <row r="521" spans="6:14" ht="14.25" customHeight="1">
      <c r="F521" s="26"/>
      <c r="G521" s="21"/>
      <c r="L521" s="27"/>
      <c r="M521" s="27"/>
      <c r="N521" s="27"/>
    </row>
    <row r="522" spans="6:14" ht="14.25" customHeight="1">
      <c r="F522" s="26"/>
      <c r="G522" s="21"/>
      <c r="L522" s="27"/>
      <c r="M522" s="27"/>
      <c r="N522" s="27"/>
    </row>
    <row r="523" spans="6:14" ht="14.25" customHeight="1">
      <c r="F523" s="26"/>
      <c r="G523" s="21"/>
      <c r="L523" s="27"/>
      <c r="M523" s="27"/>
      <c r="N523" s="27"/>
    </row>
    <row r="524" spans="6:14" ht="14.25" customHeight="1">
      <c r="F524" s="26"/>
      <c r="G524" s="21"/>
      <c r="L524" s="27"/>
      <c r="M524" s="27"/>
      <c r="N524" s="27"/>
    </row>
    <row r="525" spans="6:14" ht="14.25" customHeight="1">
      <c r="F525" s="26"/>
      <c r="G525" s="21"/>
      <c r="L525" s="27"/>
      <c r="M525" s="27"/>
      <c r="N525" s="27"/>
    </row>
    <row r="526" spans="6:14" ht="14.25" customHeight="1">
      <c r="F526" s="26"/>
      <c r="G526" s="21"/>
      <c r="L526" s="27"/>
      <c r="M526" s="27"/>
      <c r="N526" s="27"/>
    </row>
    <row r="527" spans="6:14" ht="14.25" customHeight="1">
      <c r="F527" s="26"/>
      <c r="G527" s="21"/>
      <c r="L527" s="27"/>
      <c r="M527" s="27"/>
      <c r="N527" s="27"/>
    </row>
    <row r="528" spans="6:14" ht="14.25" customHeight="1">
      <c r="F528" s="26"/>
      <c r="G528" s="21"/>
      <c r="L528" s="27"/>
      <c r="M528" s="27"/>
      <c r="N528" s="27"/>
    </row>
    <row r="529" spans="6:14" ht="14.25" customHeight="1">
      <c r="F529" s="26"/>
      <c r="G529" s="21"/>
      <c r="L529" s="27"/>
      <c r="M529" s="27"/>
      <c r="N529" s="27"/>
    </row>
    <row r="530" spans="6:14" ht="14.25" customHeight="1">
      <c r="F530" s="26"/>
      <c r="G530" s="21"/>
      <c r="L530" s="27"/>
      <c r="M530" s="27"/>
      <c r="N530" s="27"/>
    </row>
    <row r="531" spans="6:14" ht="14.25" customHeight="1">
      <c r="F531" s="26"/>
      <c r="G531" s="21"/>
      <c r="L531" s="27"/>
      <c r="M531" s="27"/>
      <c r="N531" s="27"/>
    </row>
    <row r="532" spans="6:14" ht="14.25" customHeight="1">
      <c r="F532" s="26"/>
      <c r="G532" s="21"/>
      <c r="L532" s="27"/>
      <c r="M532" s="27"/>
      <c r="N532" s="27"/>
    </row>
    <row r="533" spans="6:14" ht="14.25" customHeight="1">
      <c r="F533" s="26"/>
      <c r="G533" s="21"/>
      <c r="L533" s="27"/>
      <c r="M533" s="27"/>
      <c r="N533" s="27"/>
    </row>
    <row r="534" spans="6:14" ht="14.25" customHeight="1">
      <c r="F534" s="26"/>
      <c r="G534" s="21"/>
      <c r="L534" s="27"/>
      <c r="M534" s="27"/>
      <c r="N534" s="27"/>
    </row>
    <row r="535" spans="6:14" ht="14.25" customHeight="1">
      <c r="F535" s="26"/>
      <c r="G535" s="21"/>
      <c r="L535" s="27"/>
      <c r="M535" s="27"/>
      <c r="N535" s="27"/>
    </row>
    <row r="536" spans="6:14" ht="14.25" customHeight="1">
      <c r="F536" s="26"/>
      <c r="G536" s="21"/>
      <c r="L536" s="27"/>
      <c r="M536" s="27"/>
      <c r="N536" s="27"/>
    </row>
    <row r="537" spans="6:14" ht="14.25" customHeight="1">
      <c r="F537" s="26"/>
      <c r="G537" s="21"/>
      <c r="L537" s="27"/>
      <c r="M537" s="27"/>
      <c r="N537" s="27"/>
    </row>
    <row r="538" spans="6:14" ht="14.25" customHeight="1">
      <c r="F538" s="26"/>
      <c r="G538" s="21"/>
      <c r="L538" s="27"/>
      <c r="M538" s="27"/>
      <c r="N538" s="27"/>
    </row>
    <row r="539" spans="6:14" ht="14.25" customHeight="1">
      <c r="F539" s="26"/>
      <c r="G539" s="21"/>
      <c r="L539" s="27"/>
      <c r="M539" s="27"/>
      <c r="N539" s="27"/>
    </row>
    <row r="540" spans="6:14" ht="14.25" customHeight="1">
      <c r="F540" s="26"/>
      <c r="G540" s="21"/>
      <c r="L540" s="27"/>
      <c r="M540" s="27"/>
      <c r="N540" s="27"/>
    </row>
    <row r="541" spans="6:14" ht="14.25" customHeight="1">
      <c r="F541" s="26"/>
      <c r="G541" s="21"/>
      <c r="L541" s="27"/>
      <c r="M541" s="27"/>
      <c r="N541" s="27"/>
    </row>
    <row r="542" spans="6:14" ht="14.25" customHeight="1">
      <c r="F542" s="26"/>
      <c r="G542" s="21"/>
      <c r="L542" s="27"/>
      <c r="M542" s="27"/>
      <c r="N542" s="27"/>
    </row>
    <row r="543" spans="6:14" ht="14.25" customHeight="1">
      <c r="F543" s="26"/>
      <c r="G543" s="21"/>
      <c r="L543" s="27"/>
      <c r="M543" s="27"/>
      <c r="N543" s="27"/>
    </row>
    <row r="544" spans="6:14" ht="14.25" customHeight="1">
      <c r="F544" s="26"/>
      <c r="G544" s="21"/>
      <c r="L544" s="27"/>
      <c r="M544" s="27"/>
      <c r="N544" s="27"/>
    </row>
    <row r="545" spans="6:14" ht="14.25" customHeight="1">
      <c r="F545" s="26"/>
      <c r="G545" s="21"/>
      <c r="L545" s="27"/>
      <c r="M545" s="27"/>
      <c r="N545" s="27"/>
    </row>
    <row r="546" spans="6:14" ht="14.25" customHeight="1">
      <c r="F546" s="26"/>
      <c r="G546" s="21"/>
      <c r="L546" s="27"/>
      <c r="M546" s="27"/>
      <c r="N546" s="27"/>
    </row>
    <row r="547" spans="6:14" ht="14.25" customHeight="1">
      <c r="F547" s="26"/>
      <c r="G547" s="21"/>
      <c r="L547" s="27"/>
      <c r="M547" s="27"/>
      <c r="N547" s="27"/>
    </row>
    <row r="548" spans="6:14" ht="14.25" customHeight="1">
      <c r="F548" s="26"/>
      <c r="G548" s="21"/>
      <c r="L548" s="27"/>
      <c r="M548" s="27"/>
      <c r="N548" s="27"/>
    </row>
    <row r="549" spans="6:14" ht="14.25" customHeight="1">
      <c r="F549" s="26"/>
      <c r="G549" s="21"/>
      <c r="L549" s="27"/>
      <c r="M549" s="27"/>
      <c r="N549" s="27"/>
    </row>
    <row r="550" spans="6:14" ht="14.25" customHeight="1">
      <c r="F550" s="26"/>
      <c r="G550" s="21"/>
      <c r="L550" s="27"/>
      <c r="M550" s="27"/>
      <c r="N550" s="27"/>
    </row>
    <row r="551" spans="6:14" ht="14.25" customHeight="1">
      <c r="F551" s="26"/>
      <c r="G551" s="21"/>
      <c r="L551" s="27"/>
      <c r="M551" s="27"/>
      <c r="N551" s="27"/>
    </row>
    <row r="552" spans="6:14" ht="14.25" customHeight="1">
      <c r="F552" s="26"/>
      <c r="G552" s="21"/>
      <c r="L552" s="27"/>
      <c r="M552" s="27"/>
      <c r="N552" s="27"/>
    </row>
    <row r="553" spans="6:14" ht="14.25" customHeight="1">
      <c r="F553" s="26"/>
      <c r="G553" s="21"/>
      <c r="L553" s="27"/>
      <c r="M553" s="27"/>
      <c r="N553" s="27"/>
    </row>
    <row r="554" spans="6:14" ht="14.25" customHeight="1">
      <c r="F554" s="26"/>
      <c r="G554" s="21"/>
      <c r="L554" s="27"/>
      <c r="M554" s="27"/>
      <c r="N554" s="27"/>
    </row>
    <row r="555" spans="6:14" ht="14.25" customHeight="1">
      <c r="F555" s="26"/>
      <c r="G555" s="21"/>
      <c r="L555" s="27"/>
      <c r="M555" s="27"/>
      <c r="N555" s="27"/>
    </row>
    <row r="556" spans="6:14" ht="14.25" customHeight="1">
      <c r="F556" s="26"/>
      <c r="G556" s="21"/>
      <c r="L556" s="27"/>
      <c r="M556" s="27"/>
      <c r="N556" s="27"/>
    </row>
    <row r="557" spans="6:14" ht="14.25" customHeight="1">
      <c r="F557" s="26"/>
      <c r="G557" s="21"/>
      <c r="L557" s="27"/>
      <c r="M557" s="27"/>
      <c r="N557" s="27"/>
    </row>
    <row r="558" spans="6:14" ht="14.25" customHeight="1">
      <c r="F558" s="26"/>
      <c r="G558" s="21"/>
      <c r="L558" s="27"/>
      <c r="M558" s="27"/>
      <c r="N558" s="27"/>
    </row>
    <row r="559" spans="6:14" ht="14.25" customHeight="1">
      <c r="F559" s="26"/>
      <c r="G559" s="21"/>
      <c r="L559" s="27"/>
      <c r="M559" s="27"/>
      <c r="N559" s="27"/>
    </row>
    <row r="560" spans="6:14" ht="14.25" customHeight="1">
      <c r="F560" s="26"/>
      <c r="G560" s="21"/>
      <c r="L560" s="27"/>
      <c r="M560" s="27"/>
      <c r="N560" s="27"/>
    </row>
    <row r="561" spans="6:14" ht="14.25" customHeight="1">
      <c r="F561" s="26"/>
      <c r="G561" s="21"/>
      <c r="L561" s="27"/>
      <c r="M561" s="27"/>
      <c r="N561" s="27"/>
    </row>
    <row r="562" spans="6:14" ht="14.25" customHeight="1">
      <c r="F562" s="26"/>
      <c r="G562" s="21"/>
      <c r="L562" s="27"/>
      <c r="M562" s="27"/>
      <c r="N562" s="27"/>
    </row>
    <row r="563" spans="6:14" ht="14.25" customHeight="1">
      <c r="F563" s="26"/>
      <c r="G563" s="21"/>
      <c r="L563" s="27"/>
      <c r="M563" s="27"/>
      <c r="N563" s="27"/>
    </row>
    <row r="564" spans="6:14" ht="14.25" customHeight="1">
      <c r="F564" s="26"/>
      <c r="G564" s="21"/>
      <c r="L564" s="27"/>
      <c r="M564" s="27"/>
      <c r="N564" s="27"/>
    </row>
    <row r="565" spans="6:14" ht="14.25" customHeight="1">
      <c r="F565" s="26"/>
      <c r="G565" s="21"/>
      <c r="L565" s="27"/>
      <c r="M565" s="27"/>
      <c r="N565" s="27"/>
    </row>
    <row r="566" spans="6:14" ht="14.25" customHeight="1">
      <c r="F566" s="26"/>
      <c r="G566" s="21"/>
      <c r="L566" s="27"/>
      <c r="M566" s="27"/>
      <c r="N566" s="27"/>
    </row>
    <row r="567" spans="6:14" ht="14.25" customHeight="1">
      <c r="F567" s="26"/>
      <c r="G567" s="21"/>
      <c r="L567" s="27"/>
      <c r="M567" s="27"/>
      <c r="N567" s="27"/>
    </row>
    <row r="568" spans="6:14" ht="14.25" customHeight="1">
      <c r="F568" s="26"/>
      <c r="G568" s="21"/>
      <c r="L568" s="27"/>
      <c r="M568" s="27"/>
      <c r="N568" s="27"/>
    </row>
    <row r="569" spans="6:14" ht="14.25" customHeight="1">
      <c r="F569" s="26"/>
      <c r="G569" s="21"/>
      <c r="L569" s="27"/>
      <c r="M569" s="27"/>
      <c r="N569" s="27"/>
    </row>
    <row r="570" spans="6:14" ht="14.25" customHeight="1">
      <c r="F570" s="26"/>
      <c r="G570" s="21"/>
      <c r="L570" s="27"/>
      <c r="M570" s="27"/>
      <c r="N570" s="27"/>
    </row>
    <row r="571" spans="6:14" ht="14.25" customHeight="1">
      <c r="F571" s="26"/>
      <c r="G571" s="21"/>
      <c r="L571" s="27"/>
      <c r="M571" s="27"/>
      <c r="N571" s="27"/>
    </row>
    <row r="572" spans="6:14" ht="14.25" customHeight="1">
      <c r="F572" s="26"/>
      <c r="G572" s="21"/>
      <c r="L572" s="27"/>
      <c r="M572" s="27"/>
      <c r="N572" s="27"/>
    </row>
    <row r="573" spans="6:14" ht="14.25" customHeight="1">
      <c r="F573" s="26"/>
      <c r="G573" s="21"/>
      <c r="L573" s="27"/>
      <c r="M573" s="27"/>
      <c r="N573" s="27"/>
    </row>
    <row r="574" spans="6:14" ht="14.25" customHeight="1">
      <c r="F574" s="26"/>
      <c r="G574" s="21"/>
      <c r="L574" s="27"/>
      <c r="M574" s="27"/>
      <c r="N574" s="27"/>
    </row>
    <row r="575" spans="6:14" ht="14.25" customHeight="1">
      <c r="F575" s="26"/>
      <c r="G575" s="21"/>
      <c r="L575" s="27"/>
      <c r="M575" s="27"/>
      <c r="N575" s="27"/>
    </row>
    <row r="576" spans="6:14" ht="14.25" customHeight="1">
      <c r="F576" s="26"/>
      <c r="G576" s="21"/>
      <c r="L576" s="27"/>
      <c r="M576" s="27"/>
      <c r="N576" s="27"/>
    </row>
    <row r="577" spans="6:14" ht="14.25" customHeight="1">
      <c r="F577" s="26"/>
      <c r="G577" s="21"/>
      <c r="L577" s="27"/>
      <c r="M577" s="27"/>
      <c r="N577" s="27"/>
    </row>
    <row r="578" spans="6:14" ht="14.25" customHeight="1">
      <c r="F578" s="26"/>
      <c r="G578" s="21"/>
      <c r="L578" s="27"/>
      <c r="M578" s="27"/>
      <c r="N578" s="27"/>
    </row>
    <row r="579" spans="6:14" ht="14.25" customHeight="1">
      <c r="F579" s="26"/>
      <c r="G579" s="21"/>
      <c r="L579" s="27"/>
      <c r="M579" s="27"/>
      <c r="N579" s="27"/>
    </row>
    <row r="580" spans="6:14" ht="14.25" customHeight="1">
      <c r="F580" s="26"/>
      <c r="G580" s="21"/>
      <c r="L580" s="27"/>
      <c r="M580" s="27"/>
      <c r="N580" s="27"/>
    </row>
    <row r="581" spans="6:14" ht="14.25" customHeight="1">
      <c r="F581" s="26"/>
      <c r="G581" s="21"/>
      <c r="L581" s="27"/>
      <c r="M581" s="27"/>
      <c r="N581" s="27"/>
    </row>
    <row r="582" spans="6:14" ht="14.25" customHeight="1">
      <c r="F582" s="26"/>
      <c r="G582" s="21"/>
      <c r="L582" s="27"/>
      <c r="M582" s="27"/>
      <c r="N582" s="27"/>
    </row>
    <row r="583" spans="6:14" ht="14.25" customHeight="1">
      <c r="F583" s="26"/>
      <c r="G583" s="21"/>
      <c r="L583" s="27"/>
      <c r="M583" s="27"/>
      <c r="N583" s="27"/>
    </row>
    <row r="584" spans="6:14" ht="14.25" customHeight="1">
      <c r="F584" s="26"/>
      <c r="G584" s="21"/>
      <c r="L584" s="27"/>
      <c r="M584" s="27"/>
      <c r="N584" s="27"/>
    </row>
    <row r="585" spans="6:14" ht="14.25" customHeight="1">
      <c r="F585" s="26"/>
      <c r="G585" s="21"/>
      <c r="L585" s="27"/>
      <c r="M585" s="27"/>
      <c r="N585" s="27"/>
    </row>
    <row r="586" spans="6:14" ht="14.25" customHeight="1">
      <c r="F586" s="26"/>
      <c r="G586" s="21"/>
      <c r="L586" s="27"/>
      <c r="M586" s="27"/>
      <c r="N586" s="27"/>
    </row>
    <row r="587" spans="6:14" ht="14.25" customHeight="1">
      <c r="F587" s="26"/>
      <c r="G587" s="21"/>
      <c r="L587" s="27"/>
      <c r="M587" s="27"/>
      <c r="N587" s="27"/>
    </row>
    <row r="588" spans="6:14" ht="14.25" customHeight="1">
      <c r="F588" s="26"/>
      <c r="G588" s="21"/>
      <c r="L588" s="27"/>
      <c r="M588" s="27"/>
      <c r="N588" s="27"/>
    </row>
    <row r="589" spans="6:14" ht="14.25" customHeight="1">
      <c r="F589" s="26"/>
      <c r="G589" s="21"/>
      <c r="L589" s="27"/>
      <c r="M589" s="27"/>
      <c r="N589" s="27"/>
    </row>
    <row r="590" spans="6:14" ht="14.25" customHeight="1">
      <c r="F590" s="26"/>
      <c r="G590" s="21"/>
      <c r="L590" s="27"/>
      <c r="M590" s="27"/>
      <c r="N590" s="27"/>
    </row>
    <row r="591" spans="6:14" ht="14.25" customHeight="1">
      <c r="F591" s="26"/>
      <c r="G591" s="21"/>
      <c r="L591" s="27"/>
      <c r="M591" s="27"/>
      <c r="N591" s="27"/>
    </row>
    <row r="592" spans="6:14" ht="14.25" customHeight="1">
      <c r="F592" s="26"/>
      <c r="G592" s="21"/>
      <c r="L592" s="27"/>
      <c r="M592" s="27"/>
      <c r="N592" s="27"/>
    </row>
    <row r="593" spans="6:14" ht="14.25" customHeight="1">
      <c r="F593" s="26"/>
      <c r="G593" s="21"/>
      <c r="L593" s="27"/>
      <c r="M593" s="27"/>
      <c r="N593" s="27"/>
    </row>
    <row r="594" spans="6:14" ht="14.25" customHeight="1">
      <c r="F594" s="26"/>
      <c r="G594" s="21"/>
      <c r="L594" s="27"/>
      <c r="M594" s="27"/>
      <c r="N594" s="27"/>
    </row>
    <row r="595" spans="6:14" ht="14.25" customHeight="1">
      <c r="F595" s="26"/>
      <c r="G595" s="21"/>
      <c r="L595" s="27"/>
      <c r="M595" s="27"/>
      <c r="N595" s="27"/>
    </row>
    <row r="596" spans="6:14" ht="14.25" customHeight="1">
      <c r="F596" s="26"/>
      <c r="G596" s="21"/>
      <c r="L596" s="27"/>
      <c r="M596" s="27"/>
      <c r="N596" s="27"/>
    </row>
    <row r="597" spans="6:14" ht="14.25" customHeight="1">
      <c r="F597" s="26"/>
      <c r="G597" s="21"/>
      <c r="L597" s="27"/>
      <c r="M597" s="27"/>
      <c r="N597" s="27"/>
    </row>
    <row r="598" spans="6:14" ht="14.25" customHeight="1">
      <c r="F598" s="26"/>
      <c r="G598" s="21"/>
      <c r="L598" s="27"/>
      <c r="M598" s="27"/>
      <c r="N598" s="27"/>
    </row>
    <row r="599" spans="6:14" ht="14.25" customHeight="1">
      <c r="F599" s="26"/>
      <c r="G599" s="21"/>
      <c r="L599" s="27"/>
      <c r="M599" s="27"/>
      <c r="N599" s="27"/>
    </row>
    <row r="600" spans="6:14" ht="14.25" customHeight="1">
      <c r="F600" s="26"/>
      <c r="G600" s="21"/>
      <c r="L600" s="27"/>
      <c r="M600" s="27"/>
      <c r="N600" s="27"/>
    </row>
    <row r="601" spans="6:14" ht="14.25" customHeight="1">
      <c r="F601" s="26"/>
      <c r="G601" s="21"/>
      <c r="L601" s="27"/>
      <c r="M601" s="27"/>
      <c r="N601" s="27"/>
    </row>
    <row r="602" spans="6:14" ht="14.25" customHeight="1">
      <c r="F602" s="26"/>
      <c r="G602" s="21"/>
      <c r="L602" s="27"/>
      <c r="M602" s="27"/>
      <c r="N602" s="27"/>
    </row>
    <row r="603" spans="6:14" ht="14.25" customHeight="1">
      <c r="F603" s="26"/>
      <c r="G603" s="21"/>
      <c r="L603" s="27"/>
      <c r="M603" s="27"/>
      <c r="N603" s="27"/>
    </row>
    <row r="604" spans="6:14" ht="14.25" customHeight="1">
      <c r="F604" s="26"/>
      <c r="G604" s="21"/>
      <c r="L604" s="27"/>
      <c r="M604" s="27"/>
      <c r="N604" s="27"/>
    </row>
    <row r="605" spans="6:14" ht="14.25" customHeight="1">
      <c r="F605" s="26"/>
      <c r="G605" s="21"/>
      <c r="L605" s="27"/>
      <c r="M605" s="27"/>
      <c r="N605" s="27"/>
    </row>
    <row r="606" spans="6:14" ht="14.25" customHeight="1">
      <c r="F606" s="26"/>
      <c r="G606" s="21"/>
      <c r="L606" s="27"/>
      <c r="M606" s="27"/>
      <c r="N606" s="27"/>
    </row>
    <row r="607" spans="6:14" ht="14.25" customHeight="1">
      <c r="F607" s="26"/>
      <c r="G607" s="21"/>
      <c r="L607" s="27"/>
      <c r="M607" s="27"/>
      <c r="N607" s="27"/>
    </row>
    <row r="608" spans="6:14" ht="14.25" customHeight="1">
      <c r="F608" s="26"/>
      <c r="G608" s="21"/>
      <c r="L608" s="27"/>
      <c r="M608" s="27"/>
      <c r="N608" s="27"/>
    </row>
    <row r="609" spans="6:14" ht="14.25" customHeight="1">
      <c r="F609" s="26"/>
      <c r="G609" s="21"/>
      <c r="L609" s="27"/>
      <c r="M609" s="27"/>
      <c r="N609" s="27"/>
    </row>
    <row r="610" spans="6:14" ht="14.25" customHeight="1">
      <c r="F610" s="26"/>
      <c r="G610" s="21"/>
      <c r="L610" s="27"/>
      <c r="M610" s="27"/>
      <c r="N610" s="27"/>
    </row>
    <row r="611" spans="6:14" ht="14.25" customHeight="1">
      <c r="F611" s="26"/>
      <c r="G611" s="21"/>
      <c r="L611" s="27"/>
      <c r="M611" s="27"/>
      <c r="N611" s="27"/>
    </row>
    <row r="612" spans="6:14" ht="14.25" customHeight="1">
      <c r="F612" s="26"/>
      <c r="G612" s="21"/>
      <c r="L612" s="27"/>
      <c r="M612" s="27"/>
      <c r="N612" s="27"/>
    </row>
    <row r="613" spans="6:14" ht="14.25" customHeight="1">
      <c r="F613" s="26"/>
      <c r="G613" s="21"/>
      <c r="L613" s="27"/>
      <c r="M613" s="27"/>
      <c r="N613" s="27"/>
    </row>
    <row r="614" spans="6:14" ht="14.25" customHeight="1">
      <c r="F614" s="26"/>
      <c r="G614" s="21"/>
      <c r="L614" s="27"/>
      <c r="M614" s="27"/>
      <c r="N614" s="27"/>
    </row>
    <row r="615" spans="6:14" ht="14.25" customHeight="1">
      <c r="F615" s="26"/>
      <c r="G615" s="21"/>
      <c r="L615" s="27"/>
      <c r="M615" s="27"/>
      <c r="N615" s="27"/>
    </row>
    <row r="616" spans="6:14" ht="14.25" customHeight="1">
      <c r="F616" s="26"/>
      <c r="G616" s="21"/>
      <c r="L616" s="27"/>
      <c r="M616" s="27"/>
      <c r="N616" s="27"/>
    </row>
    <row r="617" spans="6:14" ht="14.25" customHeight="1">
      <c r="F617" s="26"/>
      <c r="G617" s="21"/>
      <c r="L617" s="27"/>
      <c r="M617" s="27"/>
      <c r="N617" s="27"/>
    </row>
    <row r="618" spans="6:14" ht="14.25" customHeight="1">
      <c r="F618" s="26"/>
      <c r="G618" s="21"/>
      <c r="L618" s="27"/>
      <c r="M618" s="27"/>
      <c r="N618" s="27"/>
    </row>
    <row r="619" spans="6:14" ht="14.25" customHeight="1">
      <c r="F619" s="26"/>
      <c r="G619" s="21"/>
      <c r="L619" s="27"/>
      <c r="M619" s="27"/>
      <c r="N619" s="27"/>
    </row>
    <row r="620" spans="6:14" ht="14.25" customHeight="1">
      <c r="F620" s="26"/>
      <c r="G620" s="21"/>
      <c r="L620" s="27"/>
      <c r="M620" s="27"/>
      <c r="N620" s="27"/>
    </row>
    <row r="621" spans="6:14" ht="14.25" customHeight="1">
      <c r="F621" s="26"/>
      <c r="G621" s="21"/>
      <c r="L621" s="27"/>
      <c r="M621" s="27"/>
      <c r="N621" s="27"/>
    </row>
    <row r="622" spans="6:14" ht="14.25" customHeight="1">
      <c r="F622" s="26"/>
      <c r="G622" s="21"/>
      <c r="L622" s="27"/>
      <c r="M622" s="27"/>
      <c r="N622" s="27"/>
    </row>
    <row r="623" spans="6:14" ht="14.25" customHeight="1">
      <c r="F623" s="26"/>
      <c r="G623" s="21"/>
      <c r="L623" s="27"/>
      <c r="M623" s="27"/>
      <c r="N623" s="27"/>
    </row>
    <row r="624" spans="6:14" ht="14.25" customHeight="1">
      <c r="F624" s="26"/>
      <c r="G624" s="21"/>
      <c r="L624" s="27"/>
      <c r="M624" s="27"/>
      <c r="N624" s="27"/>
    </row>
    <row r="625" spans="6:14" ht="14.25" customHeight="1">
      <c r="F625" s="26"/>
      <c r="G625" s="21"/>
      <c r="L625" s="27"/>
      <c r="M625" s="27"/>
      <c r="N625" s="27"/>
    </row>
    <row r="626" spans="6:14" ht="14.25" customHeight="1">
      <c r="F626" s="26"/>
      <c r="G626" s="21"/>
      <c r="L626" s="27"/>
      <c r="M626" s="27"/>
      <c r="N626" s="27"/>
    </row>
    <row r="627" spans="6:14" ht="14.25" customHeight="1">
      <c r="F627" s="26"/>
      <c r="G627" s="21"/>
      <c r="L627" s="27"/>
      <c r="M627" s="27"/>
      <c r="N627" s="27"/>
    </row>
    <row r="628" spans="6:14" ht="14.25" customHeight="1">
      <c r="F628" s="26"/>
      <c r="G628" s="21"/>
      <c r="L628" s="27"/>
      <c r="M628" s="27"/>
      <c r="N628" s="27"/>
    </row>
    <row r="629" spans="6:14" ht="14.25" customHeight="1">
      <c r="F629" s="26"/>
      <c r="G629" s="21"/>
      <c r="L629" s="27"/>
      <c r="M629" s="27"/>
      <c r="N629" s="27"/>
    </row>
    <row r="630" spans="6:14" ht="14.25" customHeight="1">
      <c r="F630" s="26"/>
      <c r="G630" s="21"/>
      <c r="L630" s="27"/>
      <c r="M630" s="27"/>
      <c r="N630" s="27"/>
    </row>
    <row r="631" spans="6:14" ht="14.25" customHeight="1">
      <c r="F631" s="26"/>
      <c r="G631" s="21"/>
      <c r="L631" s="27"/>
      <c r="M631" s="27"/>
      <c r="N631" s="27"/>
    </row>
    <row r="632" spans="6:14" ht="14.25" customHeight="1">
      <c r="F632" s="26"/>
      <c r="G632" s="21"/>
      <c r="L632" s="27"/>
      <c r="M632" s="27"/>
      <c r="N632" s="27"/>
    </row>
    <row r="633" spans="6:14" ht="14.25" customHeight="1">
      <c r="F633" s="26"/>
      <c r="G633" s="21"/>
      <c r="L633" s="27"/>
      <c r="M633" s="27"/>
      <c r="N633" s="27"/>
    </row>
    <row r="634" spans="6:14" ht="14.25" customHeight="1">
      <c r="F634" s="26"/>
      <c r="G634" s="21"/>
      <c r="L634" s="27"/>
      <c r="M634" s="27"/>
      <c r="N634" s="27"/>
    </row>
    <row r="635" spans="6:14" ht="14.25" customHeight="1">
      <c r="F635" s="26"/>
      <c r="G635" s="21"/>
      <c r="L635" s="27"/>
      <c r="M635" s="27"/>
      <c r="N635" s="27"/>
    </row>
    <row r="636" spans="6:14" ht="14.25" customHeight="1">
      <c r="F636" s="26"/>
      <c r="G636" s="21"/>
      <c r="L636" s="27"/>
      <c r="M636" s="27"/>
      <c r="N636" s="27"/>
    </row>
    <row r="637" spans="6:14" ht="14.25" customHeight="1">
      <c r="F637" s="26"/>
      <c r="G637" s="21"/>
      <c r="L637" s="27"/>
      <c r="M637" s="27"/>
      <c r="N637" s="27"/>
    </row>
    <row r="638" spans="6:14" ht="14.25" customHeight="1">
      <c r="F638" s="26"/>
      <c r="G638" s="21"/>
      <c r="L638" s="27"/>
      <c r="M638" s="27"/>
      <c r="N638" s="27"/>
    </row>
    <row r="639" spans="6:14" ht="14.25" customHeight="1">
      <c r="F639" s="26"/>
      <c r="G639" s="21"/>
      <c r="L639" s="27"/>
      <c r="M639" s="27"/>
      <c r="N639" s="27"/>
    </row>
    <row r="640" spans="6:14" ht="14.25" customHeight="1">
      <c r="F640" s="26"/>
      <c r="G640" s="21"/>
      <c r="L640" s="27"/>
      <c r="M640" s="27"/>
      <c r="N640" s="27"/>
    </row>
    <row r="641" spans="6:14" ht="14.25" customHeight="1">
      <c r="F641" s="26"/>
      <c r="G641" s="21"/>
      <c r="L641" s="27"/>
      <c r="M641" s="27"/>
      <c r="N641" s="27"/>
    </row>
    <row r="642" spans="6:14" ht="14.25" customHeight="1">
      <c r="F642" s="26"/>
      <c r="G642" s="21"/>
      <c r="L642" s="27"/>
      <c r="M642" s="27"/>
      <c r="N642" s="27"/>
    </row>
    <row r="643" spans="6:14" ht="14.25" customHeight="1">
      <c r="F643" s="26"/>
      <c r="G643" s="21"/>
      <c r="L643" s="27"/>
      <c r="M643" s="27"/>
      <c r="N643" s="27"/>
    </row>
    <row r="644" spans="6:14" ht="14.25" customHeight="1">
      <c r="F644" s="26"/>
      <c r="G644" s="21"/>
      <c r="L644" s="27"/>
      <c r="M644" s="27"/>
      <c r="N644" s="27"/>
    </row>
    <row r="645" spans="6:14" ht="14.25" customHeight="1">
      <c r="F645" s="26"/>
      <c r="G645" s="21"/>
      <c r="L645" s="27"/>
      <c r="M645" s="27"/>
      <c r="N645" s="27"/>
    </row>
    <row r="646" spans="6:14" ht="14.25" customHeight="1">
      <c r="F646" s="26"/>
      <c r="G646" s="21"/>
      <c r="L646" s="27"/>
      <c r="M646" s="27"/>
      <c r="N646" s="27"/>
    </row>
    <row r="647" spans="6:14" ht="14.25" customHeight="1">
      <c r="F647" s="26"/>
      <c r="G647" s="21"/>
      <c r="L647" s="27"/>
      <c r="M647" s="27"/>
      <c r="N647" s="27"/>
    </row>
    <row r="648" spans="6:14" ht="14.25" customHeight="1">
      <c r="F648" s="26"/>
      <c r="G648" s="21"/>
      <c r="L648" s="27"/>
      <c r="M648" s="27"/>
      <c r="N648" s="27"/>
    </row>
    <row r="649" spans="6:14" ht="14.25" customHeight="1">
      <c r="F649" s="26"/>
      <c r="G649" s="21"/>
      <c r="L649" s="27"/>
      <c r="M649" s="27"/>
      <c r="N649" s="27"/>
    </row>
    <row r="650" spans="6:14" ht="14.25" customHeight="1">
      <c r="F650" s="26"/>
      <c r="G650" s="21"/>
      <c r="L650" s="27"/>
      <c r="M650" s="27"/>
      <c r="N650" s="27"/>
    </row>
    <row r="651" spans="6:14" ht="14.25" customHeight="1">
      <c r="F651" s="26"/>
      <c r="G651" s="21"/>
      <c r="L651" s="27"/>
      <c r="M651" s="27"/>
      <c r="N651" s="27"/>
    </row>
    <row r="652" spans="6:14" ht="14.25" customHeight="1">
      <c r="F652" s="26"/>
      <c r="G652" s="21"/>
      <c r="L652" s="27"/>
      <c r="M652" s="27"/>
      <c r="N652" s="27"/>
    </row>
    <row r="653" spans="6:14" ht="14.25" customHeight="1">
      <c r="F653" s="26"/>
      <c r="G653" s="21"/>
      <c r="L653" s="27"/>
      <c r="M653" s="27"/>
      <c r="N653" s="27"/>
    </row>
    <row r="654" spans="6:14" ht="14.25" customHeight="1">
      <c r="F654" s="26"/>
      <c r="G654" s="21"/>
      <c r="L654" s="27"/>
      <c r="M654" s="27"/>
      <c r="N654" s="27"/>
    </row>
    <row r="655" spans="6:14" ht="14.25" customHeight="1">
      <c r="F655" s="26"/>
      <c r="G655" s="21"/>
      <c r="L655" s="27"/>
      <c r="M655" s="27"/>
      <c r="N655" s="27"/>
    </row>
    <row r="656" spans="6:14" ht="14.25" customHeight="1">
      <c r="F656" s="26"/>
      <c r="G656" s="21"/>
      <c r="L656" s="27"/>
      <c r="M656" s="27"/>
      <c r="N656" s="27"/>
    </row>
    <row r="657" spans="6:14" ht="14.25" customHeight="1">
      <c r="F657" s="26"/>
      <c r="G657" s="21"/>
      <c r="L657" s="27"/>
      <c r="M657" s="27"/>
      <c r="N657" s="27"/>
    </row>
    <row r="658" spans="6:14" ht="14.25" customHeight="1">
      <c r="F658" s="26"/>
      <c r="G658" s="21"/>
      <c r="L658" s="27"/>
      <c r="M658" s="27"/>
      <c r="N658" s="27"/>
    </row>
    <row r="659" spans="6:14" ht="14.25" customHeight="1">
      <c r="F659" s="26"/>
      <c r="G659" s="21"/>
      <c r="L659" s="27"/>
      <c r="M659" s="27"/>
      <c r="N659" s="27"/>
    </row>
    <row r="660" spans="6:14" ht="14.25" customHeight="1">
      <c r="F660" s="26"/>
      <c r="G660" s="21"/>
      <c r="L660" s="27"/>
      <c r="M660" s="27"/>
      <c r="N660" s="27"/>
    </row>
    <row r="661" spans="6:14" ht="14.25" customHeight="1">
      <c r="F661" s="26"/>
      <c r="G661" s="21"/>
      <c r="L661" s="27"/>
      <c r="M661" s="27"/>
      <c r="N661" s="27"/>
    </row>
    <row r="662" spans="6:14" ht="14.25" customHeight="1">
      <c r="F662" s="26"/>
      <c r="G662" s="21"/>
      <c r="L662" s="27"/>
      <c r="M662" s="27"/>
      <c r="N662" s="27"/>
    </row>
    <row r="663" spans="6:14" ht="14.25" customHeight="1">
      <c r="F663" s="26"/>
      <c r="G663" s="21"/>
      <c r="L663" s="27"/>
      <c r="M663" s="27"/>
      <c r="N663" s="27"/>
    </row>
    <row r="664" spans="6:14" ht="14.25" customHeight="1">
      <c r="F664" s="26"/>
      <c r="G664" s="21"/>
      <c r="L664" s="27"/>
      <c r="M664" s="27"/>
      <c r="N664" s="27"/>
    </row>
    <row r="665" spans="6:14" ht="14.25" customHeight="1">
      <c r="F665" s="26"/>
      <c r="G665" s="21"/>
      <c r="L665" s="27"/>
      <c r="M665" s="27"/>
      <c r="N665" s="27"/>
    </row>
    <row r="666" spans="6:14" ht="14.25" customHeight="1">
      <c r="F666" s="26"/>
      <c r="G666" s="21"/>
      <c r="L666" s="27"/>
      <c r="M666" s="27"/>
      <c r="N666" s="27"/>
    </row>
    <row r="667" spans="6:14" ht="14.25" customHeight="1">
      <c r="F667" s="26"/>
      <c r="G667" s="21"/>
      <c r="L667" s="27"/>
      <c r="M667" s="27"/>
      <c r="N667" s="27"/>
    </row>
    <row r="668" spans="6:14" ht="14.25" customHeight="1">
      <c r="F668" s="26"/>
      <c r="G668" s="21"/>
      <c r="L668" s="27"/>
      <c r="M668" s="27"/>
      <c r="N668" s="27"/>
    </row>
    <row r="669" spans="6:14" ht="14.25" customHeight="1">
      <c r="F669" s="26"/>
      <c r="G669" s="21"/>
      <c r="L669" s="27"/>
      <c r="M669" s="27"/>
      <c r="N669" s="27"/>
    </row>
    <row r="670" spans="6:14" ht="14.25" customHeight="1">
      <c r="F670" s="26"/>
      <c r="G670" s="21"/>
      <c r="L670" s="27"/>
      <c r="M670" s="27"/>
      <c r="N670" s="27"/>
    </row>
    <row r="671" spans="6:14" ht="14.25" customHeight="1">
      <c r="F671" s="26"/>
      <c r="G671" s="21"/>
      <c r="L671" s="27"/>
      <c r="M671" s="27"/>
      <c r="N671" s="27"/>
    </row>
    <row r="672" spans="6:14" ht="14.25" customHeight="1">
      <c r="F672" s="26"/>
      <c r="G672" s="21"/>
      <c r="L672" s="27"/>
      <c r="M672" s="27"/>
      <c r="N672" s="27"/>
    </row>
    <row r="673" spans="6:14" ht="14.25" customHeight="1">
      <c r="F673" s="26"/>
      <c r="G673" s="21"/>
      <c r="L673" s="27"/>
      <c r="M673" s="27"/>
      <c r="N673" s="27"/>
    </row>
    <row r="674" spans="6:14" ht="14.25" customHeight="1">
      <c r="F674" s="26"/>
      <c r="G674" s="21"/>
      <c r="L674" s="27"/>
      <c r="M674" s="27"/>
      <c r="N674" s="27"/>
    </row>
    <row r="675" spans="6:14" ht="14.25" customHeight="1">
      <c r="F675" s="26"/>
      <c r="G675" s="21"/>
      <c r="L675" s="27"/>
      <c r="M675" s="27"/>
      <c r="N675" s="27"/>
    </row>
    <row r="676" spans="6:14" ht="14.25" customHeight="1">
      <c r="F676" s="26"/>
      <c r="G676" s="21"/>
      <c r="L676" s="27"/>
      <c r="M676" s="27"/>
      <c r="N676" s="27"/>
    </row>
    <row r="677" spans="6:14" ht="14.25" customHeight="1">
      <c r="F677" s="26"/>
      <c r="G677" s="21"/>
      <c r="L677" s="27"/>
      <c r="M677" s="27"/>
      <c r="N677" s="27"/>
    </row>
    <row r="678" spans="6:14" ht="14.25" customHeight="1">
      <c r="F678" s="26"/>
      <c r="G678" s="21"/>
      <c r="L678" s="27"/>
      <c r="M678" s="27"/>
      <c r="N678" s="27"/>
    </row>
    <row r="679" spans="6:14" ht="14.25" customHeight="1">
      <c r="F679" s="26"/>
      <c r="G679" s="21"/>
      <c r="L679" s="27"/>
      <c r="M679" s="27"/>
      <c r="N679" s="27"/>
    </row>
    <row r="680" spans="6:14" ht="14.25" customHeight="1">
      <c r="F680" s="26"/>
      <c r="G680" s="21"/>
      <c r="L680" s="27"/>
      <c r="M680" s="27"/>
      <c r="N680" s="27"/>
    </row>
    <row r="681" spans="6:14" ht="14.25" customHeight="1">
      <c r="F681" s="26"/>
      <c r="G681" s="21"/>
      <c r="L681" s="27"/>
      <c r="M681" s="27"/>
      <c r="N681" s="27"/>
    </row>
    <row r="682" spans="6:14" ht="14.25" customHeight="1">
      <c r="F682" s="26"/>
      <c r="G682" s="21"/>
      <c r="L682" s="27"/>
      <c r="M682" s="27"/>
      <c r="N682" s="27"/>
    </row>
    <row r="683" spans="6:14" ht="14.25" customHeight="1">
      <c r="F683" s="26"/>
      <c r="G683" s="21"/>
      <c r="L683" s="27"/>
      <c r="M683" s="27"/>
      <c r="N683" s="27"/>
    </row>
    <row r="684" spans="6:14" ht="14.25" customHeight="1">
      <c r="F684" s="26"/>
      <c r="G684" s="21"/>
      <c r="L684" s="27"/>
      <c r="M684" s="27"/>
      <c r="N684" s="27"/>
    </row>
    <row r="685" spans="6:14" ht="14.25" customHeight="1">
      <c r="F685" s="26"/>
      <c r="G685" s="21"/>
      <c r="L685" s="27"/>
      <c r="M685" s="27"/>
      <c r="N685" s="27"/>
    </row>
    <row r="686" spans="6:14" ht="14.25" customHeight="1">
      <c r="F686" s="26"/>
      <c r="G686" s="21"/>
      <c r="L686" s="27"/>
      <c r="M686" s="27"/>
      <c r="N686" s="27"/>
    </row>
    <row r="687" spans="6:14" ht="14.25" customHeight="1">
      <c r="F687" s="26"/>
      <c r="G687" s="21"/>
      <c r="L687" s="27"/>
      <c r="M687" s="27"/>
      <c r="N687" s="27"/>
    </row>
    <row r="688" spans="6:14" ht="14.25" customHeight="1">
      <c r="F688" s="26"/>
      <c r="G688" s="21"/>
      <c r="L688" s="27"/>
      <c r="M688" s="27"/>
      <c r="N688" s="27"/>
    </row>
    <row r="689" spans="6:14" ht="14.25" customHeight="1">
      <c r="F689" s="26"/>
      <c r="G689" s="21"/>
      <c r="L689" s="27"/>
      <c r="M689" s="27"/>
      <c r="N689" s="27"/>
    </row>
    <row r="690" spans="6:14" ht="14.25" customHeight="1">
      <c r="F690" s="26"/>
      <c r="G690" s="21"/>
      <c r="L690" s="27"/>
      <c r="M690" s="27"/>
      <c r="N690" s="27"/>
    </row>
    <row r="691" spans="6:14" ht="14.25" customHeight="1">
      <c r="F691" s="26"/>
      <c r="G691" s="21"/>
      <c r="L691" s="27"/>
      <c r="M691" s="27"/>
      <c r="N691" s="27"/>
    </row>
    <row r="692" spans="6:14" ht="14.25" customHeight="1">
      <c r="F692" s="26"/>
      <c r="G692" s="21"/>
      <c r="L692" s="27"/>
      <c r="M692" s="27"/>
      <c r="N692" s="27"/>
    </row>
    <row r="693" spans="6:14" ht="14.25" customHeight="1">
      <c r="F693" s="26"/>
      <c r="G693" s="21"/>
      <c r="L693" s="27"/>
      <c r="M693" s="27"/>
      <c r="N693" s="27"/>
    </row>
    <row r="694" spans="6:14" ht="14.25" customHeight="1">
      <c r="F694" s="26"/>
      <c r="G694" s="21"/>
      <c r="L694" s="27"/>
      <c r="M694" s="27"/>
      <c r="N694" s="27"/>
    </row>
    <row r="695" spans="6:14" ht="14.25" customHeight="1">
      <c r="F695" s="26"/>
      <c r="G695" s="21"/>
      <c r="L695" s="27"/>
      <c r="M695" s="27"/>
      <c r="N695" s="27"/>
    </row>
    <row r="696" spans="6:14" ht="14.25" customHeight="1">
      <c r="F696" s="26"/>
      <c r="G696" s="21"/>
      <c r="L696" s="27"/>
      <c r="M696" s="27"/>
      <c r="N696" s="27"/>
    </row>
    <row r="697" spans="6:14" ht="14.25" customHeight="1">
      <c r="F697" s="26"/>
      <c r="G697" s="21"/>
      <c r="L697" s="27"/>
      <c r="M697" s="27"/>
      <c r="N697" s="27"/>
    </row>
    <row r="698" spans="6:14" ht="14.25" customHeight="1">
      <c r="F698" s="26"/>
      <c r="G698" s="21"/>
      <c r="L698" s="27"/>
      <c r="M698" s="27"/>
      <c r="N698" s="27"/>
    </row>
    <row r="699" spans="6:14" ht="14.25" customHeight="1">
      <c r="F699" s="26"/>
      <c r="G699" s="21"/>
      <c r="L699" s="27"/>
      <c r="M699" s="27"/>
      <c r="N699" s="27"/>
    </row>
    <row r="700" spans="6:14" ht="14.25" customHeight="1">
      <c r="F700" s="26"/>
      <c r="G700" s="21"/>
      <c r="L700" s="27"/>
      <c r="M700" s="27"/>
      <c r="N700" s="27"/>
    </row>
    <row r="701" spans="6:14" ht="14.25" customHeight="1">
      <c r="F701" s="26"/>
      <c r="G701" s="21"/>
      <c r="L701" s="27"/>
      <c r="M701" s="27"/>
      <c r="N701" s="27"/>
    </row>
    <row r="702" spans="6:14" ht="14.25" customHeight="1">
      <c r="F702" s="26"/>
      <c r="G702" s="21"/>
      <c r="L702" s="27"/>
      <c r="M702" s="27"/>
      <c r="N702" s="27"/>
    </row>
    <row r="703" spans="6:14" ht="14.25" customHeight="1">
      <c r="F703" s="26"/>
      <c r="G703" s="21"/>
      <c r="L703" s="27"/>
      <c r="M703" s="27"/>
      <c r="N703" s="27"/>
    </row>
    <row r="704" spans="6:14" ht="14.25" customHeight="1">
      <c r="F704" s="26"/>
      <c r="G704" s="21"/>
      <c r="L704" s="27"/>
      <c r="M704" s="27"/>
      <c r="N704" s="27"/>
    </row>
    <row r="705" spans="6:14" ht="14.25" customHeight="1">
      <c r="F705" s="26"/>
      <c r="G705" s="21"/>
      <c r="L705" s="27"/>
      <c r="M705" s="27"/>
      <c r="N705" s="27"/>
    </row>
    <row r="706" spans="6:14" ht="14.25" customHeight="1">
      <c r="F706" s="26"/>
      <c r="G706" s="21"/>
      <c r="L706" s="27"/>
      <c r="M706" s="27"/>
      <c r="N706" s="27"/>
    </row>
    <row r="707" spans="6:14" ht="14.25" customHeight="1">
      <c r="F707" s="26"/>
      <c r="G707" s="21"/>
      <c r="L707" s="27"/>
      <c r="M707" s="27"/>
      <c r="N707" s="27"/>
    </row>
    <row r="708" spans="6:14" ht="14.25" customHeight="1">
      <c r="F708" s="26"/>
      <c r="G708" s="21"/>
      <c r="L708" s="27"/>
      <c r="M708" s="27"/>
      <c r="N708" s="27"/>
    </row>
    <row r="709" spans="6:14" ht="14.25" customHeight="1">
      <c r="F709" s="26"/>
      <c r="G709" s="21"/>
      <c r="L709" s="27"/>
      <c r="M709" s="27"/>
      <c r="N709" s="27"/>
    </row>
    <row r="710" spans="6:14" ht="14.25" customHeight="1">
      <c r="F710" s="26"/>
      <c r="G710" s="21"/>
      <c r="L710" s="27"/>
      <c r="M710" s="27"/>
      <c r="N710" s="27"/>
    </row>
    <row r="711" spans="6:14" ht="14.25" customHeight="1">
      <c r="F711" s="26"/>
      <c r="G711" s="21"/>
      <c r="L711" s="27"/>
      <c r="M711" s="27"/>
      <c r="N711" s="27"/>
    </row>
    <row r="712" spans="6:14" ht="14.25" customHeight="1">
      <c r="F712" s="26"/>
      <c r="G712" s="21"/>
      <c r="L712" s="27"/>
      <c r="M712" s="27"/>
      <c r="N712" s="27"/>
    </row>
    <row r="713" spans="6:14" ht="14.25" customHeight="1">
      <c r="F713" s="26"/>
      <c r="G713" s="21"/>
      <c r="L713" s="27"/>
      <c r="M713" s="27"/>
      <c r="N713" s="27"/>
    </row>
    <row r="714" spans="6:14" ht="14.25" customHeight="1">
      <c r="F714" s="26"/>
      <c r="G714" s="21"/>
      <c r="L714" s="27"/>
      <c r="M714" s="27"/>
      <c r="N714" s="27"/>
    </row>
    <row r="715" spans="6:14" ht="14.25" customHeight="1">
      <c r="F715" s="26"/>
      <c r="G715" s="21"/>
      <c r="L715" s="27"/>
      <c r="M715" s="27"/>
      <c r="N715" s="27"/>
    </row>
    <row r="716" spans="6:14" ht="14.25" customHeight="1">
      <c r="F716" s="26"/>
      <c r="G716" s="21"/>
      <c r="L716" s="27"/>
      <c r="M716" s="27"/>
      <c r="N716" s="27"/>
    </row>
    <row r="717" spans="6:14" ht="14.25" customHeight="1">
      <c r="F717" s="26"/>
      <c r="G717" s="21"/>
      <c r="L717" s="27"/>
      <c r="M717" s="27"/>
      <c r="N717" s="27"/>
    </row>
    <row r="718" spans="6:14" ht="14.25" customHeight="1">
      <c r="F718" s="26"/>
      <c r="G718" s="21"/>
      <c r="L718" s="27"/>
      <c r="M718" s="27"/>
      <c r="N718" s="27"/>
    </row>
    <row r="719" spans="6:14" ht="14.25" customHeight="1">
      <c r="F719" s="26"/>
      <c r="G719" s="21"/>
      <c r="L719" s="27"/>
      <c r="M719" s="27"/>
      <c r="N719" s="27"/>
    </row>
    <row r="720" spans="6:14" ht="14.25" customHeight="1">
      <c r="F720" s="26"/>
      <c r="G720" s="21"/>
      <c r="L720" s="27"/>
      <c r="M720" s="27"/>
      <c r="N720" s="27"/>
    </row>
    <row r="721" spans="6:14" ht="14.25" customHeight="1">
      <c r="F721" s="26"/>
      <c r="G721" s="21"/>
      <c r="L721" s="27"/>
      <c r="M721" s="27"/>
      <c r="N721" s="27"/>
    </row>
    <row r="722" spans="6:14" ht="14.25" customHeight="1">
      <c r="F722" s="26"/>
      <c r="G722" s="21"/>
      <c r="L722" s="27"/>
      <c r="M722" s="27"/>
      <c r="N722" s="27"/>
    </row>
    <row r="723" spans="6:14" ht="14.25" customHeight="1">
      <c r="F723" s="26"/>
      <c r="G723" s="21"/>
      <c r="L723" s="27"/>
      <c r="M723" s="27"/>
      <c r="N723" s="27"/>
    </row>
    <row r="724" spans="6:14" ht="14.25" customHeight="1">
      <c r="F724" s="26"/>
      <c r="G724" s="21"/>
      <c r="L724" s="27"/>
      <c r="M724" s="27"/>
      <c r="N724" s="27"/>
    </row>
    <row r="725" spans="6:14" ht="14.25" customHeight="1">
      <c r="F725" s="26"/>
      <c r="G725" s="21"/>
      <c r="L725" s="27"/>
      <c r="M725" s="27"/>
      <c r="N725" s="27"/>
    </row>
    <row r="726" spans="6:14" ht="14.25" customHeight="1">
      <c r="F726" s="26"/>
      <c r="G726" s="21"/>
      <c r="L726" s="27"/>
      <c r="M726" s="27"/>
      <c r="N726" s="27"/>
    </row>
    <row r="727" spans="6:14" ht="14.25" customHeight="1">
      <c r="F727" s="26"/>
      <c r="G727" s="21"/>
      <c r="L727" s="27"/>
      <c r="M727" s="27"/>
      <c r="N727" s="27"/>
    </row>
    <row r="728" spans="6:14" ht="14.25" customHeight="1">
      <c r="F728" s="26"/>
      <c r="G728" s="21"/>
      <c r="L728" s="27"/>
      <c r="M728" s="27"/>
      <c r="N728" s="27"/>
    </row>
    <row r="729" spans="6:14" ht="14.25" customHeight="1">
      <c r="F729" s="26"/>
      <c r="G729" s="21"/>
      <c r="L729" s="27"/>
      <c r="M729" s="27"/>
      <c r="N729" s="27"/>
    </row>
    <row r="730" spans="6:14" ht="14.25" customHeight="1">
      <c r="F730" s="26"/>
      <c r="G730" s="21"/>
      <c r="L730" s="27"/>
      <c r="M730" s="27"/>
      <c r="N730" s="27"/>
    </row>
    <row r="731" spans="6:14" ht="14.25" customHeight="1">
      <c r="F731" s="26"/>
      <c r="G731" s="21"/>
      <c r="L731" s="27"/>
      <c r="M731" s="27"/>
      <c r="N731" s="27"/>
    </row>
    <row r="732" spans="6:14" ht="14.25" customHeight="1">
      <c r="F732" s="26"/>
      <c r="G732" s="21"/>
      <c r="L732" s="27"/>
      <c r="M732" s="27"/>
      <c r="N732" s="27"/>
    </row>
    <row r="733" spans="6:14" ht="14.25" customHeight="1">
      <c r="F733" s="26"/>
      <c r="G733" s="21"/>
      <c r="L733" s="27"/>
      <c r="M733" s="27"/>
      <c r="N733" s="27"/>
    </row>
    <row r="734" spans="6:14" ht="14.25" customHeight="1">
      <c r="F734" s="26"/>
      <c r="G734" s="21"/>
      <c r="L734" s="27"/>
      <c r="M734" s="27"/>
      <c r="N734" s="27"/>
    </row>
    <row r="735" spans="6:14" ht="14.25" customHeight="1">
      <c r="F735" s="26"/>
      <c r="G735" s="21"/>
      <c r="L735" s="27"/>
      <c r="M735" s="27"/>
      <c r="N735" s="27"/>
    </row>
    <row r="736" spans="6:14" ht="14.25" customHeight="1">
      <c r="F736" s="26"/>
      <c r="G736" s="21"/>
      <c r="L736" s="27"/>
      <c r="M736" s="27"/>
      <c r="N736" s="27"/>
    </row>
    <row r="737" spans="6:14" ht="14.25" customHeight="1">
      <c r="F737" s="26"/>
      <c r="G737" s="21"/>
      <c r="L737" s="27"/>
      <c r="M737" s="27"/>
      <c r="N737" s="27"/>
    </row>
    <row r="738" spans="6:14" ht="14.25" customHeight="1">
      <c r="F738" s="26"/>
      <c r="G738" s="21"/>
      <c r="L738" s="27"/>
      <c r="M738" s="27"/>
      <c r="N738" s="27"/>
    </row>
    <row r="739" spans="6:14" ht="14.25" customHeight="1">
      <c r="F739" s="26"/>
      <c r="G739" s="21"/>
      <c r="L739" s="27"/>
      <c r="M739" s="27"/>
      <c r="N739" s="27"/>
    </row>
    <row r="740" spans="6:14" ht="14.25" customHeight="1">
      <c r="F740" s="26"/>
      <c r="G740" s="21"/>
      <c r="L740" s="27"/>
      <c r="M740" s="27"/>
      <c r="N740" s="27"/>
    </row>
    <row r="741" spans="6:14" ht="14.25" customHeight="1">
      <c r="F741" s="26"/>
      <c r="G741" s="21"/>
      <c r="L741" s="27"/>
      <c r="M741" s="27"/>
      <c r="N741" s="27"/>
    </row>
    <row r="742" spans="6:14" ht="14.25" customHeight="1">
      <c r="F742" s="26"/>
      <c r="G742" s="21"/>
      <c r="L742" s="27"/>
      <c r="M742" s="27"/>
      <c r="N742" s="27"/>
    </row>
    <row r="743" spans="6:14" ht="14.25" customHeight="1">
      <c r="F743" s="26"/>
      <c r="G743" s="21"/>
      <c r="L743" s="27"/>
      <c r="M743" s="27"/>
      <c r="N743" s="27"/>
    </row>
    <row r="744" spans="6:14" ht="14.25" customHeight="1">
      <c r="F744" s="26"/>
      <c r="G744" s="21"/>
      <c r="L744" s="27"/>
      <c r="M744" s="27"/>
      <c r="N744" s="27"/>
    </row>
    <row r="745" spans="6:14" ht="14.25" customHeight="1">
      <c r="F745" s="26"/>
      <c r="G745" s="21"/>
      <c r="L745" s="27"/>
      <c r="M745" s="27"/>
      <c r="N745" s="27"/>
    </row>
    <row r="746" spans="6:14" ht="14.25" customHeight="1">
      <c r="F746" s="26"/>
      <c r="G746" s="21"/>
      <c r="L746" s="27"/>
      <c r="M746" s="27"/>
      <c r="N746" s="27"/>
    </row>
    <row r="747" spans="6:14" ht="14.25" customHeight="1">
      <c r="F747" s="26"/>
      <c r="G747" s="21"/>
      <c r="L747" s="27"/>
      <c r="M747" s="27"/>
      <c r="N747" s="27"/>
    </row>
    <row r="748" spans="6:14" ht="14.25" customHeight="1">
      <c r="F748" s="26"/>
      <c r="G748" s="21"/>
      <c r="L748" s="27"/>
      <c r="M748" s="27"/>
      <c r="N748" s="27"/>
    </row>
    <row r="749" spans="6:14" ht="14.25" customHeight="1">
      <c r="F749" s="26"/>
      <c r="G749" s="21"/>
      <c r="L749" s="27"/>
      <c r="M749" s="27"/>
      <c r="N749" s="27"/>
    </row>
    <row r="750" spans="6:14" ht="14.25" customHeight="1">
      <c r="F750" s="26"/>
      <c r="G750" s="21"/>
      <c r="L750" s="27"/>
      <c r="M750" s="27"/>
      <c r="N750" s="27"/>
    </row>
    <row r="751" spans="6:14" ht="14.25" customHeight="1">
      <c r="F751" s="26"/>
      <c r="G751" s="21"/>
      <c r="L751" s="27"/>
      <c r="M751" s="27"/>
      <c r="N751" s="27"/>
    </row>
    <row r="752" spans="6:14" ht="14.25" customHeight="1">
      <c r="F752" s="26"/>
      <c r="G752" s="21"/>
      <c r="L752" s="27"/>
      <c r="M752" s="27"/>
      <c r="N752" s="27"/>
    </row>
    <row r="753" spans="6:14" ht="14.25" customHeight="1">
      <c r="F753" s="26"/>
      <c r="G753" s="21"/>
      <c r="L753" s="27"/>
      <c r="M753" s="27"/>
      <c r="N753" s="27"/>
    </row>
    <row r="754" spans="6:14" ht="14.25" customHeight="1">
      <c r="F754" s="26"/>
      <c r="G754" s="21"/>
      <c r="L754" s="27"/>
      <c r="M754" s="27"/>
      <c r="N754" s="27"/>
    </row>
    <row r="755" spans="6:14" ht="14.25" customHeight="1">
      <c r="F755" s="26"/>
      <c r="G755" s="21"/>
      <c r="L755" s="27"/>
      <c r="M755" s="27"/>
      <c r="N755" s="27"/>
    </row>
    <row r="756" spans="6:14" ht="14.25" customHeight="1">
      <c r="F756" s="26"/>
      <c r="G756" s="21"/>
      <c r="L756" s="27"/>
      <c r="M756" s="27"/>
      <c r="N756" s="27"/>
    </row>
    <row r="757" spans="6:14" ht="14.25" customHeight="1">
      <c r="F757" s="26"/>
      <c r="G757" s="21"/>
      <c r="L757" s="27"/>
      <c r="M757" s="27"/>
      <c r="N757" s="27"/>
    </row>
    <row r="758" spans="6:14" ht="14.25" customHeight="1">
      <c r="F758" s="26"/>
      <c r="G758" s="21"/>
      <c r="L758" s="27"/>
      <c r="M758" s="27"/>
      <c r="N758" s="27"/>
    </row>
    <row r="759" spans="6:14" ht="14.25" customHeight="1">
      <c r="F759" s="26"/>
      <c r="G759" s="21"/>
      <c r="L759" s="27"/>
      <c r="M759" s="27"/>
      <c r="N759" s="27"/>
    </row>
    <row r="760" spans="6:14" ht="14.25" customHeight="1">
      <c r="F760" s="26"/>
      <c r="G760" s="21"/>
      <c r="L760" s="27"/>
      <c r="M760" s="27"/>
      <c r="N760" s="27"/>
    </row>
    <row r="761" spans="6:14" ht="14.25" customHeight="1">
      <c r="F761" s="26"/>
      <c r="G761" s="21"/>
      <c r="L761" s="27"/>
      <c r="M761" s="27"/>
      <c r="N761" s="27"/>
    </row>
    <row r="762" spans="6:14" ht="14.25" customHeight="1">
      <c r="F762" s="26"/>
      <c r="G762" s="21"/>
      <c r="L762" s="27"/>
      <c r="M762" s="27"/>
      <c r="N762" s="27"/>
    </row>
    <row r="763" spans="6:14" ht="14.25" customHeight="1">
      <c r="F763" s="26"/>
      <c r="G763" s="21"/>
      <c r="L763" s="27"/>
      <c r="M763" s="27"/>
      <c r="N763" s="27"/>
    </row>
    <row r="764" spans="6:14" ht="14.25" customHeight="1">
      <c r="F764" s="26"/>
      <c r="G764" s="21"/>
      <c r="L764" s="27"/>
      <c r="M764" s="27"/>
      <c r="N764" s="27"/>
    </row>
    <row r="765" spans="6:14" ht="14.25" customHeight="1">
      <c r="F765" s="26"/>
      <c r="G765" s="21"/>
      <c r="L765" s="27"/>
      <c r="M765" s="27"/>
      <c r="N765" s="27"/>
    </row>
    <row r="766" spans="6:14" ht="14.25" customHeight="1">
      <c r="F766" s="26"/>
      <c r="G766" s="21"/>
      <c r="L766" s="27"/>
      <c r="M766" s="27"/>
      <c r="N766" s="27"/>
    </row>
    <row r="767" spans="6:14" ht="14.25" customHeight="1">
      <c r="F767" s="26"/>
      <c r="G767" s="21"/>
      <c r="L767" s="27"/>
      <c r="M767" s="27"/>
      <c r="N767" s="27"/>
    </row>
    <row r="768" spans="6:14" ht="14.25" customHeight="1">
      <c r="F768" s="26"/>
      <c r="G768" s="21"/>
      <c r="L768" s="27"/>
      <c r="M768" s="27"/>
      <c r="N768" s="27"/>
    </row>
    <row r="769" spans="6:14" ht="14.25" customHeight="1">
      <c r="F769" s="26"/>
      <c r="G769" s="21"/>
      <c r="L769" s="27"/>
      <c r="M769" s="27"/>
      <c r="N769" s="27"/>
    </row>
    <row r="770" spans="6:14" ht="14.25" customHeight="1">
      <c r="F770" s="26"/>
      <c r="G770" s="21"/>
      <c r="L770" s="27"/>
      <c r="M770" s="27"/>
      <c r="N770" s="27"/>
    </row>
    <row r="771" spans="6:14" ht="14.25" customHeight="1">
      <c r="F771" s="26"/>
      <c r="G771" s="21"/>
      <c r="L771" s="27"/>
      <c r="M771" s="27"/>
      <c r="N771" s="27"/>
    </row>
    <row r="772" spans="6:14" ht="14.25" customHeight="1">
      <c r="F772" s="26"/>
      <c r="G772" s="21"/>
      <c r="L772" s="27"/>
      <c r="M772" s="27"/>
      <c r="N772" s="27"/>
    </row>
    <row r="773" spans="6:14" ht="14.25" customHeight="1">
      <c r="F773" s="26"/>
      <c r="G773" s="21"/>
      <c r="L773" s="27"/>
      <c r="M773" s="27"/>
      <c r="N773" s="27"/>
    </row>
    <row r="774" spans="6:14" ht="14.25" customHeight="1">
      <c r="F774" s="26"/>
      <c r="G774" s="21"/>
      <c r="L774" s="27"/>
      <c r="M774" s="27"/>
      <c r="N774" s="27"/>
    </row>
    <row r="775" spans="6:14" ht="14.25" customHeight="1">
      <c r="F775" s="26"/>
      <c r="G775" s="21"/>
      <c r="L775" s="27"/>
      <c r="M775" s="27"/>
      <c r="N775" s="27"/>
    </row>
    <row r="776" spans="6:14" ht="14.25" customHeight="1">
      <c r="F776" s="26"/>
      <c r="G776" s="21"/>
      <c r="L776" s="27"/>
      <c r="M776" s="27"/>
      <c r="N776" s="27"/>
    </row>
    <row r="777" spans="6:14" ht="14.25" customHeight="1">
      <c r="F777" s="26"/>
      <c r="G777" s="21"/>
      <c r="L777" s="27"/>
      <c r="M777" s="27"/>
      <c r="N777" s="27"/>
    </row>
    <row r="778" spans="6:14" ht="14.25" customHeight="1">
      <c r="F778" s="26"/>
      <c r="G778" s="21"/>
      <c r="L778" s="27"/>
      <c r="M778" s="27"/>
      <c r="N778" s="27"/>
    </row>
    <row r="779" spans="6:14" ht="14.25" customHeight="1">
      <c r="F779" s="26"/>
      <c r="G779" s="21"/>
      <c r="L779" s="27"/>
      <c r="M779" s="27"/>
      <c r="N779" s="27"/>
    </row>
    <row r="780" spans="6:14" ht="14.25" customHeight="1">
      <c r="F780" s="26"/>
      <c r="G780" s="21"/>
      <c r="L780" s="27"/>
      <c r="M780" s="27"/>
      <c r="N780" s="27"/>
    </row>
    <row r="781" spans="6:14" ht="14.25" customHeight="1">
      <c r="F781" s="26"/>
      <c r="G781" s="21"/>
      <c r="L781" s="27"/>
      <c r="M781" s="27"/>
      <c r="N781" s="27"/>
    </row>
    <row r="782" spans="6:14" ht="14.25" customHeight="1">
      <c r="F782" s="26"/>
      <c r="G782" s="21"/>
      <c r="L782" s="27"/>
      <c r="M782" s="27"/>
      <c r="N782" s="27"/>
    </row>
    <row r="783" spans="6:14" ht="14.25" customHeight="1">
      <c r="F783" s="26"/>
      <c r="G783" s="21"/>
      <c r="L783" s="27"/>
      <c r="M783" s="27"/>
      <c r="N783" s="27"/>
    </row>
    <row r="784" spans="6:14" ht="14.25" customHeight="1">
      <c r="F784" s="26"/>
      <c r="G784" s="21"/>
      <c r="L784" s="27"/>
      <c r="M784" s="27"/>
      <c r="N784" s="27"/>
    </row>
    <row r="785" spans="6:14" ht="14.25" customHeight="1">
      <c r="F785" s="26"/>
      <c r="G785" s="21"/>
      <c r="L785" s="27"/>
      <c r="M785" s="27"/>
      <c r="N785" s="27"/>
    </row>
    <row r="786" spans="6:14" ht="14.25" customHeight="1">
      <c r="F786" s="26"/>
      <c r="G786" s="21"/>
      <c r="L786" s="27"/>
      <c r="M786" s="27"/>
      <c r="N786" s="27"/>
    </row>
    <row r="787" spans="6:14" ht="14.25" customHeight="1">
      <c r="F787" s="26"/>
      <c r="G787" s="21"/>
      <c r="L787" s="27"/>
      <c r="M787" s="27"/>
      <c r="N787" s="27"/>
    </row>
    <row r="788" spans="6:14" ht="14.25" customHeight="1">
      <c r="F788" s="26"/>
      <c r="G788" s="21"/>
      <c r="L788" s="27"/>
      <c r="M788" s="27"/>
      <c r="N788" s="27"/>
    </row>
    <row r="789" spans="6:14" ht="14.25" customHeight="1">
      <c r="F789" s="26"/>
      <c r="G789" s="21"/>
      <c r="L789" s="27"/>
      <c r="M789" s="27"/>
      <c r="N789" s="27"/>
    </row>
    <row r="790" spans="6:14" ht="14.25" customHeight="1">
      <c r="F790" s="26"/>
      <c r="G790" s="21"/>
      <c r="L790" s="27"/>
      <c r="M790" s="27"/>
      <c r="N790" s="27"/>
    </row>
    <row r="791" spans="6:14" ht="14.25" customHeight="1">
      <c r="F791" s="26"/>
      <c r="G791" s="21"/>
      <c r="L791" s="27"/>
      <c r="M791" s="27"/>
      <c r="N791" s="27"/>
    </row>
    <row r="792" spans="6:14" ht="14.25" customHeight="1">
      <c r="F792" s="26"/>
      <c r="G792" s="21"/>
      <c r="L792" s="27"/>
      <c r="M792" s="27"/>
      <c r="N792" s="27"/>
    </row>
    <row r="793" spans="6:14" ht="14.25" customHeight="1">
      <c r="F793" s="26"/>
      <c r="G793" s="21"/>
      <c r="L793" s="27"/>
      <c r="M793" s="27"/>
      <c r="N793" s="27"/>
    </row>
    <row r="794" spans="6:14" ht="14.25" customHeight="1">
      <c r="F794" s="26"/>
      <c r="G794" s="21"/>
      <c r="L794" s="27"/>
      <c r="M794" s="27"/>
      <c r="N794" s="27"/>
    </row>
    <row r="795" spans="6:14" ht="14.25" customHeight="1">
      <c r="F795" s="26"/>
      <c r="G795" s="21"/>
      <c r="L795" s="27"/>
      <c r="M795" s="27"/>
      <c r="N795" s="27"/>
    </row>
    <row r="796" spans="6:14" ht="14.25" customHeight="1">
      <c r="F796" s="26"/>
      <c r="G796" s="21"/>
      <c r="L796" s="27"/>
      <c r="M796" s="27"/>
      <c r="N796" s="27"/>
    </row>
    <row r="797" spans="6:14" ht="14.25" customHeight="1">
      <c r="F797" s="26"/>
      <c r="G797" s="21"/>
      <c r="L797" s="27"/>
      <c r="M797" s="27"/>
      <c r="N797" s="27"/>
    </row>
    <row r="798" spans="6:14" ht="14.25" customHeight="1">
      <c r="F798" s="26"/>
      <c r="G798" s="21"/>
      <c r="L798" s="27"/>
      <c r="M798" s="27"/>
      <c r="N798" s="27"/>
    </row>
    <row r="799" spans="6:14" ht="14.25" customHeight="1">
      <c r="F799" s="26"/>
      <c r="G799" s="21"/>
      <c r="L799" s="27"/>
      <c r="M799" s="27"/>
      <c r="N799" s="27"/>
    </row>
    <row r="800" spans="6:14" ht="14.25" customHeight="1">
      <c r="F800" s="26"/>
      <c r="G800" s="21"/>
      <c r="L800" s="27"/>
      <c r="M800" s="27"/>
      <c r="N800" s="27"/>
    </row>
    <row r="801" spans="6:14" ht="14.25" customHeight="1">
      <c r="F801" s="26"/>
      <c r="G801" s="21"/>
      <c r="L801" s="27"/>
      <c r="M801" s="27"/>
      <c r="N801" s="27"/>
    </row>
    <row r="802" spans="6:14" ht="14.25" customHeight="1">
      <c r="F802" s="26"/>
      <c r="G802" s="21"/>
      <c r="L802" s="27"/>
      <c r="M802" s="27"/>
      <c r="N802" s="27"/>
    </row>
    <row r="803" spans="6:14" ht="14.25" customHeight="1">
      <c r="F803" s="26"/>
      <c r="G803" s="21"/>
      <c r="L803" s="27"/>
      <c r="M803" s="27"/>
      <c r="N803" s="27"/>
    </row>
    <row r="804" spans="6:14" ht="14.25" customHeight="1">
      <c r="F804" s="26"/>
      <c r="G804" s="21"/>
      <c r="L804" s="27"/>
      <c r="M804" s="27"/>
      <c r="N804" s="27"/>
    </row>
    <row r="805" spans="6:14" ht="14.25" customHeight="1">
      <c r="F805" s="26"/>
      <c r="G805" s="21"/>
      <c r="L805" s="27"/>
      <c r="M805" s="27"/>
      <c r="N805" s="27"/>
    </row>
    <row r="806" spans="6:14" ht="14.25" customHeight="1">
      <c r="F806" s="26"/>
      <c r="G806" s="21"/>
      <c r="L806" s="27"/>
      <c r="M806" s="27"/>
      <c r="N806" s="27"/>
    </row>
    <row r="807" spans="6:14" ht="14.25" customHeight="1">
      <c r="F807" s="26"/>
      <c r="G807" s="21"/>
      <c r="L807" s="27"/>
      <c r="M807" s="27"/>
      <c r="N807" s="27"/>
    </row>
    <row r="808" spans="6:14" ht="14.25" customHeight="1">
      <c r="F808" s="26"/>
      <c r="G808" s="21"/>
      <c r="L808" s="27"/>
      <c r="M808" s="27"/>
      <c r="N808" s="27"/>
    </row>
    <row r="809" spans="6:14" ht="14.25" customHeight="1">
      <c r="F809" s="26"/>
      <c r="G809" s="21"/>
      <c r="L809" s="27"/>
      <c r="M809" s="27"/>
      <c r="N809" s="27"/>
    </row>
    <row r="810" spans="6:14" ht="14.25" customHeight="1">
      <c r="F810" s="26"/>
      <c r="G810" s="21"/>
      <c r="L810" s="27"/>
      <c r="M810" s="27"/>
      <c r="N810" s="27"/>
    </row>
    <row r="811" spans="6:14" ht="14.25" customHeight="1">
      <c r="F811" s="26"/>
      <c r="G811" s="21"/>
      <c r="L811" s="27"/>
      <c r="M811" s="27"/>
      <c r="N811" s="27"/>
    </row>
    <row r="812" spans="6:14" ht="14.25" customHeight="1">
      <c r="F812" s="26"/>
      <c r="G812" s="21"/>
      <c r="L812" s="27"/>
      <c r="M812" s="27"/>
      <c r="N812" s="27"/>
    </row>
    <row r="813" spans="6:14" ht="14.25" customHeight="1">
      <c r="F813" s="26"/>
      <c r="G813" s="21"/>
      <c r="L813" s="27"/>
      <c r="M813" s="27"/>
      <c r="N813" s="27"/>
    </row>
    <row r="814" spans="6:14" ht="14.25" customHeight="1">
      <c r="F814" s="26"/>
      <c r="G814" s="21"/>
      <c r="L814" s="27"/>
      <c r="M814" s="27"/>
      <c r="N814" s="27"/>
    </row>
    <row r="815" spans="6:14" ht="14.25" customHeight="1">
      <c r="F815" s="26"/>
      <c r="G815" s="21"/>
      <c r="L815" s="27"/>
      <c r="M815" s="27"/>
      <c r="N815" s="27"/>
    </row>
    <row r="816" spans="6:14" ht="14.25" customHeight="1">
      <c r="F816" s="26"/>
      <c r="G816" s="21"/>
      <c r="L816" s="27"/>
      <c r="M816" s="27"/>
      <c r="N816" s="27"/>
    </row>
    <row r="817" spans="6:14" ht="14.25" customHeight="1">
      <c r="F817" s="26"/>
      <c r="G817" s="21"/>
      <c r="L817" s="27"/>
      <c r="M817" s="27"/>
      <c r="N817" s="27"/>
    </row>
    <row r="818" spans="6:14" ht="14.25" customHeight="1">
      <c r="F818" s="26"/>
      <c r="G818" s="21"/>
      <c r="L818" s="27"/>
      <c r="M818" s="27"/>
      <c r="N818" s="27"/>
    </row>
    <row r="819" spans="6:14" ht="14.25" customHeight="1">
      <c r="F819" s="26"/>
      <c r="G819" s="21"/>
      <c r="L819" s="27"/>
      <c r="M819" s="27"/>
      <c r="N819" s="27"/>
    </row>
    <row r="820" spans="6:14" ht="14.25" customHeight="1">
      <c r="F820" s="26"/>
      <c r="G820" s="21"/>
      <c r="L820" s="27"/>
      <c r="M820" s="27"/>
      <c r="N820" s="27"/>
    </row>
    <row r="821" spans="6:14" ht="14.25" customHeight="1">
      <c r="F821" s="26"/>
      <c r="G821" s="21"/>
      <c r="L821" s="27"/>
      <c r="M821" s="27"/>
      <c r="N821" s="27"/>
    </row>
    <row r="822" spans="6:14" ht="14.25" customHeight="1">
      <c r="F822" s="26"/>
      <c r="G822" s="21"/>
      <c r="L822" s="27"/>
      <c r="M822" s="27"/>
      <c r="N822" s="27"/>
    </row>
    <row r="823" spans="6:14" ht="14.25" customHeight="1">
      <c r="F823" s="26"/>
      <c r="G823" s="21"/>
      <c r="L823" s="27"/>
      <c r="M823" s="27"/>
      <c r="N823" s="27"/>
    </row>
    <row r="824" spans="6:14" ht="14.25" customHeight="1">
      <c r="F824" s="26"/>
      <c r="G824" s="21"/>
      <c r="L824" s="27"/>
      <c r="M824" s="27"/>
      <c r="N824" s="27"/>
    </row>
    <row r="825" spans="6:14" ht="14.25" customHeight="1">
      <c r="F825" s="26"/>
      <c r="G825" s="21"/>
      <c r="L825" s="27"/>
      <c r="M825" s="27"/>
      <c r="N825" s="27"/>
    </row>
    <row r="826" spans="6:14" ht="14.25" customHeight="1">
      <c r="F826" s="26"/>
      <c r="G826" s="21"/>
      <c r="L826" s="27"/>
      <c r="M826" s="27"/>
      <c r="N826" s="27"/>
    </row>
    <row r="827" spans="6:14" ht="14.25" customHeight="1">
      <c r="F827" s="26"/>
      <c r="G827" s="21"/>
      <c r="L827" s="27"/>
      <c r="M827" s="27"/>
      <c r="N827" s="27"/>
    </row>
    <row r="828" spans="6:14" ht="14.25" customHeight="1">
      <c r="F828" s="26"/>
      <c r="G828" s="21"/>
      <c r="L828" s="27"/>
      <c r="M828" s="27"/>
      <c r="N828" s="27"/>
    </row>
    <row r="829" spans="6:14" ht="14.25" customHeight="1">
      <c r="F829" s="26"/>
      <c r="G829" s="21"/>
      <c r="L829" s="27"/>
      <c r="M829" s="27"/>
      <c r="N829" s="27"/>
    </row>
    <row r="830" spans="6:14" ht="14.25" customHeight="1">
      <c r="F830" s="26"/>
      <c r="G830" s="21"/>
      <c r="L830" s="27"/>
      <c r="M830" s="27"/>
      <c r="N830" s="27"/>
    </row>
    <row r="831" spans="6:14" ht="14.25" customHeight="1">
      <c r="F831" s="26"/>
      <c r="G831" s="21"/>
      <c r="L831" s="27"/>
      <c r="M831" s="27"/>
      <c r="N831" s="27"/>
    </row>
    <row r="832" spans="6:14" ht="14.25" customHeight="1">
      <c r="F832" s="26"/>
      <c r="G832" s="21"/>
      <c r="L832" s="27"/>
      <c r="M832" s="27"/>
      <c r="N832" s="27"/>
    </row>
    <row r="833" spans="6:14" ht="14.25" customHeight="1">
      <c r="F833" s="26"/>
      <c r="G833" s="21"/>
      <c r="L833" s="27"/>
      <c r="M833" s="27"/>
      <c r="N833" s="27"/>
    </row>
    <row r="834" spans="6:14" ht="14.25" customHeight="1">
      <c r="F834" s="26"/>
      <c r="G834" s="21"/>
      <c r="L834" s="27"/>
      <c r="M834" s="27"/>
      <c r="N834" s="27"/>
    </row>
    <row r="835" spans="6:14" ht="14.25" customHeight="1">
      <c r="F835" s="26"/>
      <c r="G835" s="21"/>
      <c r="L835" s="27"/>
      <c r="M835" s="27"/>
      <c r="N835" s="27"/>
    </row>
    <row r="836" spans="6:14" ht="14.25" customHeight="1">
      <c r="F836" s="26"/>
      <c r="G836" s="21"/>
      <c r="L836" s="27"/>
      <c r="M836" s="27"/>
      <c r="N836" s="27"/>
    </row>
    <row r="837" spans="6:14" ht="14.25" customHeight="1">
      <c r="F837" s="26"/>
      <c r="G837" s="21"/>
      <c r="L837" s="27"/>
      <c r="M837" s="27"/>
      <c r="N837" s="27"/>
    </row>
    <row r="838" spans="6:14" ht="14.25" customHeight="1">
      <c r="F838" s="26"/>
      <c r="G838" s="21"/>
      <c r="L838" s="27"/>
      <c r="M838" s="27"/>
      <c r="N838" s="27"/>
    </row>
    <row r="839" spans="6:14" ht="14.25" customHeight="1">
      <c r="F839" s="26"/>
      <c r="G839" s="21"/>
      <c r="L839" s="27"/>
      <c r="M839" s="27"/>
      <c r="N839" s="27"/>
    </row>
    <row r="840" spans="6:14" ht="14.25" customHeight="1">
      <c r="F840" s="26"/>
      <c r="G840" s="21"/>
      <c r="L840" s="27"/>
      <c r="M840" s="27"/>
      <c r="N840" s="27"/>
    </row>
    <row r="841" spans="6:14" ht="14.25" customHeight="1">
      <c r="F841" s="26"/>
      <c r="G841" s="21"/>
      <c r="L841" s="27"/>
      <c r="M841" s="27"/>
      <c r="N841" s="27"/>
    </row>
    <row r="842" spans="6:14" ht="14.25" customHeight="1">
      <c r="F842" s="26"/>
      <c r="G842" s="21"/>
      <c r="L842" s="27"/>
      <c r="M842" s="27"/>
      <c r="N842" s="27"/>
    </row>
    <row r="843" spans="6:14" ht="14.25" customHeight="1">
      <c r="F843" s="26"/>
      <c r="G843" s="21"/>
      <c r="L843" s="27"/>
      <c r="M843" s="27"/>
      <c r="N843" s="27"/>
    </row>
    <row r="844" spans="6:14" ht="14.25" customHeight="1">
      <c r="F844" s="26"/>
      <c r="G844" s="21"/>
      <c r="L844" s="27"/>
      <c r="M844" s="27"/>
      <c r="N844" s="27"/>
    </row>
    <row r="845" spans="6:14" ht="14.25" customHeight="1">
      <c r="F845" s="26"/>
      <c r="G845" s="21"/>
      <c r="L845" s="27"/>
      <c r="M845" s="27"/>
      <c r="N845" s="27"/>
    </row>
    <row r="846" spans="6:14" ht="14.25" customHeight="1">
      <c r="F846" s="26"/>
      <c r="G846" s="21"/>
      <c r="L846" s="27"/>
      <c r="M846" s="27"/>
      <c r="N846" s="27"/>
    </row>
    <row r="847" spans="6:14" ht="14.25" customHeight="1">
      <c r="F847" s="26"/>
      <c r="G847" s="21"/>
      <c r="L847" s="27"/>
      <c r="M847" s="27"/>
      <c r="N847" s="27"/>
    </row>
    <row r="848" spans="6:14" ht="14.25" customHeight="1">
      <c r="F848" s="26"/>
      <c r="G848" s="21"/>
      <c r="L848" s="27"/>
      <c r="M848" s="27"/>
      <c r="N848" s="27"/>
    </row>
    <row r="849" spans="6:14" ht="14.25" customHeight="1">
      <c r="F849" s="26"/>
      <c r="G849" s="21"/>
      <c r="L849" s="27"/>
      <c r="M849" s="27"/>
      <c r="N849" s="27"/>
    </row>
    <row r="850" spans="6:14" ht="14.25" customHeight="1">
      <c r="F850" s="26"/>
      <c r="G850" s="21"/>
      <c r="L850" s="27"/>
      <c r="M850" s="27"/>
      <c r="N850" s="27"/>
    </row>
    <row r="851" spans="6:14" ht="14.25" customHeight="1">
      <c r="F851" s="26"/>
      <c r="G851" s="21"/>
      <c r="L851" s="27"/>
      <c r="M851" s="27"/>
      <c r="N851" s="27"/>
    </row>
    <row r="852" spans="6:14" ht="14.25" customHeight="1">
      <c r="F852" s="26"/>
      <c r="G852" s="21"/>
      <c r="L852" s="27"/>
      <c r="M852" s="27"/>
      <c r="N852" s="27"/>
    </row>
    <row r="853" spans="6:14" ht="14.25" customHeight="1">
      <c r="F853" s="26"/>
      <c r="G853" s="21"/>
      <c r="L853" s="27"/>
      <c r="M853" s="27"/>
      <c r="N853" s="27"/>
    </row>
    <row r="854" spans="6:14" ht="14.25" customHeight="1">
      <c r="F854" s="26"/>
      <c r="G854" s="21"/>
      <c r="L854" s="27"/>
      <c r="M854" s="27"/>
      <c r="N854" s="27"/>
    </row>
    <row r="855" spans="6:14" ht="14.25" customHeight="1">
      <c r="F855" s="26"/>
      <c r="G855" s="21"/>
      <c r="L855" s="27"/>
      <c r="M855" s="27"/>
      <c r="N855" s="27"/>
    </row>
    <row r="856" spans="6:14" ht="14.25" customHeight="1">
      <c r="F856" s="26"/>
      <c r="G856" s="21"/>
      <c r="L856" s="27"/>
      <c r="M856" s="27"/>
      <c r="N856" s="27"/>
    </row>
    <row r="857" spans="6:14" ht="14.25" customHeight="1">
      <c r="F857" s="26"/>
      <c r="G857" s="21"/>
      <c r="L857" s="27"/>
      <c r="M857" s="27"/>
      <c r="N857" s="27"/>
    </row>
    <row r="858" spans="6:14" ht="14.25" customHeight="1">
      <c r="F858" s="26"/>
      <c r="G858" s="21"/>
      <c r="L858" s="27"/>
      <c r="M858" s="27"/>
      <c r="N858" s="27"/>
    </row>
    <row r="859" spans="6:14" ht="14.25" customHeight="1">
      <c r="F859" s="26"/>
      <c r="G859" s="21"/>
      <c r="L859" s="27"/>
      <c r="M859" s="27"/>
      <c r="N859" s="27"/>
    </row>
    <row r="860" spans="6:14" ht="14.25" customHeight="1">
      <c r="F860" s="26"/>
      <c r="G860" s="21"/>
      <c r="L860" s="27"/>
      <c r="M860" s="27"/>
      <c r="N860" s="27"/>
    </row>
    <row r="861" spans="6:14" ht="14.25" customHeight="1">
      <c r="F861" s="26"/>
      <c r="G861" s="21"/>
      <c r="L861" s="27"/>
      <c r="M861" s="27"/>
      <c r="N861" s="27"/>
    </row>
    <row r="862" spans="6:14" ht="14.25" customHeight="1">
      <c r="F862" s="26"/>
      <c r="G862" s="21"/>
      <c r="L862" s="27"/>
      <c r="M862" s="27"/>
      <c r="N862" s="27"/>
    </row>
    <row r="863" spans="6:14" ht="14.25" customHeight="1">
      <c r="F863" s="26"/>
      <c r="G863" s="21"/>
      <c r="L863" s="27"/>
      <c r="M863" s="27"/>
      <c r="N863" s="27"/>
    </row>
    <row r="864" spans="6:14" ht="14.25" customHeight="1">
      <c r="F864" s="26"/>
      <c r="G864" s="21"/>
      <c r="L864" s="27"/>
      <c r="M864" s="27"/>
      <c r="N864" s="27"/>
    </row>
    <row r="865" spans="6:14" ht="14.25" customHeight="1">
      <c r="F865" s="26"/>
      <c r="G865" s="21"/>
      <c r="L865" s="27"/>
      <c r="M865" s="27"/>
      <c r="N865" s="27"/>
    </row>
    <row r="866" spans="6:14" ht="14.25" customHeight="1">
      <c r="F866" s="26"/>
      <c r="G866" s="21"/>
      <c r="L866" s="27"/>
      <c r="M866" s="27"/>
      <c r="N866" s="27"/>
    </row>
    <row r="867" spans="6:14" ht="14.25" customHeight="1">
      <c r="F867" s="26"/>
      <c r="G867" s="21"/>
      <c r="L867" s="27"/>
      <c r="M867" s="27"/>
      <c r="N867" s="27"/>
    </row>
    <row r="868" spans="6:14" ht="14.25" customHeight="1">
      <c r="F868" s="26"/>
      <c r="G868" s="21"/>
      <c r="L868" s="27"/>
      <c r="M868" s="27"/>
      <c r="N868" s="27"/>
    </row>
    <row r="869" spans="6:14" ht="14.25" customHeight="1">
      <c r="F869" s="26"/>
      <c r="G869" s="21"/>
      <c r="L869" s="27"/>
      <c r="M869" s="27"/>
      <c r="N869" s="27"/>
    </row>
    <row r="870" spans="6:14" ht="14.25" customHeight="1">
      <c r="F870" s="26"/>
      <c r="G870" s="21"/>
      <c r="L870" s="27"/>
      <c r="M870" s="27"/>
      <c r="N870" s="27"/>
    </row>
    <row r="871" spans="6:14" ht="14.25" customHeight="1">
      <c r="F871" s="26"/>
      <c r="G871" s="21"/>
      <c r="L871" s="27"/>
      <c r="M871" s="27"/>
      <c r="N871" s="27"/>
    </row>
    <row r="872" spans="6:14" ht="14.25" customHeight="1">
      <c r="F872" s="26"/>
      <c r="G872" s="21"/>
      <c r="L872" s="27"/>
      <c r="M872" s="27"/>
      <c r="N872" s="27"/>
    </row>
    <row r="873" spans="6:14" ht="14.25" customHeight="1">
      <c r="F873" s="26"/>
      <c r="G873" s="21"/>
      <c r="L873" s="27"/>
      <c r="M873" s="27"/>
      <c r="N873" s="27"/>
    </row>
    <row r="874" spans="6:14" ht="14.25" customHeight="1">
      <c r="F874" s="26"/>
      <c r="G874" s="21"/>
      <c r="L874" s="27"/>
      <c r="M874" s="27"/>
      <c r="N874" s="27"/>
    </row>
    <row r="875" spans="6:14" ht="14.25" customHeight="1">
      <c r="F875" s="26"/>
      <c r="G875" s="21"/>
      <c r="L875" s="27"/>
      <c r="M875" s="27"/>
      <c r="N875" s="27"/>
    </row>
    <row r="876" spans="6:14" ht="14.25" customHeight="1">
      <c r="F876" s="26"/>
      <c r="G876" s="21"/>
      <c r="L876" s="27"/>
      <c r="M876" s="27"/>
      <c r="N876" s="27"/>
    </row>
    <row r="877" spans="6:14" ht="14.25" customHeight="1">
      <c r="F877" s="26"/>
      <c r="G877" s="21"/>
      <c r="L877" s="27"/>
      <c r="M877" s="27"/>
      <c r="N877" s="27"/>
    </row>
    <row r="878" spans="6:14" ht="14.25" customHeight="1">
      <c r="F878" s="26"/>
      <c r="G878" s="21"/>
      <c r="L878" s="27"/>
      <c r="M878" s="27"/>
      <c r="N878" s="27"/>
    </row>
    <row r="879" spans="6:14" ht="14.25" customHeight="1">
      <c r="F879" s="26"/>
      <c r="G879" s="21"/>
      <c r="L879" s="27"/>
      <c r="M879" s="27"/>
      <c r="N879" s="27"/>
    </row>
    <row r="880" spans="6:14" ht="14.25" customHeight="1">
      <c r="F880" s="26"/>
      <c r="G880" s="21"/>
      <c r="L880" s="27"/>
      <c r="M880" s="27"/>
      <c r="N880" s="27"/>
    </row>
    <row r="881" spans="6:14" ht="14.25" customHeight="1">
      <c r="F881" s="26"/>
      <c r="G881" s="21"/>
      <c r="L881" s="27"/>
      <c r="M881" s="27"/>
      <c r="N881" s="27"/>
    </row>
    <row r="882" spans="6:14" ht="14.25" customHeight="1">
      <c r="F882" s="26"/>
      <c r="G882" s="21"/>
      <c r="L882" s="27"/>
      <c r="M882" s="27"/>
      <c r="N882" s="27"/>
    </row>
    <row r="883" spans="6:14" ht="14.25" customHeight="1">
      <c r="F883" s="26"/>
      <c r="G883" s="21"/>
      <c r="L883" s="27"/>
      <c r="M883" s="27"/>
      <c r="N883" s="27"/>
    </row>
    <row r="884" spans="6:14" ht="14.25" customHeight="1">
      <c r="F884" s="26"/>
      <c r="G884" s="21"/>
      <c r="L884" s="27"/>
      <c r="M884" s="27"/>
      <c r="N884" s="27"/>
    </row>
    <row r="885" spans="6:14" ht="14.25" customHeight="1">
      <c r="F885" s="26"/>
      <c r="G885" s="21"/>
      <c r="L885" s="27"/>
      <c r="M885" s="27"/>
      <c r="N885" s="27"/>
    </row>
    <row r="886" spans="6:14" ht="14.25" customHeight="1">
      <c r="F886" s="26"/>
      <c r="G886" s="21"/>
      <c r="L886" s="27"/>
      <c r="M886" s="27"/>
      <c r="N886" s="27"/>
    </row>
    <row r="887" spans="6:14" ht="14.25" customHeight="1">
      <c r="F887" s="26"/>
      <c r="G887" s="21"/>
      <c r="L887" s="27"/>
      <c r="M887" s="27"/>
      <c r="N887" s="27"/>
    </row>
    <row r="888" spans="6:14" ht="14.25" customHeight="1">
      <c r="F888" s="26"/>
      <c r="G888" s="21"/>
      <c r="L888" s="27"/>
      <c r="M888" s="27"/>
      <c r="N888" s="27"/>
    </row>
    <row r="889" spans="6:14" ht="14.25" customHeight="1">
      <c r="F889" s="26"/>
      <c r="G889" s="21"/>
      <c r="L889" s="27"/>
      <c r="M889" s="27"/>
      <c r="N889" s="27"/>
    </row>
    <row r="890" spans="6:14" ht="14.25" customHeight="1">
      <c r="F890" s="26"/>
      <c r="G890" s="21"/>
      <c r="L890" s="27"/>
      <c r="M890" s="27"/>
      <c r="N890" s="27"/>
    </row>
    <row r="891" spans="6:14" ht="14.25" customHeight="1">
      <c r="F891" s="26"/>
      <c r="G891" s="21"/>
      <c r="L891" s="27"/>
      <c r="M891" s="27"/>
      <c r="N891" s="27"/>
    </row>
    <row r="892" spans="6:14" ht="14.25" customHeight="1">
      <c r="F892" s="26"/>
      <c r="G892" s="21"/>
      <c r="L892" s="27"/>
      <c r="M892" s="27"/>
      <c r="N892" s="27"/>
    </row>
    <row r="893" spans="6:14" ht="14.25" customHeight="1">
      <c r="F893" s="26"/>
      <c r="G893" s="21"/>
      <c r="L893" s="27"/>
      <c r="M893" s="27"/>
      <c r="N893" s="27"/>
    </row>
    <row r="894" spans="6:14" ht="14.25" customHeight="1">
      <c r="F894" s="26"/>
      <c r="G894" s="21"/>
      <c r="L894" s="27"/>
      <c r="M894" s="27"/>
      <c r="N894" s="27"/>
    </row>
    <row r="895" spans="6:14" ht="14.25" customHeight="1">
      <c r="F895" s="26"/>
      <c r="G895" s="21"/>
      <c r="L895" s="27"/>
      <c r="M895" s="27"/>
      <c r="N895" s="27"/>
    </row>
    <row r="896" spans="6:14" ht="14.25" customHeight="1">
      <c r="F896" s="26"/>
      <c r="G896" s="21"/>
      <c r="L896" s="27"/>
      <c r="M896" s="27"/>
      <c r="N896" s="27"/>
    </row>
    <row r="897" spans="6:14" ht="14.25" customHeight="1">
      <c r="F897" s="26"/>
      <c r="G897" s="21"/>
      <c r="L897" s="27"/>
      <c r="M897" s="27"/>
      <c r="N897" s="27"/>
    </row>
    <row r="898" spans="6:14" ht="14.25" customHeight="1">
      <c r="F898" s="26"/>
      <c r="G898" s="21"/>
      <c r="L898" s="27"/>
      <c r="M898" s="27"/>
      <c r="N898" s="27"/>
    </row>
    <row r="899" spans="6:14" ht="14.25" customHeight="1">
      <c r="F899" s="26"/>
      <c r="G899" s="21"/>
      <c r="L899" s="27"/>
      <c r="M899" s="27"/>
      <c r="N899" s="27"/>
    </row>
    <row r="900" spans="6:14" ht="14.25" customHeight="1">
      <c r="F900" s="26"/>
      <c r="G900" s="21"/>
      <c r="L900" s="27"/>
      <c r="M900" s="27"/>
      <c r="N900" s="27"/>
    </row>
    <row r="901" spans="6:14" ht="14.25" customHeight="1">
      <c r="F901" s="26"/>
      <c r="G901" s="21"/>
      <c r="L901" s="27"/>
      <c r="M901" s="27"/>
      <c r="N901" s="27"/>
    </row>
    <row r="902" spans="6:14" ht="14.25" customHeight="1">
      <c r="F902" s="26"/>
      <c r="G902" s="21"/>
      <c r="L902" s="27"/>
      <c r="M902" s="27"/>
      <c r="N902" s="27"/>
    </row>
    <row r="903" spans="6:14" ht="14.25" customHeight="1">
      <c r="F903" s="26"/>
      <c r="G903" s="21"/>
      <c r="L903" s="27"/>
      <c r="M903" s="27"/>
      <c r="N903" s="27"/>
    </row>
    <row r="904" spans="6:14" ht="14.25" customHeight="1">
      <c r="F904" s="26"/>
      <c r="G904" s="21"/>
      <c r="L904" s="27"/>
      <c r="M904" s="27"/>
      <c r="N904" s="27"/>
    </row>
    <row r="905" spans="6:14" ht="14.25" customHeight="1">
      <c r="F905" s="26"/>
      <c r="G905" s="21"/>
      <c r="L905" s="27"/>
      <c r="M905" s="27"/>
      <c r="N905" s="27"/>
    </row>
    <row r="906" spans="6:14" ht="14.25" customHeight="1">
      <c r="F906" s="26"/>
      <c r="G906" s="21"/>
      <c r="L906" s="27"/>
      <c r="M906" s="27"/>
      <c r="N906" s="27"/>
    </row>
    <row r="907" spans="6:14" ht="14.25" customHeight="1">
      <c r="F907" s="26"/>
      <c r="G907" s="21"/>
      <c r="L907" s="27"/>
      <c r="M907" s="27"/>
      <c r="N907" s="27"/>
    </row>
    <row r="908" spans="6:14" ht="14.25" customHeight="1">
      <c r="F908" s="26"/>
      <c r="G908" s="21"/>
      <c r="L908" s="27"/>
      <c r="M908" s="27"/>
      <c r="N908" s="27"/>
    </row>
    <row r="909" spans="6:14" ht="14.25" customHeight="1">
      <c r="F909" s="26"/>
      <c r="G909" s="21"/>
      <c r="L909" s="27"/>
      <c r="M909" s="27"/>
      <c r="N909" s="27"/>
    </row>
    <row r="910" spans="6:14" ht="14.25" customHeight="1">
      <c r="F910" s="26"/>
      <c r="G910" s="21"/>
      <c r="L910" s="27"/>
      <c r="M910" s="27"/>
      <c r="N910" s="27"/>
    </row>
    <row r="911" spans="6:14" ht="14.25" customHeight="1">
      <c r="F911" s="26"/>
      <c r="G911" s="21"/>
      <c r="L911" s="27"/>
      <c r="M911" s="27"/>
      <c r="N911" s="27"/>
    </row>
    <row r="912" spans="6:14" ht="14.25" customHeight="1">
      <c r="F912" s="26"/>
      <c r="G912" s="21"/>
      <c r="L912" s="27"/>
      <c r="M912" s="27"/>
      <c r="N912" s="27"/>
    </row>
    <row r="913" spans="6:14" ht="14.25" customHeight="1">
      <c r="F913" s="26"/>
      <c r="G913" s="21"/>
      <c r="L913" s="27"/>
      <c r="M913" s="27"/>
      <c r="N913" s="27"/>
    </row>
    <row r="914" spans="6:14" ht="14.25" customHeight="1">
      <c r="F914" s="26"/>
      <c r="G914" s="21"/>
      <c r="L914" s="27"/>
      <c r="M914" s="27"/>
      <c r="N914" s="27"/>
    </row>
    <row r="915" spans="6:14" ht="14.25" customHeight="1">
      <c r="F915" s="26"/>
      <c r="G915" s="21"/>
      <c r="L915" s="27"/>
      <c r="M915" s="27"/>
      <c r="N915" s="27"/>
    </row>
    <row r="916" spans="6:14" ht="14.25" customHeight="1">
      <c r="F916" s="26"/>
      <c r="G916" s="21"/>
      <c r="L916" s="27"/>
      <c r="M916" s="27"/>
      <c r="N916" s="27"/>
    </row>
    <row r="917" spans="6:14" ht="14.25" customHeight="1">
      <c r="F917" s="26"/>
      <c r="G917" s="21"/>
      <c r="L917" s="27"/>
      <c r="M917" s="27"/>
      <c r="N917" s="27"/>
    </row>
    <row r="918" spans="6:14" ht="14.25" customHeight="1">
      <c r="F918" s="26"/>
      <c r="G918" s="21"/>
      <c r="L918" s="27"/>
      <c r="M918" s="27"/>
      <c r="N918" s="27"/>
    </row>
    <row r="919" spans="6:14" ht="14.25" customHeight="1">
      <c r="F919" s="26"/>
      <c r="G919" s="21"/>
      <c r="L919" s="27"/>
      <c r="M919" s="27"/>
      <c r="N919" s="27"/>
    </row>
    <row r="920" spans="6:14" ht="14.25" customHeight="1">
      <c r="F920" s="26"/>
      <c r="G920" s="21"/>
      <c r="L920" s="27"/>
      <c r="M920" s="27"/>
      <c r="N920" s="27"/>
    </row>
    <row r="921" spans="6:14" ht="14.25" customHeight="1">
      <c r="F921" s="26"/>
      <c r="G921" s="21"/>
      <c r="L921" s="27"/>
      <c r="M921" s="27"/>
      <c r="N921" s="27"/>
    </row>
    <row r="922" spans="6:14" ht="14.25" customHeight="1">
      <c r="F922" s="26"/>
      <c r="G922" s="21"/>
      <c r="L922" s="27"/>
      <c r="M922" s="27"/>
      <c r="N922" s="27"/>
    </row>
    <row r="923" spans="6:14" ht="14.25" customHeight="1">
      <c r="F923" s="26"/>
      <c r="G923" s="21"/>
      <c r="L923" s="27"/>
      <c r="M923" s="27"/>
      <c r="N923" s="27"/>
    </row>
    <row r="924" spans="6:14" ht="14.25" customHeight="1">
      <c r="F924" s="26"/>
      <c r="G924" s="21"/>
      <c r="L924" s="27"/>
      <c r="M924" s="27"/>
      <c r="N924" s="27"/>
    </row>
    <row r="925" spans="6:14" ht="14.25" customHeight="1">
      <c r="F925" s="26"/>
      <c r="G925" s="21"/>
      <c r="L925" s="27"/>
      <c r="M925" s="27"/>
      <c r="N925" s="27"/>
    </row>
    <row r="926" spans="6:14" ht="14.25" customHeight="1">
      <c r="F926" s="26"/>
      <c r="G926" s="21"/>
      <c r="L926" s="27"/>
      <c r="M926" s="27"/>
      <c r="N926" s="27"/>
    </row>
    <row r="927" spans="6:14" ht="14.25" customHeight="1">
      <c r="F927" s="26"/>
      <c r="G927" s="21"/>
      <c r="L927" s="27"/>
      <c r="M927" s="27"/>
      <c r="N927" s="27"/>
    </row>
    <row r="928" spans="6:14" ht="14.25" customHeight="1">
      <c r="F928" s="26"/>
      <c r="G928" s="21"/>
      <c r="L928" s="27"/>
      <c r="M928" s="27"/>
      <c r="N928" s="27"/>
    </row>
    <row r="929" spans="6:14" ht="14.25" customHeight="1">
      <c r="F929" s="26"/>
      <c r="G929" s="21"/>
      <c r="L929" s="27"/>
      <c r="M929" s="27"/>
      <c r="N929" s="27"/>
    </row>
    <row r="930" spans="6:14" ht="14.25" customHeight="1">
      <c r="F930" s="26"/>
      <c r="G930" s="21"/>
      <c r="L930" s="27"/>
      <c r="M930" s="27"/>
      <c r="N930" s="27"/>
    </row>
    <row r="931" spans="6:14" ht="14.25" customHeight="1">
      <c r="F931" s="26"/>
      <c r="G931" s="21"/>
      <c r="L931" s="27"/>
      <c r="M931" s="27"/>
      <c r="N931" s="27"/>
    </row>
    <row r="932" spans="6:14" ht="14.25" customHeight="1">
      <c r="F932" s="26"/>
      <c r="G932" s="21"/>
      <c r="L932" s="27"/>
      <c r="M932" s="27"/>
      <c r="N932" s="27"/>
    </row>
    <row r="933" spans="6:14" ht="14.25" customHeight="1">
      <c r="F933" s="26"/>
      <c r="G933" s="21"/>
      <c r="L933" s="27"/>
      <c r="M933" s="27"/>
      <c r="N933" s="27"/>
    </row>
    <row r="934" spans="6:14" ht="14.25" customHeight="1">
      <c r="F934" s="26"/>
      <c r="G934" s="21"/>
      <c r="L934" s="27"/>
      <c r="M934" s="27"/>
      <c r="N934" s="27"/>
    </row>
    <row r="935" spans="6:14" ht="14.25" customHeight="1">
      <c r="F935" s="26"/>
      <c r="G935" s="21"/>
      <c r="L935" s="27"/>
      <c r="M935" s="27"/>
      <c r="N935" s="27"/>
    </row>
    <row r="936" spans="6:14" ht="14.25" customHeight="1">
      <c r="F936" s="26"/>
      <c r="G936" s="21"/>
      <c r="L936" s="27"/>
      <c r="M936" s="27"/>
      <c r="N936" s="27"/>
    </row>
    <row r="937" spans="6:14" ht="14.25" customHeight="1">
      <c r="F937" s="26"/>
      <c r="G937" s="21"/>
      <c r="L937" s="27"/>
      <c r="M937" s="27"/>
      <c r="N937" s="27"/>
    </row>
    <row r="938" spans="6:14" ht="14.25" customHeight="1">
      <c r="F938" s="26"/>
      <c r="G938" s="21"/>
      <c r="L938" s="27"/>
      <c r="M938" s="27"/>
      <c r="N938" s="27"/>
    </row>
    <row r="939" spans="6:14" ht="14.25" customHeight="1">
      <c r="F939" s="26"/>
      <c r="G939" s="21"/>
      <c r="L939" s="27"/>
      <c r="M939" s="27"/>
      <c r="N939" s="27"/>
    </row>
    <row r="940" spans="6:14" ht="14.25" customHeight="1">
      <c r="F940" s="26"/>
      <c r="G940" s="21"/>
      <c r="L940" s="27"/>
      <c r="M940" s="27"/>
      <c r="N940" s="27"/>
    </row>
    <row r="941" spans="6:14" ht="14.25" customHeight="1">
      <c r="F941" s="26"/>
      <c r="G941" s="21"/>
      <c r="L941" s="27"/>
      <c r="M941" s="27"/>
      <c r="N941" s="27"/>
    </row>
    <row r="942" spans="6:14" ht="14.25" customHeight="1">
      <c r="F942" s="26"/>
      <c r="G942" s="21"/>
      <c r="L942" s="27"/>
      <c r="M942" s="27"/>
      <c r="N942" s="27"/>
    </row>
    <row r="943" spans="6:14" ht="14.25" customHeight="1">
      <c r="F943" s="26"/>
      <c r="G943" s="21"/>
      <c r="L943" s="27"/>
      <c r="M943" s="27"/>
      <c r="N943" s="27"/>
    </row>
    <row r="944" spans="6:14" ht="14.25" customHeight="1">
      <c r="F944" s="26"/>
      <c r="G944" s="21"/>
      <c r="L944" s="27"/>
      <c r="M944" s="27"/>
      <c r="N944" s="27"/>
    </row>
    <row r="945" spans="6:14" ht="14.25" customHeight="1">
      <c r="F945" s="26"/>
      <c r="G945" s="21"/>
      <c r="L945" s="27"/>
      <c r="M945" s="27"/>
      <c r="N945" s="27"/>
    </row>
    <row r="946" spans="6:14" ht="14.25" customHeight="1">
      <c r="F946" s="26"/>
      <c r="G946" s="21"/>
      <c r="L946" s="27"/>
      <c r="M946" s="27"/>
      <c r="N946" s="27"/>
    </row>
    <row r="947" spans="6:14" ht="14.25" customHeight="1">
      <c r="F947" s="26"/>
      <c r="G947" s="21"/>
      <c r="L947" s="27"/>
      <c r="M947" s="27"/>
      <c r="N947" s="27"/>
    </row>
    <row r="948" spans="6:14" ht="14.25" customHeight="1">
      <c r="F948" s="26"/>
      <c r="G948" s="21"/>
      <c r="L948" s="27"/>
      <c r="M948" s="27"/>
      <c r="N948" s="27"/>
    </row>
    <row r="949" spans="6:14" ht="14.25" customHeight="1">
      <c r="F949" s="26"/>
      <c r="G949" s="21"/>
      <c r="L949" s="27"/>
      <c r="M949" s="27"/>
      <c r="N949" s="27"/>
    </row>
    <row r="950" spans="6:14" ht="14.25" customHeight="1">
      <c r="F950" s="26"/>
      <c r="G950" s="21"/>
      <c r="L950" s="27"/>
      <c r="M950" s="27"/>
      <c r="N950" s="27"/>
    </row>
    <row r="951" spans="6:14" ht="14.25" customHeight="1">
      <c r="F951" s="26"/>
      <c r="G951" s="21"/>
      <c r="L951" s="27"/>
      <c r="M951" s="27"/>
      <c r="N951" s="27"/>
    </row>
    <row r="952" spans="6:14" ht="14.25" customHeight="1">
      <c r="F952" s="26"/>
      <c r="G952" s="21"/>
      <c r="L952" s="27"/>
      <c r="M952" s="27"/>
      <c r="N952" s="27"/>
    </row>
    <row r="953" spans="6:14" ht="14.25" customHeight="1">
      <c r="F953" s="26"/>
      <c r="G953" s="21"/>
      <c r="L953" s="27"/>
      <c r="M953" s="27"/>
      <c r="N953" s="27"/>
    </row>
    <row r="954" spans="6:14" ht="14.25" customHeight="1">
      <c r="F954" s="26"/>
      <c r="G954" s="21"/>
      <c r="L954" s="27"/>
      <c r="M954" s="27"/>
      <c r="N954" s="27"/>
    </row>
    <row r="955" spans="6:14" ht="14.25" customHeight="1">
      <c r="F955" s="26"/>
      <c r="G955" s="21"/>
      <c r="L955" s="27"/>
      <c r="M955" s="27"/>
      <c r="N955" s="27"/>
    </row>
    <row r="956" spans="6:14" ht="14.25" customHeight="1">
      <c r="F956" s="26"/>
      <c r="G956" s="21"/>
      <c r="L956" s="27"/>
      <c r="M956" s="27"/>
      <c r="N956" s="27"/>
    </row>
    <row r="957" spans="6:14" ht="14.25" customHeight="1">
      <c r="F957" s="26"/>
      <c r="G957" s="21"/>
      <c r="L957" s="27"/>
      <c r="M957" s="27"/>
      <c r="N957" s="27"/>
    </row>
    <row r="958" spans="6:14" ht="14.25" customHeight="1">
      <c r="F958" s="26"/>
      <c r="G958" s="21"/>
      <c r="L958" s="27"/>
      <c r="M958" s="27"/>
      <c r="N958" s="27"/>
    </row>
    <row r="959" spans="6:14" ht="14.25" customHeight="1">
      <c r="F959" s="26"/>
      <c r="G959" s="21"/>
      <c r="L959" s="27"/>
      <c r="M959" s="27"/>
      <c r="N959" s="27"/>
    </row>
    <row r="960" spans="6:14" ht="14.25" customHeight="1">
      <c r="F960" s="26"/>
      <c r="G960" s="21"/>
      <c r="L960" s="27"/>
      <c r="M960" s="27"/>
      <c r="N960" s="27"/>
    </row>
    <row r="961" spans="6:14" ht="14.25" customHeight="1">
      <c r="F961" s="26"/>
      <c r="G961" s="21"/>
      <c r="L961" s="27"/>
      <c r="M961" s="27"/>
      <c r="N961" s="27"/>
    </row>
    <row r="962" spans="6:14" ht="14.25" customHeight="1">
      <c r="F962" s="26"/>
      <c r="G962" s="21"/>
      <c r="L962" s="27"/>
      <c r="M962" s="27"/>
      <c r="N962" s="27"/>
    </row>
    <row r="963" spans="6:14" ht="14.25" customHeight="1">
      <c r="F963" s="26"/>
      <c r="G963" s="21"/>
      <c r="L963" s="27"/>
      <c r="M963" s="27"/>
      <c r="N963" s="27"/>
    </row>
    <row r="964" spans="6:14" ht="14.25" customHeight="1">
      <c r="F964" s="26"/>
      <c r="G964" s="21"/>
      <c r="L964" s="27"/>
      <c r="M964" s="27"/>
      <c r="N964" s="27"/>
    </row>
    <row r="965" spans="6:14" ht="14.25" customHeight="1">
      <c r="F965" s="26"/>
      <c r="G965" s="21"/>
      <c r="L965" s="27"/>
      <c r="M965" s="27"/>
      <c r="N965" s="27"/>
    </row>
    <row r="966" spans="6:14" ht="14.25" customHeight="1">
      <c r="F966" s="26"/>
      <c r="G966" s="21"/>
      <c r="L966" s="27"/>
      <c r="M966" s="27"/>
      <c r="N966" s="27"/>
    </row>
    <row r="967" spans="6:14" ht="14.25" customHeight="1">
      <c r="F967" s="26"/>
      <c r="G967" s="21"/>
      <c r="L967" s="27"/>
      <c r="M967" s="27"/>
      <c r="N967" s="27"/>
    </row>
    <row r="968" spans="6:14" ht="14.25" customHeight="1">
      <c r="F968" s="26"/>
      <c r="G968" s="21"/>
      <c r="L968" s="27"/>
      <c r="M968" s="27"/>
      <c r="N968" s="27"/>
    </row>
    <row r="969" spans="6:14" ht="14.25" customHeight="1">
      <c r="F969" s="26"/>
      <c r="G969" s="21"/>
      <c r="L969" s="27"/>
      <c r="M969" s="27"/>
      <c r="N969" s="27"/>
    </row>
    <row r="970" spans="6:14" ht="14.25" customHeight="1">
      <c r="F970" s="26"/>
      <c r="G970" s="21"/>
      <c r="L970" s="27"/>
      <c r="M970" s="27"/>
      <c r="N970" s="27"/>
    </row>
    <row r="971" spans="6:14" ht="14.25" customHeight="1">
      <c r="F971" s="26"/>
      <c r="G971" s="21"/>
      <c r="L971" s="27"/>
      <c r="M971" s="27"/>
      <c r="N971" s="27"/>
    </row>
    <row r="972" spans="6:14" ht="14.25" customHeight="1">
      <c r="F972" s="26"/>
      <c r="G972" s="21"/>
      <c r="L972" s="27"/>
      <c r="M972" s="27"/>
      <c r="N972" s="27"/>
    </row>
    <row r="973" spans="6:14" ht="14.25" customHeight="1">
      <c r="F973" s="26"/>
      <c r="G973" s="21"/>
      <c r="L973" s="27"/>
      <c r="M973" s="27"/>
      <c r="N973" s="27"/>
    </row>
    <row r="974" spans="6:14" ht="14.25" customHeight="1">
      <c r="F974" s="26"/>
      <c r="G974" s="21"/>
      <c r="L974" s="27"/>
      <c r="M974" s="27"/>
      <c r="N974" s="27"/>
    </row>
    <row r="975" spans="6:14" ht="14.25" customHeight="1">
      <c r="F975" s="26"/>
      <c r="G975" s="21"/>
      <c r="L975" s="27"/>
      <c r="M975" s="27"/>
      <c r="N975" s="27"/>
    </row>
    <row r="976" spans="6:14" ht="14.25" customHeight="1">
      <c r="F976" s="26"/>
      <c r="G976" s="21"/>
      <c r="L976" s="27"/>
      <c r="M976" s="27"/>
      <c r="N976" s="27"/>
    </row>
    <row r="977" spans="6:14" ht="14.25" customHeight="1">
      <c r="F977" s="26"/>
      <c r="G977" s="21"/>
      <c r="L977" s="27"/>
      <c r="M977" s="27"/>
      <c r="N977" s="27"/>
    </row>
    <row r="978" spans="6:14" ht="14.25" customHeight="1">
      <c r="F978" s="26"/>
      <c r="G978" s="21"/>
      <c r="L978" s="27"/>
      <c r="M978" s="27"/>
      <c r="N978" s="27"/>
    </row>
    <row r="979" spans="6:14" ht="14.25" customHeight="1">
      <c r="F979" s="26"/>
      <c r="G979" s="21"/>
      <c r="L979" s="27"/>
      <c r="M979" s="27"/>
      <c r="N979" s="27"/>
    </row>
    <row r="980" spans="6:14" ht="14.25" customHeight="1">
      <c r="F980" s="26"/>
      <c r="G980" s="21"/>
      <c r="L980" s="27"/>
      <c r="M980" s="27"/>
      <c r="N980" s="27"/>
    </row>
    <row r="981" spans="6:14" ht="14.25" customHeight="1">
      <c r="F981" s="26"/>
      <c r="G981" s="21"/>
      <c r="L981" s="27"/>
      <c r="M981" s="27"/>
      <c r="N981" s="27"/>
    </row>
    <row r="982" spans="6:14" ht="14.25" customHeight="1">
      <c r="F982" s="26"/>
      <c r="G982" s="21"/>
      <c r="L982" s="27"/>
      <c r="M982" s="27"/>
      <c r="N982" s="27"/>
    </row>
    <row r="983" spans="6:14" ht="14.25" customHeight="1">
      <c r="F983" s="26"/>
      <c r="G983" s="21"/>
      <c r="L983" s="27"/>
      <c r="M983" s="27"/>
      <c r="N983" s="27"/>
    </row>
    <row r="984" spans="6:14" ht="14.25" customHeight="1">
      <c r="F984" s="26"/>
      <c r="G984" s="21"/>
      <c r="L984" s="27"/>
      <c r="M984" s="27"/>
      <c r="N984" s="27"/>
    </row>
    <row r="985" spans="6:14" ht="14.25" customHeight="1">
      <c r="F985" s="26"/>
      <c r="G985" s="21"/>
      <c r="L985" s="27"/>
      <c r="M985" s="27"/>
      <c r="N985" s="27"/>
    </row>
    <row r="986" spans="6:14" ht="14.25" customHeight="1">
      <c r="F986" s="26"/>
      <c r="G986" s="21"/>
      <c r="L986" s="27"/>
      <c r="M986" s="27"/>
      <c r="N986" s="27"/>
    </row>
    <row r="987" spans="6:14" ht="14.25" customHeight="1">
      <c r="F987" s="26"/>
      <c r="G987" s="21"/>
      <c r="L987" s="27"/>
      <c r="M987" s="27"/>
      <c r="N987" s="27"/>
    </row>
    <row r="988" spans="6:14" ht="14.25" customHeight="1">
      <c r="F988" s="26"/>
      <c r="G988" s="21"/>
      <c r="L988" s="27"/>
      <c r="M988" s="27"/>
      <c r="N988" s="27"/>
    </row>
    <row r="989" spans="6:14" ht="14.25" customHeight="1">
      <c r="F989" s="26"/>
      <c r="G989" s="21"/>
      <c r="L989" s="27"/>
      <c r="M989" s="27"/>
      <c r="N989" s="27"/>
    </row>
    <row r="990" spans="6:14" ht="14.25" customHeight="1">
      <c r="F990" s="26"/>
      <c r="G990" s="21"/>
      <c r="L990" s="27"/>
      <c r="M990" s="27"/>
      <c r="N990" s="27"/>
    </row>
    <row r="991" spans="6:14" ht="14.25" customHeight="1">
      <c r="F991" s="26"/>
      <c r="G991" s="21"/>
      <c r="L991" s="27"/>
      <c r="M991" s="27"/>
      <c r="N991" s="27"/>
    </row>
    <row r="992" spans="6:14" ht="14.25" customHeight="1">
      <c r="F992" s="26"/>
      <c r="G992" s="21"/>
      <c r="L992" s="27"/>
      <c r="M992" s="27"/>
      <c r="N992" s="27"/>
    </row>
    <row r="993" spans="6:14" ht="14.25" customHeight="1">
      <c r="F993" s="26"/>
      <c r="G993" s="21"/>
      <c r="L993" s="27"/>
      <c r="M993" s="27"/>
      <c r="N993" s="27"/>
    </row>
    <row r="994" spans="6:14" ht="14.25" customHeight="1">
      <c r="F994" s="26"/>
      <c r="G994" s="21"/>
      <c r="L994" s="27"/>
      <c r="M994" s="27"/>
      <c r="N994" s="27"/>
    </row>
    <row r="995" spans="6:14" ht="14.25" customHeight="1">
      <c r="F995" s="26"/>
      <c r="G995" s="21"/>
      <c r="L995" s="27"/>
      <c r="M995" s="27"/>
      <c r="N995" s="27"/>
    </row>
    <row r="996" spans="6:14" ht="14.25" customHeight="1">
      <c r="F996" s="26"/>
      <c r="G996" s="21"/>
      <c r="L996" s="27"/>
      <c r="M996" s="27"/>
      <c r="N996" s="27"/>
    </row>
    <row r="997" spans="6:14" ht="14.25" customHeight="1">
      <c r="F997" s="26"/>
      <c r="G997" s="21"/>
      <c r="L997" s="27"/>
      <c r="M997" s="27"/>
      <c r="N997" s="27"/>
    </row>
    <row r="998" spans="6:14" ht="14.25" customHeight="1">
      <c r="F998" s="26"/>
      <c r="G998" s="21"/>
      <c r="L998" s="27"/>
      <c r="M998" s="27"/>
      <c r="N998" s="27"/>
    </row>
    <row r="999" spans="6:14" ht="14.25" customHeight="1">
      <c r="F999" s="26"/>
      <c r="G999" s="21"/>
      <c r="L999" s="27"/>
      <c r="M999" s="27"/>
      <c r="N999" s="27"/>
    </row>
    <row r="1000" spans="6:14" ht="14.25" customHeight="1">
      <c r="F1000" s="26"/>
      <c r="G1000" s="21"/>
      <c r="L1000" s="27"/>
      <c r="M1000" s="27"/>
      <c r="N1000" s="27"/>
    </row>
  </sheetData>
  <autoFilter ref="A2:N102" xr:uid="{00000000-0009-0000-0000-000000000000}"/>
  <mergeCells count="1">
    <mergeCell ref="L1:N1"/>
  </mergeCells>
  <pageMargins left="0.75" right="0.75" top="1" bottom="1"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3984375" defaultRowHeight="15" customHeight="1"/>
  <cols>
    <col min="1" max="1" width="10" customWidth="1"/>
    <col min="2" max="2" width="38" customWidth="1"/>
    <col min="3" max="8" width="16" customWidth="1"/>
    <col min="9" max="9" width="10" customWidth="1"/>
    <col min="10" max="26" width="8.73046875" customWidth="1"/>
  </cols>
  <sheetData>
    <row r="1" spans="1:17" ht="30" customHeight="1">
      <c r="A1" s="52" t="s">
        <v>306</v>
      </c>
      <c r="B1" s="53"/>
      <c r="C1" s="53"/>
      <c r="D1" s="53"/>
      <c r="E1" s="53"/>
      <c r="F1" s="53"/>
      <c r="G1" s="53"/>
      <c r="H1" s="53"/>
      <c r="I1" s="54"/>
    </row>
    <row r="2" spans="1:17" ht="45.75" customHeight="1">
      <c r="A2" s="28" t="s">
        <v>4</v>
      </c>
      <c r="B2" s="28" t="s">
        <v>6</v>
      </c>
      <c r="C2" s="28" t="s">
        <v>21</v>
      </c>
      <c r="D2" s="28" t="s">
        <v>44</v>
      </c>
      <c r="E2" s="28" t="s">
        <v>108</v>
      </c>
      <c r="F2" s="28" t="s">
        <v>142</v>
      </c>
      <c r="G2" s="28" t="s">
        <v>194</v>
      </c>
      <c r="H2" s="28" t="s">
        <v>224</v>
      </c>
      <c r="I2" s="28" t="str">
        <f>'Coded Passages'!H80</f>
        <v>Apertura 142 (2024)</v>
      </c>
      <c r="J2" s="28" t="str">
        <f>'Coded Passages'!H84</f>
        <v>Apertura 143 (2025)</v>
      </c>
      <c r="K2" s="28" t="str">
        <f>'Coded Passages'!H90</f>
        <v>Apertura 144 (2026)</v>
      </c>
      <c r="L2" s="29" t="s">
        <v>307</v>
      </c>
      <c r="O2" s="30" t="s">
        <v>4</v>
      </c>
      <c r="P2" s="30" t="s">
        <v>308</v>
      </c>
    </row>
    <row r="3" spans="1:17" ht="21.75" customHeight="1">
      <c r="A3" s="31" t="s">
        <v>25</v>
      </c>
      <c r="B3" s="32" t="s">
        <v>27</v>
      </c>
      <c r="C3" s="33">
        <f>COUNTIFS('Coded Passages'!$B:$B,$A3,'Coded Passages'!$H:$H,C$2)</f>
        <v>1</v>
      </c>
      <c r="D3" s="33">
        <f>COUNTIFS('Coded Passages'!$B:$B,$A3,'Coded Passages'!$H:$H,D$2)</f>
        <v>13</v>
      </c>
      <c r="E3" s="33">
        <f>COUNTIFS('Coded Passages'!$B:$B,$A3,'Coded Passages'!$H:$H,E$2)</f>
        <v>8</v>
      </c>
      <c r="F3" s="33">
        <f>COUNTIFS('Coded Passages'!$B:$B,$A3,'Coded Passages'!$H:$H,F$2)</f>
        <v>7</v>
      </c>
      <c r="G3" s="33">
        <f>COUNTIFS('Coded Passages'!$B:$B,$A3,'Coded Passages'!$H:$H,G$2)</f>
        <v>8</v>
      </c>
      <c r="H3" s="33">
        <f>COUNTIFS('Coded Passages'!$B:$B,$A3,'Coded Passages'!$H:$H,H$2)</f>
        <v>5</v>
      </c>
      <c r="I3" s="33">
        <f>COUNTIFS('Coded Passages'!$B:$B,$A3,'Coded Passages'!$H:$H,I$2)</f>
        <v>3</v>
      </c>
      <c r="J3" s="33">
        <f>COUNTIFS('Coded Passages'!$B:$B,$A3,'Coded Passages'!$H:$H,J$2)</f>
        <v>7</v>
      </c>
      <c r="K3" s="33">
        <f>COUNTIFS('Coded Passages'!$B:$B,$A3,'Coded Passages'!$H:$H,K$2)</f>
        <v>7</v>
      </c>
      <c r="L3" s="34">
        <f t="shared" ref="L3:L6" si="0">SUM(C3:K3)</f>
        <v>59</v>
      </c>
      <c r="O3" s="12" t="s">
        <v>25</v>
      </c>
      <c r="P3" s="12">
        <f t="shared" ref="P3:P6" si="1">L3</f>
        <v>59</v>
      </c>
      <c r="Q3" s="35">
        <f t="shared" ref="Q3:Q6" si="2">P3/$P$8</f>
        <v>0.59</v>
      </c>
    </row>
    <row r="4" spans="1:17" ht="21.75" customHeight="1">
      <c r="A4" s="36" t="s">
        <v>16</v>
      </c>
      <c r="B4" s="37" t="s">
        <v>18</v>
      </c>
      <c r="C4" s="38">
        <f>COUNTIFS('Coded Passages'!$B:$B,$A4,'Coded Passages'!$H:$H,C$2)</f>
        <v>2</v>
      </c>
      <c r="D4" s="38">
        <f>COUNTIFS('Coded Passages'!$B:$B,$A4,'Coded Passages'!$H:$H,D$2)</f>
        <v>3</v>
      </c>
      <c r="E4" s="38">
        <f>COUNTIFS('Coded Passages'!$B:$B,$A4,'Coded Passages'!$H:$H,E$2)</f>
        <v>1</v>
      </c>
      <c r="F4" s="38">
        <f>COUNTIFS('Coded Passages'!$B:$B,$A4,'Coded Passages'!$H:$H,F$2)</f>
        <v>5</v>
      </c>
      <c r="G4" s="38">
        <f>COUNTIFS('Coded Passages'!$B:$B,$A4,'Coded Passages'!$H:$H,G$2)</f>
        <v>2</v>
      </c>
      <c r="H4" s="38">
        <f>COUNTIFS('Coded Passages'!$B:$B,$A4,'Coded Passages'!$H:$H,H$2)</f>
        <v>0</v>
      </c>
      <c r="I4" s="33">
        <f>COUNTIFS('Coded Passages'!$B:$B,$A4,'Coded Passages'!$H:$H,I$2)</f>
        <v>1</v>
      </c>
      <c r="J4" s="33">
        <f>COUNTIFS('Coded Passages'!$B:$B,$A4,'Coded Passages'!$H:$H,J$2)</f>
        <v>0</v>
      </c>
      <c r="K4" s="33">
        <f>COUNTIFS('Coded Passages'!$B:$B,$A4,'Coded Passages'!$H:$H,K$2)</f>
        <v>0</v>
      </c>
      <c r="L4" s="34">
        <f t="shared" si="0"/>
        <v>14</v>
      </c>
      <c r="O4" s="12" t="s">
        <v>16</v>
      </c>
      <c r="P4" s="12">
        <f t="shared" si="1"/>
        <v>14</v>
      </c>
      <c r="Q4" s="35">
        <f t="shared" si="2"/>
        <v>0.14000000000000001</v>
      </c>
    </row>
    <row r="5" spans="1:17" ht="21.75" customHeight="1">
      <c r="A5" s="39" t="s">
        <v>39</v>
      </c>
      <c r="B5" s="40" t="s">
        <v>41</v>
      </c>
      <c r="C5" s="41">
        <f>COUNTIFS('Coded Passages'!$B:$B,$A5,'Coded Passages'!$H:$H,C$2)</f>
        <v>0</v>
      </c>
      <c r="D5" s="41">
        <f>COUNTIFS('Coded Passages'!$B:$B,$A5,'Coded Passages'!$H:$H,D$2)</f>
        <v>3</v>
      </c>
      <c r="E5" s="41">
        <f>COUNTIFS('Coded Passages'!$B:$B,$A5,'Coded Passages'!$H:$H,E$2)</f>
        <v>4</v>
      </c>
      <c r="F5" s="41">
        <f>COUNTIFS('Coded Passages'!$B:$B,$A5,'Coded Passages'!$H:$H,F$2)</f>
        <v>7</v>
      </c>
      <c r="G5" s="41">
        <f>COUNTIFS('Coded Passages'!$B:$B,$A5,'Coded Passages'!$H:$H,G$2)</f>
        <v>1</v>
      </c>
      <c r="H5" s="41">
        <f>COUNTIFS('Coded Passages'!$B:$B,$A5,'Coded Passages'!$H:$H,H$2)</f>
        <v>2</v>
      </c>
      <c r="I5" s="33">
        <f>COUNTIFS('Coded Passages'!$B:$B,$A5,'Coded Passages'!$H:$H,I$2)</f>
        <v>0</v>
      </c>
      <c r="J5" s="33">
        <f>COUNTIFS('Coded Passages'!$B:$B,$A5,'Coded Passages'!$H:$H,J$2)</f>
        <v>1</v>
      </c>
      <c r="K5" s="33">
        <f>COUNTIFS('Coded Passages'!$B:$B,$A5,'Coded Passages'!$H:$H,K$2)</f>
        <v>3</v>
      </c>
      <c r="L5" s="34">
        <f t="shared" si="0"/>
        <v>21</v>
      </c>
      <c r="O5" s="12" t="s">
        <v>39</v>
      </c>
      <c r="P5" s="12">
        <f t="shared" si="1"/>
        <v>21</v>
      </c>
      <c r="Q5" s="35">
        <f t="shared" si="2"/>
        <v>0.21</v>
      </c>
    </row>
    <row r="6" spans="1:17" ht="21.75" customHeight="1">
      <c r="A6" s="42" t="s">
        <v>33</v>
      </c>
      <c r="B6" s="43" t="s">
        <v>35</v>
      </c>
      <c r="C6" s="44">
        <f>COUNTIFS('Coded Passages'!$B:$B,$A6,'Coded Passages'!$H:$H,C$2)</f>
        <v>1</v>
      </c>
      <c r="D6" s="44">
        <f>COUNTIFS('Coded Passages'!$B:$B,$A6,'Coded Passages'!$H:$H,D$2)</f>
        <v>1</v>
      </c>
      <c r="E6" s="44">
        <f>COUNTIFS('Coded Passages'!$B:$B,$A6,'Coded Passages'!$H:$H,E$2)</f>
        <v>0</v>
      </c>
      <c r="F6" s="44">
        <f>COUNTIFS('Coded Passages'!$B:$B,$A6,'Coded Passages'!$H:$H,F$2)</f>
        <v>1</v>
      </c>
      <c r="G6" s="44">
        <f>COUNTIFS('Coded Passages'!$B:$B,$A6,'Coded Passages'!$H:$H,G$2)</f>
        <v>2</v>
      </c>
      <c r="H6" s="44">
        <f>COUNTIFS('Coded Passages'!$B:$B,$A6,'Coded Passages'!$H:$H,H$2)</f>
        <v>0</v>
      </c>
      <c r="I6" s="33">
        <f>COUNTIFS('Coded Passages'!$B:$B,$A6,'Coded Passages'!$H:$H,I$2)</f>
        <v>0</v>
      </c>
      <c r="J6" s="33">
        <f>COUNTIFS('Coded Passages'!$B:$B,$A6,'Coded Passages'!$H:$H,J$2)</f>
        <v>0</v>
      </c>
      <c r="K6" s="33">
        <f>COUNTIFS('Coded Passages'!$B:$B,$A6,'Coded Passages'!$H:$H,K$2)</f>
        <v>1</v>
      </c>
      <c r="L6" s="34">
        <f t="shared" si="0"/>
        <v>6</v>
      </c>
      <c r="O6" s="12" t="s">
        <v>33</v>
      </c>
      <c r="P6" s="12">
        <f t="shared" si="1"/>
        <v>6</v>
      </c>
      <c r="Q6" s="35">
        <f t="shared" si="2"/>
        <v>0.06</v>
      </c>
    </row>
    <row r="7" spans="1:17" ht="21.75" customHeight="1">
      <c r="A7" s="29" t="s">
        <v>307</v>
      </c>
      <c r="B7" s="45" t="s">
        <v>309</v>
      </c>
      <c r="C7" s="29">
        <f t="shared" ref="C7:L7" si="3">SUM(C3:C6)</f>
        <v>4</v>
      </c>
      <c r="D7" s="29">
        <f t="shared" si="3"/>
        <v>20</v>
      </c>
      <c r="E7" s="29">
        <f t="shared" si="3"/>
        <v>13</v>
      </c>
      <c r="F7" s="29">
        <f t="shared" si="3"/>
        <v>20</v>
      </c>
      <c r="G7" s="29">
        <f t="shared" si="3"/>
        <v>13</v>
      </c>
      <c r="H7" s="29">
        <f t="shared" si="3"/>
        <v>7</v>
      </c>
      <c r="I7" s="29">
        <f t="shared" si="3"/>
        <v>4</v>
      </c>
      <c r="J7" s="29">
        <f t="shared" si="3"/>
        <v>8</v>
      </c>
      <c r="K7" s="29">
        <f t="shared" si="3"/>
        <v>11</v>
      </c>
      <c r="L7" s="46">
        <f t="shared" si="3"/>
        <v>100</v>
      </c>
    </row>
    <row r="8" spans="1:17" ht="21.75" customHeight="1">
      <c r="O8" s="12" t="s">
        <v>310</v>
      </c>
      <c r="P8" s="12">
        <f>SUM(P3:P6)</f>
        <v>100</v>
      </c>
    </row>
    <row r="9" spans="1:17" ht="21.75" customHeight="1"/>
    <row r="10" spans="1:17" ht="14.25" customHeight="1"/>
    <row r="11" spans="1:17" ht="14.25" customHeight="1"/>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conditionalFormatting sqref="C3:H8">
    <cfRule type="colorScale" priority="1">
      <colorScale>
        <cfvo type="formula" val="0"/>
        <cfvo type="max"/>
        <color rgb="FFFFFFFF"/>
        <color rgb="FF2563EB"/>
      </colorScale>
    </cfRule>
  </conditionalFormatting>
  <conditionalFormatting sqref="I7">
    <cfRule type="colorScale" priority="3">
      <colorScale>
        <cfvo type="formula" val="0"/>
        <cfvo type="max"/>
        <color rgb="FFFFFFFF"/>
        <color rgb="FF2563EB"/>
      </colorScale>
    </cfRule>
  </conditionalFormatting>
  <conditionalFormatting sqref="I3:K6">
    <cfRule type="colorScale" priority="2">
      <colorScale>
        <cfvo type="formula" val="0"/>
        <cfvo type="max"/>
        <color rgb="FFFFFFFF"/>
        <color rgb="FF2563EB"/>
      </colorScale>
    </cfRule>
  </conditionalFormatting>
  <conditionalFormatting sqref="J7">
    <cfRule type="colorScale" priority="4">
      <colorScale>
        <cfvo type="formula" val="0"/>
        <cfvo type="max"/>
        <color rgb="FFFFFFFF"/>
        <color rgb="FF2563EB"/>
      </colorScale>
    </cfRule>
  </conditionalFormatting>
  <conditionalFormatting sqref="K7">
    <cfRule type="colorScale" priority="5">
      <colorScale>
        <cfvo type="formula" val="0"/>
        <cfvo type="max"/>
        <color rgb="FFFFFFFF"/>
        <color rgb="FF2563EB"/>
      </colorScale>
    </cfRule>
  </conditionalFormatting>
  <pageMargins left="0.75" right="0.75" top="1" bottom="1"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0"/>
  <sheetViews>
    <sheetView workbookViewId="0">
      <pane xSplit="2" ySplit="2" topLeftCell="I3" activePane="bottomRight" state="frozen"/>
      <selection pane="topRight" activeCell="C1" sqref="C1"/>
      <selection pane="bottomLeft" activeCell="A3" sqref="A3"/>
      <selection pane="bottomRight" activeCell="B10" sqref="B10:B14"/>
    </sheetView>
  </sheetViews>
  <sheetFormatPr defaultColWidth="14.3984375" defaultRowHeight="15" customHeight="1"/>
  <cols>
    <col min="1" max="1" width="10" customWidth="1"/>
    <col min="2" max="2" width="32" customWidth="1"/>
    <col min="3" max="11" width="16" customWidth="1"/>
    <col min="12" max="12" width="10" customWidth="1"/>
    <col min="13" max="26" width="8.73046875" customWidth="1"/>
  </cols>
  <sheetData>
    <row r="1" spans="1:15" ht="30" customHeight="1">
      <c r="A1" s="52" t="s">
        <v>311</v>
      </c>
      <c r="B1" s="53"/>
      <c r="C1" s="53"/>
      <c r="D1" s="53"/>
      <c r="E1" s="53"/>
      <c r="F1" s="53"/>
      <c r="G1" s="53"/>
      <c r="H1" s="53"/>
      <c r="I1" s="53"/>
      <c r="J1" s="53"/>
      <c r="K1" s="53"/>
      <c r="L1" s="54"/>
    </row>
    <row r="2" spans="1:15" ht="45.75" customHeight="1">
      <c r="A2" s="47" t="s">
        <v>312</v>
      </c>
      <c r="B2" s="48" t="s">
        <v>313</v>
      </c>
      <c r="C2" s="28" t="s">
        <v>21</v>
      </c>
      <c r="D2" s="28" t="s">
        <v>44</v>
      </c>
      <c r="E2" s="28" t="s">
        <v>108</v>
      </c>
      <c r="F2" s="28" t="s">
        <v>142</v>
      </c>
      <c r="G2" s="28" t="s">
        <v>194</v>
      </c>
      <c r="H2" s="28" t="s">
        <v>224</v>
      </c>
      <c r="I2" s="28" t="str">
        <f>'Coded Passages'!H80</f>
        <v>Apertura 142 (2024)</v>
      </c>
      <c r="J2" s="28" t="str">
        <f>'Coded Passages'!H84</f>
        <v>Apertura 143 (2025)</v>
      </c>
      <c r="K2" s="28" t="str">
        <f>'Coded Passages'!H90</f>
        <v>Apertura 144 (2026)</v>
      </c>
      <c r="L2" s="29" t="s">
        <v>307</v>
      </c>
      <c r="N2" s="30" t="s">
        <v>313</v>
      </c>
      <c r="O2" s="30" t="s">
        <v>308</v>
      </c>
    </row>
    <row r="3" spans="1:15" ht="21.75" customHeight="1">
      <c r="A3" s="31" t="s">
        <v>25</v>
      </c>
      <c r="B3" s="32" t="s">
        <v>49</v>
      </c>
      <c r="C3" s="49">
        <f>COUNTIFS('Coded Passages'!$B:$B,$A3,'Coded Passages'!$C:$C,$B3,'Coded Passages'!$H:$H,C$2)</f>
        <v>0</v>
      </c>
      <c r="D3" s="49">
        <f>COUNTIFS('Coded Passages'!$B:$B,$A3,'Coded Passages'!$C:$C,$B3,'Coded Passages'!$H:$H,D$2)</f>
        <v>2</v>
      </c>
      <c r="E3" s="49">
        <f>COUNTIFS('Coded Passages'!$B:$B,$A3,'Coded Passages'!$C:$C,$B3,'Coded Passages'!$H:$H,E$2)</f>
        <v>0</v>
      </c>
      <c r="F3" s="49">
        <f>COUNTIFS('Coded Passages'!$B:$B,$A3,'Coded Passages'!$C:$C,$B3,'Coded Passages'!$H:$H,F$2)</f>
        <v>0</v>
      </c>
      <c r="G3" s="49">
        <f>COUNTIFS('Coded Passages'!$B:$B,$A3,'Coded Passages'!$C:$C,$B3,'Coded Passages'!$H:$H,G$2)</f>
        <v>0</v>
      </c>
      <c r="H3" s="49">
        <f>COUNTIFS('Coded Passages'!$B:$B,$A3,'Coded Passages'!$C:$C,$B3,'Coded Passages'!$H:$H,H$2)</f>
        <v>0</v>
      </c>
      <c r="I3" s="49">
        <f>COUNTIFS('Coded Passages'!$B:$B,$A3,'Coded Passages'!$C:$C,$B3,'Coded Passages'!$H:$H,I$2)</f>
        <v>1</v>
      </c>
      <c r="J3" s="49">
        <f>COUNTIFS('Coded Passages'!$B:$B,$A3,'Coded Passages'!$C:$C,$B3,'Coded Passages'!$H:$H,J$2)</f>
        <v>1</v>
      </c>
      <c r="K3" s="49">
        <f>COUNTIFS('Coded Passages'!$B:$B,$A3,'Coded Passages'!$C:$C,$B3,'Coded Passages'!$H:$H,K$2)</f>
        <v>1</v>
      </c>
      <c r="L3" s="34">
        <f t="shared" ref="L3:L20" si="0">SUM(C3:K3)</f>
        <v>5</v>
      </c>
      <c r="N3" s="12" t="s">
        <v>314</v>
      </c>
      <c r="O3" s="12">
        <f t="shared" ref="O3:O20" si="1">L3</f>
        <v>5</v>
      </c>
    </row>
    <row r="4" spans="1:15" ht="21.75" customHeight="1">
      <c r="A4" s="31" t="s">
        <v>25</v>
      </c>
      <c r="B4" s="32" t="s">
        <v>79</v>
      </c>
      <c r="C4" s="49">
        <f>COUNTIFS('Coded Passages'!$B:$B,$A4,'Coded Passages'!$C:$C,$B4,'Coded Passages'!$H:$H,C$2)</f>
        <v>0</v>
      </c>
      <c r="D4" s="49">
        <f>COUNTIFS('Coded Passages'!$B:$B,$A4,'Coded Passages'!$C:$C,$B4,'Coded Passages'!$H:$H,D$2)</f>
        <v>1</v>
      </c>
      <c r="E4" s="49">
        <f>COUNTIFS('Coded Passages'!$B:$B,$A4,'Coded Passages'!$C:$C,$B4,'Coded Passages'!$H:$H,E$2)</f>
        <v>0</v>
      </c>
      <c r="F4" s="49">
        <f>COUNTIFS('Coded Passages'!$B:$B,$A4,'Coded Passages'!$C:$C,$B4,'Coded Passages'!$H:$H,F$2)</f>
        <v>0</v>
      </c>
      <c r="G4" s="49">
        <f>COUNTIFS('Coded Passages'!$B:$B,$A4,'Coded Passages'!$C:$C,$B4,'Coded Passages'!$H:$H,G$2)</f>
        <v>2</v>
      </c>
      <c r="H4" s="49">
        <f>COUNTIFS('Coded Passages'!$B:$B,$A4,'Coded Passages'!$C:$C,$B4,'Coded Passages'!$H:$H,H$2)</f>
        <v>0</v>
      </c>
      <c r="I4" s="49">
        <f>COUNTIFS('Coded Passages'!$B:$B,$A4,'Coded Passages'!$C:$C,$B4,'Coded Passages'!$H:$H,I$2)</f>
        <v>0</v>
      </c>
      <c r="J4" s="49">
        <f>COUNTIFS('Coded Passages'!$B:$B,$A4,'Coded Passages'!$C:$C,$B4,'Coded Passages'!$H:$H,J$2)</f>
        <v>2</v>
      </c>
      <c r="K4" s="49">
        <f>COUNTIFS('Coded Passages'!$B:$B,$A4,'Coded Passages'!$C:$C,$B4,'Coded Passages'!$H:$H,K$2)</f>
        <v>1</v>
      </c>
      <c r="L4" s="34">
        <f t="shared" si="0"/>
        <v>6</v>
      </c>
      <c r="N4" s="12" t="s">
        <v>315</v>
      </c>
      <c r="O4" s="12">
        <f t="shared" si="1"/>
        <v>6</v>
      </c>
    </row>
    <row r="5" spans="1:15" ht="21.75" customHeight="1">
      <c r="A5" s="31" t="s">
        <v>25</v>
      </c>
      <c r="B5" s="32" t="s">
        <v>66</v>
      </c>
      <c r="C5" s="49">
        <f>COUNTIFS('Coded Passages'!$B:$B,$A5,'Coded Passages'!$C:$C,$B5,'Coded Passages'!$H:$H,C$2)</f>
        <v>0</v>
      </c>
      <c r="D5" s="49">
        <f>COUNTIFS('Coded Passages'!$B:$B,$A5,'Coded Passages'!$C:$C,$B5,'Coded Passages'!$H:$H,D$2)</f>
        <v>4</v>
      </c>
      <c r="E5" s="49">
        <f>COUNTIFS('Coded Passages'!$B:$B,$A5,'Coded Passages'!$C:$C,$B5,'Coded Passages'!$H:$H,E$2)</f>
        <v>0</v>
      </c>
      <c r="F5" s="49">
        <f>COUNTIFS('Coded Passages'!$B:$B,$A5,'Coded Passages'!$C:$C,$B5,'Coded Passages'!$H:$H,F$2)</f>
        <v>1</v>
      </c>
      <c r="G5" s="49">
        <f>COUNTIFS('Coded Passages'!$B:$B,$A5,'Coded Passages'!$C:$C,$B5,'Coded Passages'!$H:$H,G$2)</f>
        <v>0</v>
      </c>
      <c r="H5" s="49">
        <f>COUNTIFS('Coded Passages'!$B:$B,$A5,'Coded Passages'!$C:$C,$B5,'Coded Passages'!$H:$H,H$2)</f>
        <v>2</v>
      </c>
      <c r="I5" s="49">
        <f>COUNTIFS('Coded Passages'!$B:$B,$A5,'Coded Passages'!$C:$C,$B5,'Coded Passages'!$H:$H,I$2)</f>
        <v>1</v>
      </c>
      <c r="J5" s="49">
        <f>COUNTIFS('Coded Passages'!$B:$B,$A5,'Coded Passages'!$C:$C,$B5,'Coded Passages'!$H:$H,J$2)</f>
        <v>0</v>
      </c>
      <c r="K5" s="49">
        <f>COUNTIFS('Coded Passages'!$B:$B,$A5,'Coded Passages'!$C:$C,$B5,'Coded Passages'!$H:$H,K$2)</f>
        <v>1</v>
      </c>
      <c r="L5" s="34">
        <f t="shared" si="0"/>
        <v>9</v>
      </c>
      <c r="N5" s="12" t="s">
        <v>316</v>
      </c>
      <c r="O5" s="12">
        <f t="shared" si="1"/>
        <v>9</v>
      </c>
    </row>
    <row r="6" spans="1:15" ht="21.75" customHeight="1">
      <c r="A6" s="31" t="s">
        <v>25</v>
      </c>
      <c r="B6" s="32" t="s">
        <v>70</v>
      </c>
      <c r="C6" s="49">
        <f>COUNTIFS('Coded Passages'!$B:$B,$A6,'Coded Passages'!$C:$C,$B6,'Coded Passages'!$H:$H,C$2)</f>
        <v>0</v>
      </c>
      <c r="D6" s="49">
        <f>COUNTIFS('Coded Passages'!$B:$B,$A6,'Coded Passages'!$C:$C,$B6,'Coded Passages'!$H:$H,D$2)</f>
        <v>2</v>
      </c>
      <c r="E6" s="49">
        <f>COUNTIFS('Coded Passages'!$B:$B,$A6,'Coded Passages'!$C:$C,$B6,'Coded Passages'!$H:$H,E$2)</f>
        <v>0</v>
      </c>
      <c r="F6" s="49">
        <f>COUNTIFS('Coded Passages'!$B:$B,$A6,'Coded Passages'!$C:$C,$B6,'Coded Passages'!$H:$H,F$2)</f>
        <v>1</v>
      </c>
      <c r="G6" s="49">
        <f>COUNTIFS('Coded Passages'!$B:$B,$A6,'Coded Passages'!$C:$C,$B6,'Coded Passages'!$H:$H,G$2)</f>
        <v>1</v>
      </c>
      <c r="H6" s="49">
        <f>COUNTIFS('Coded Passages'!$B:$B,$A6,'Coded Passages'!$C:$C,$B6,'Coded Passages'!$H:$H,H$2)</f>
        <v>2</v>
      </c>
      <c r="I6" s="49">
        <f>COUNTIFS('Coded Passages'!$B:$B,$A6,'Coded Passages'!$C:$C,$B6,'Coded Passages'!$H:$H,I$2)</f>
        <v>1</v>
      </c>
      <c r="J6" s="49">
        <f>COUNTIFS('Coded Passages'!$B:$B,$A6,'Coded Passages'!$C:$C,$B6,'Coded Passages'!$H:$H,J$2)</f>
        <v>2</v>
      </c>
      <c r="K6" s="49">
        <f>COUNTIFS('Coded Passages'!$B:$B,$A6,'Coded Passages'!$C:$C,$B6,'Coded Passages'!$H:$H,K$2)</f>
        <v>1</v>
      </c>
      <c r="L6" s="34">
        <f t="shared" si="0"/>
        <v>10</v>
      </c>
      <c r="N6" s="12" t="s">
        <v>317</v>
      </c>
      <c r="O6" s="12">
        <f t="shared" si="1"/>
        <v>10</v>
      </c>
    </row>
    <row r="7" spans="1:15" ht="21.75" customHeight="1">
      <c r="A7" s="31" t="s">
        <v>25</v>
      </c>
      <c r="B7" s="32" t="s">
        <v>51</v>
      </c>
      <c r="C7" s="49">
        <f>COUNTIFS('Coded Passages'!$B:$B,$A7,'Coded Passages'!$C:$C,$B7,'Coded Passages'!$H:$H,C$2)</f>
        <v>0</v>
      </c>
      <c r="D7" s="49">
        <f>COUNTIFS('Coded Passages'!$B:$B,$A7,'Coded Passages'!$C:$C,$B7,'Coded Passages'!$H:$H,D$2)</f>
        <v>3</v>
      </c>
      <c r="E7" s="49">
        <f>COUNTIFS('Coded Passages'!$B:$B,$A7,'Coded Passages'!$C:$C,$B7,'Coded Passages'!$H:$H,E$2)</f>
        <v>0</v>
      </c>
      <c r="F7" s="49">
        <f>COUNTIFS('Coded Passages'!$B:$B,$A7,'Coded Passages'!$C:$C,$B7,'Coded Passages'!$H:$H,F$2)</f>
        <v>1</v>
      </c>
      <c r="G7" s="49">
        <f>COUNTIFS('Coded Passages'!$B:$B,$A7,'Coded Passages'!$C:$C,$B7,'Coded Passages'!$H:$H,G$2)</f>
        <v>0</v>
      </c>
      <c r="H7" s="49">
        <f>COUNTIFS('Coded Passages'!$B:$B,$A7,'Coded Passages'!$C:$C,$B7,'Coded Passages'!$H:$H,H$2)</f>
        <v>1</v>
      </c>
      <c r="I7" s="49">
        <f>COUNTIFS('Coded Passages'!$B:$B,$A7,'Coded Passages'!$C:$C,$B7,'Coded Passages'!$H:$H,I$2)</f>
        <v>0</v>
      </c>
      <c r="J7" s="49">
        <f>COUNTIFS('Coded Passages'!$B:$B,$A7,'Coded Passages'!$C:$C,$B7,'Coded Passages'!$H:$H,J$2)</f>
        <v>1</v>
      </c>
      <c r="K7" s="49">
        <f>COUNTIFS('Coded Passages'!$B:$B,$A7,'Coded Passages'!$C:$C,$B7,'Coded Passages'!$H:$H,K$2)</f>
        <v>1</v>
      </c>
      <c r="L7" s="34">
        <f t="shared" si="0"/>
        <v>7</v>
      </c>
      <c r="N7" s="12" t="s">
        <v>318</v>
      </c>
      <c r="O7" s="12">
        <f t="shared" si="1"/>
        <v>7</v>
      </c>
    </row>
    <row r="8" spans="1:15" ht="21.75" customHeight="1">
      <c r="A8" s="31" t="s">
        <v>25</v>
      </c>
      <c r="B8" s="32" t="s">
        <v>96</v>
      </c>
      <c r="C8" s="49">
        <f>COUNTIFS('Coded Passages'!$B:$B,$A8,'Coded Passages'!$C:$C,$B8,'Coded Passages'!$H:$H,C$2)</f>
        <v>0</v>
      </c>
      <c r="D8" s="49">
        <f>COUNTIFS('Coded Passages'!$B:$B,$A8,'Coded Passages'!$C:$C,$B8,'Coded Passages'!$H:$H,D$2)</f>
        <v>1</v>
      </c>
      <c r="E8" s="49">
        <f>COUNTIFS('Coded Passages'!$B:$B,$A8,'Coded Passages'!$C:$C,$B8,'Coded Passages'!$H:$H,E$2)</f>
        <v>5</v>
      </c>
      <c r="F8" s="49">
        <f>COUNTIFS('Coded Passages'!$B:$B,$A8,'Coded Passages'!$C:$C,$B8,'Coded Passages'!$H:$H,F$2)</f>
        <v>3</v>
      </c>
      <c r="G8" s="49">
        <f>COUNTIFS('Coded Passages'!$B:$B,$A8,'Coded Passages'!$C:$C,$B8,'Coded Passages'!$H:$H,G$2)</f>
        <v>4</v>
      </c>
      <c r="H8" s="49">
        <f>COUNTIFS('Coded Passages'!$B:$B,$A8,'Coded Passages'!$C:$C,$B8,'Coded Passages'!$H:$H,H$2)</f>
        <v>0</v>
      </c>
      <c r="I8" s="49">
        <f>COUNTIFS('Coded Passages'!$B:$B,$A8,'Coded Passages'!$C:$C,$B8,'Coded Passages'!$H:$H,I$2)</f>
        <v>0</v>
      </c>
      <c r="J8" s="49">
        <f>COUNTIFS('Coded Passages'!$B:$B,$A8,'Coded Passages'!$C:$C,$B8,'Coded Passages'!$H:$H,J$2)</f>
        <v>1</v>
      </c>
      <c r="K8" s="49">
        <f>COUNTIFS('Coded Passages'!$B:$B,$A8,'Coded Passages'!$C:$C,$B8,'Coded Passages'!$H:$H,K$2)</f>
        <v>1</v>
      </c>
      <c r="L8" s="34">
        <f t="shared" si="0"/>
        <v>15</v>
      </c>
      <c r="N8" s="12" t="s">
        <v>319</v>
      </c>
      <c r="O8" s="12">
        <f t="shared" si="1"/>
        <v>15</v>
      </c>
    </row>
    <row r="9" spans="1:15" ht="21.75" customHeight="1">
      <c r="A9" s="31" t="s">
        <v>25</v>
      </c>
      <c r="B9" s="56" t="s">
        <v>26</v>
      </c>
      <c r="C9" s="49">
        <f>COUNTIFS('Coded Passages'!$B:$B,$A9,'Coded Passages'!$C:$C,$B9,'Coded Passages'!$H:$H,C$2)</f>
        <v>1</v>
      </c>
      <c r="D9" s="49">
        <f>COUNTIFS('Coded Passages'!$B:$B,$A9,'Coded Passages'!$C:$C,$B9,'Coded Passages'!$H:$H,D$2)</f>
        <v>0</v>
      </c>
      <c r="E9" s="49">
        <f>COUNTIFS('Coded Passages'!$B:$B,$A9,'Coded Passages'!$C:$C,$B9,'Coded Passages'!$H:$H,E$2)</f>
        <v>3</v>
      </c>
      <c r="F9" s="49">
        <f>COUNTIFS('Coded Passages'!$B:$B,$A9,'Coded Passages'!$C:$C,$B9,'Coded Passages'!$H:$H,F$2)</f>
        <v>1</v>
      </c>
      <c r="G9" s="49">
        <f>COUNTIFS('Coded Passages'!$B:$B,$A9,'Coded Passages'!$C:$C,$B9,'Coded Passages'!$H:$H,G$2)</f>
        <v>1</v>
      </c>
      <c r="H9" s="49">
        <f>COUNTIFS('Coded Passages'!$B:$B,$A9,'Coded Passages'!$C:$C,$B9,'Coded Passages'!$H:$H,H$2)</f>
        <v>0</v>
      </c>
      <c r="I9" s="49">
        <f>COUNTIFS('Coded Passages'!$B:$B,$A9,'Coded Passages'!$C:$C,$B9,'Coded Passages'!$H:$H,I$2)</f>
        <v>0</v>
      </c>
      <c r="J9" s="49">
        <f>COUNTIFS('Coded Passages'!$B:$B,$A9,'Coded Passages'!$C:$C,$B9,'Coded Passages'!$H:$H,J$2)</f>
        <v>0</v>
      </c>
      <c r="K9" s="49">
        <f>COUNTIFS('Coded Passages'!$B:$B,$A9,'Coded Passages'!$C:$C,$B9,'Coded Passages'!$H:$H,K$2)</f>
        <v>1</v>
      </c>
      <c r="L9" s="34">
        <f t="shared" si="0"/>
        <v>7</v>
      </c>
      <c r="N9" s="12" t="s">
        <v>320</v>
      </c>
      <c r="O9" s="12">
        <f t="shared" si="1"/>
        <v>7</v>
      </c>
    </row>
    <row r="10" spans="1:15" ht="21.75" customHeight="1">
      <c r="A10" s="36" t="s">
        <v>16</v>
      </c>
      <c r="B10" s="37" t="s">
        <v>29</v>
      </c>
      <c r="C10" s="49">
        <f>COUNTIFS('Coded Passages'!$B:$B,$A10,'Coded Passages'!$C:$C,$B10,'Coded Passages'!$H:$H,C$2)</f>
        <v>1</v>
      </c>
      <c r="D10" s="49">
        <f>COUNTIFS('Coded Passages'!$B:$B,$A10,'Coded Passages'!$C:$C,$B10,'Coded Passages'!$H:$H,D$2)</f>
        <v>1</v>
      </c>
      <c r="E10" s="49">
        <f>COUNTIFS('Coded Passages'!$B:$B,$A10,'Coded Passages'!$C:$C,$B10,'Coded Passages'!$H:$H,E$2)</f>
        <v>1</v>
      </c>
      <c r="F10" s="49">
        <f>COUNTIFS('Coded Passages'!$B:$B,$A10,'Coded Passages'!$C:$C,$B10,'Coded Passages'!$H:$H,F$2)</f>
        <v>0</v>
      </c>
      <c r="G10" s="49">
        <f>COUNTIFS('Coded Passages'!$B:$B,$A10,'Coded Passages'!$C:$C,$B10,'Coded Passages'!$H:$H,G$2)</f>
        <v>2</v>
      </c>
      <c r="H10" s="49">
        <f>COUNTIFS('Coded Passages'!$B:$B,$A10,'Coded Passages'!$C:$C,$B10,'Coded Passages'!$H:$H,H$2)</f>
        <v>0</v>
      </c>
      <c r="I10" s="49">
        <f>COUNTIFS('Coded Passages'!$B:$B,$A10,'Coded Passages'!$C:$C,$B10,'Coded Passages'!$H:$H,I$2)</f>
        <v>0</v>
      </c>
      <c r="J10" s="49">
        <f>COUNTIFS('Coded Passages'!$B:$B,$A10,'Coded Passages'!$C:$C,$B10,'Coded Passages'!$H:$H,J$2)</f>
        <v>0</v>
      </c>
      <c r="K10" s="49">
        <f>COUNTIFS('Coded Passages'!$B:$B,$A10,'Coded Passages'!$C:$C,$B10,'Coded Passages'!$H:$H,K$2)</f>
        <v>0</v>
      </c>
      <c r="L10" s="34">
        <f t="shared" si="0"/>
        <v>5</v>
      </c>
      <c r="N10" s="12" t="s">
        <v>321</v>
      </c>
      <c r="O10" s="12">
        <f t="shared" si="1"/>
        <v>5</v>
      </c>
    </row>
    <row r="11" spans="1:15" ht="21.75" customHeight="1">
      <c r="A11" s="36" t="s">
        <v>16</v>
      </c>
      <c r="B11" s="37" t="s">
        <v>145</v>
      </c>
      <c r="C11" s="49">
        <f>COUNTIFS('Coded Passages'!$B:$B,$A11,'Coded Passages'!$C:$C,$B11,'Coded Passages'!$H:$H,C$2)</f>
        <v>0</v>
      </c>
      <c r="D11" s="49">
        <f>COUNTIFS('Coded Passages'!$B:$B,$A11,'Coded Passages'!$C:$C,$B11,'Coded Passages'!$H:$H,D$2)</f>
        <v>0</v>
      </c>
      <c r="E11" s="49">
        <f>COUNTIFS('Coded Passages'!$B:$B,$A11,'Coded Passages'!$C:$C,$B11,'Coded Passages'!$H:$H,E$2)</f>
        <v>0</v>
      </c>
      <c r="F11" s="49">
        <f>COUNTIFS('Coded Passages'!$B:$B,$A11,'Coded Passages'!$C:$C,$B11,'Coded Passages'!$H:$H,F$2)</f>
        <v>2</v>
      </c>
      <c r="G11" s="49">
        <f>COUNTIFS('Coded Passages'!$B:$B,$A11,'Coded Passages'!$C:$C,$B11,'Coded Passages'!$H:$H,G$2)</f>
        <v>0</v>
      </c>
      <c r="H11" s="49">
        <f>COUNTIFS('Coded Passages'!$B:$B,$A11,'Coded Passages'!$C:$C,$B11,'Coded Passages'!$H:$H,H$2)</f>
        <v>0</v>
      </c>
      <c r="I11" s="49">
        <f>COUNTIFS('Coded Passages'!$B:$B,$A11,'Coded Passages'!$C:$C,$B11,'Coded Passages'!$H:$H,I$2)</f>
        <v>1</v>
      </c>
      <c r="J11" s="49">
        <f>COUNTIFS('Coded Passages'!$B:$B,$A11,'Coded Passages'!$C:$C,$B11,'Coded Passages'!$H:$H,J$2)</f>
        <v>0</v>
      </c>
      <c r="K11" s="49">
        <f>COUNTIFS('Coded Passages'!$B:$B,$A11,'Coded Passages'!$C:$C,$B11,'Coded Passages'!$H:$H,K$2)</f>
        <v>0</v>
      </c>
      <c r="L11" s="34">
        <f t="shared" si="0"/>
        <v>3</v>
      </c>
      <c r="N11" s="12" t="s">
        <v>322</v>
      </c>
      <c r="O11" s="12">
        <f t="shared" si="1"/>
        <v>3</v>
      </c>
    </row>
    <row r="12" spans="1:15" ht="21.75" customHeight="1">
      <c r="A12" s="36" t="s">
        <v>16</v>
      </c>
      <c r="B12" s="37" t="s">
        <v>17</v>
      </c>
      <c r="C12" s="49">
        <f>COUNTIFS('Coded Passages'!$B:$B,$A12,'Coded Passages'!$C:$C,$B12,'Coded Passages'!$H:$H,C$2)</f>
        <v>1</v>
      </c>
      <c r="D12" s="49">
        <f>COUNTIFS('Coded Passages'!$B:$B,$A12,'Coded Passages'!$C:$C,$B12,'Coded Passages'!$H:$H,D$2)</f>
        <v>0</v>
      </c>
      <c r="E12" s="49">
        <f>COUNTIFS('Coded Passages'!$B:$B,$A12,'Coded Passages'!$C:$C,$B12,'Coded Passages'!$H:$H,E$2)</f>
        <v>0</v>
      </c>
      <c r="F12" s="49">
        <f>COUNTIFS('Coded Passages'!$B:$B,$A12,'Coded Passages'!$C:$C,$B12,'Coded Passages'!$H:$H,F$2)</f>
        <v>1</v>
      </c>
      <c r="G12" s="49">
        <f>COUNTIFS('Coded Passages'!$B:$B,$A12,'Coded Passages'!$C:$C,$B12,'Coded Passages'!$H:$H,G$2)</f>
        <v>0</v>
      </c>
      <c r="H12" s="49">
        <f>COUNTIFS('Coded Passages'!$B:$B,$A12,'Coded Passages'!$C:$C,$B12,'Coded Passages'!$H:$H,H$2)</f>
        <v>0</v>
      </c>
      <c r="I12" s="49">
        <f>COUNTIFS('Coded Passages'!$B:$B,$A12,'Coded Passages'!$C:$C,$B12,'Coded Passages'!$H:$H,I$2)</f>
        <v>0</v>
      </c>
      <c r="J12" s="49">
        <f>COUNTIFS('Coded Passages'!$B:$B,$A12,'Coded Passages'!$C:$C,$B12,'Coded Passages'!$H:$H,J$2)</f>
        <v>0</v>
      </c>
      <c r="K12" s="49">
        <f>COUNTIFS('Coded Passages'!$B:$B,$A12,'Coded Passages'!$C:$C,$B12,'Coded Passages'!$H:$H,K$2)</f>
        <v>0</v>
      </c>
      <c r="L12" s="34">
        <f t="shared" si="0"/>
        <v>2</v>
      </c>
      <c r="N12" s="12" t="s">
        <v>323</v>
      </c>
      <c r="O12" s="12">
        <f t="shared" si="1"/>
        <v>2</v>
      </c>
    </row>
    <row r="13" spans="1:15" ht="21.75" customHeight="1">
      <c r="A13" s="36" t="s">
        <v>16</v>
      </c>
      <c r="B13" s="37" t="s">
        <v>61</v>
      </c>
      <c r="C13" s="49">
        <f>COUNTIFS('Coded Passages'!$B:$B,$A13,'Coded Passages'!$C:$C,$B13,'Coded Passages'!$H:$H,C$2)</f>
        <v>0</v>
      </c>
      <c r="D13" s="49">
        <f>COUNTIFS('Coded Passages'!$B:$B,$A13,'Coded Passages'!$C:$C,$B13,'Coded Passages'!$H:$H,D$2)</f>
        <v>2</v>
      </c>
      <c r="E13" s="49">
        <f>COUNTIFS('Coded Passages'!$B:$B,$A13,'Coded Passages'!$C:$C,$B13,'Coded Passages'!$H:$H,E$2)</f>
        <v>0</v>
      </c>
      <c r="F13" s="49">
        <f>COUNTIFS('Coded Passages'!$B:$B,$A13,'Coded Passages'!$C:$C,$B13,'Coded Passages'!$H:$H,F$2)</f>
        <v>1</v>
      </c>
      <c r="G13" s="49">
        <f>COUNTIFS('Coded Passages'!$B:$B,$A13,'Coded Passages'!$C:$C,$B13,'Coded Passages'!$H:$H,G$2)</f>
        <v>0</v>
      </c>
      <c r="H13" s="49">
        <f>COUNTIFS('Coded Passages'!$B:$B,$A13,'Coded Passages'!$C:$C,$B13,'Coded Passages'!$H:$H,H$2)</f>
        <v>0</v>
      </c>
      <c r="I13" s="49">
        <f>COUNTIFS('Coded Passages'!$B:$B,$A13,'Coded Passages'!$C:$C,$B13,'Coded Passages'!$H:$H,I$2)</f>
        <v>0</v>
      </c>
      <c r="J13" s="49">
        <f>COUNTIFS('Coded Passages'!$B:$B,$A13,'Coded Passages'!$C:$C,$B13,'Coded Passages'!$H:$H,J$2)</f>
        <v>0</v>
      </c>
      <c r="K13" s="49">
        <f>COUNTIFS('Coded Passages'!$B:$B,$A13,'Coded Passages'!$C:$C,$B13,'Coded Passages'!$H:$H,K$2)</f>
        <v>0</v>
      </c>
      <c r="L13" s="34">
        <f t="shared" si="0"/>
        <v>3</v>
      </c>
      <c r="N13" s="12" t="s">
        <v>324</v>
      </c>
      <c r="O13" s="12">
        <f t="shared" si="1"/>
        <v>3</v>
      </c>
    </row>
    <row r="14" spans="1:15" ht="21.75" customHeight="1">
      <c r="A14" s="36" t="s">
        <v>16</v>
      </c>
      <c r="B14" s="37" t="s">
        <v>149</v>
      </c>
      <c r="C14" s="49">
        <f>COUNTIFS('Coded Passages'!$B:$B,$A14,'Coded Passages'!$C:$C,$B14,'Coded Passages'!$H:$H,C$2)</f>
        <v>0</v>
      </c>
      <c r="D14" s="49">
        <f>COUNTIFS('Coded Passages'!$B:$B,$A14,'Coded Passages'!$C:$C,$B14,'Coded Passages'!$H:$H,D$2)</f>
        <v>0</v>
      </c>
      <c r="E14" s="49">
        <f>COUNTIFS('Coded Passages'!$B:$B,$A14,'Coded Passages'!$C:$C,$B14,'Coded Passages'!$H:$H,E$2)</f>
        <v>0</v>
      </c>
      <c r="F14" s="49">
        <f>COUNTIFS('Coded Passages'!$B:$B,$A14,'Coded Passages'!$C:$C,$B14,'Coded Passages'!$H:$H,F$2)</f>
        <v>1</v>
      </c>
      <c r="G14" s="49">
        <f>COUNTIFS('Coded Passages'!$B:$B,$A14,'Coded Passages'!$C:$C,$B14,'Coded Passages'!$H:$H,G$2)</f>
        <v>0</v>
      </c>
      <c r="H14" s="49">
        <f>COUNTIFS('Coded Passages'!$B:$B,$A14,'Coded Passages'!$C:$C,$B14,'Coded Passages'!$H:$H,H$2)</f>
        <v>0</v>
      </c>
      <c r="I14" s="49">
        <f>COUNTIFS('Coded Passages'!$B:$B,$A14,'Coded Passages'!$C:$C,$B14,'Coded Passages'!$H:$H,I$2)</f>
        <v>0</v>
      </c>
      <c r="J14" s="49">
        <f>COUNTIFS('Coded Passages'!$B:$B,$A14,'Coded Passages'!$C:$C,$B14,'Coded Passages'!$H:$H,J$2)</f>
        <v>0</v>
      </c>
      <c r="K14" s="49">
        <f>COUNTIFS('Coded Passages'!$B:$B,$A14,'Coded Passages'!$C:$C,$B14,'Coded Passages'!$H:$H,K$2)</f>
        <v>0</v>
      </c>
      <c r="L14" s="34">
        <f t="shared" si="0"/>
        <v>1</v>
      </c>
      <c r="N14" s="12" t="s">
        <v>325</v>
      </c>
      <c r="O14" s="12">
        <f t="shared" si="1"/>
        <v>1</v>
      </c>
    </row>
    <row r="15" spans="1:15" ht="21.75" customHeight="1">
      <c r="A15" s="39" t="s">
        <v>39</v>
      </c>
      <c r="B15" s="40" t="s">
        <v>40</v>
      </c>
      <c r="C15" s="49">
        <f>COUNTIFS('Coded Passages'!$B:$B,$A15,'Coded Passages'!$C:$C,$B15,'Coded Passages'!$H:$H,C$2)</f>
        <v>0</v>
      </c>
      <c r="D15" s="49">
        <f>COUNTIFS('Coded Passages'!$B:$B,$A15,'Coded Passages'!$C:$C,$B15,'Coded Passages'!$H:$H,D$2)</f>
        <v>1</v>
      </c>
      <c r="E15" s="49">
        <f>COUNTIFS('Coded Passages'!$B:$B,$A15,'Coded Passages'!$C:$C,$B15,'Coded Passages'!$H:$H,E$2)</f>
        <v>2</v>
      </c>
      <c r="F15" s="49">
        <f>COUNTIFS('Coded Passages'!$B:$B,$A15,'Coded Passages'!$C:$C,$B15,'Coded Passages'!$H:$H,F$2)</f>
        <v>1</v>
      </c>
      <c r="G15" s="49">
        <f>COUNTIFS('Coded Passages'!$B:$B,$A15,'Coded Passages'!$C:$C,$B15,'Coded Passages'!$H:$H,G$2)</f>
        <v>1</v>
      </c>
      <c r="H15" s="49">
        <f>COUNTIFS('Coded Passages'!$B:$B,$A15,'Coded Passages'!$C:$C,$B15,'Coded Passages'!$H:$H,H$2)</f>
        <v>2</v>
      </c>
      <c r="I15" s="49">
        <f>COUNTIFS('Coded Passages'!$B:$B,$A15,'Coded Passages'!$C:$C,$B15,'Coded Passages'!$H:$H,I$2)</f>
        <v>0</v>
      </c>
      <c r="J15" s="49">
        <f>COUNTIFS('Coded Passages'!$B:$B,$A15,'Coded Passages'!$C:$C,$B15,'Coded Passages'!$H:$H,J$2)</f>
        <v>0</v>
      </c>
      <c r="K15" s="49">
        <f>COUNTIFS('Coded Passages'!$B:$B,$A15,'Coded Passages'!$C:$C,$B15,'Coded Passages'!$H:$H,K$2)</f>
        <v>2</v>
      </c>
      <c r="L15" s="34">
        <f t="shared" si="0"/>
        <v>9</v>
      </c>
      <c r="N15" s="12" t="s">
        <v>326</v>
      </c>
      <c r="O15" s="12">
        <f t="shared" si="1"/>
        <v>9</v>
      </c>
    </row>
    <row r="16" spans="1:15" ht="21.75" customHeight="1">
      <c r="A16" s="39" t="s">
        <v>39</v>
      </c>
      <c r="B16" s="40" t="s">
        <v>85</v>
      </c>
      <c r="C16" s="49">
        <f>COUNTIFS('Coded Passages'!$B:$B,$A16,'Coded Passages'!$C:$C,$B16,'Coded Passages'!$H:$H,C$2)</f>
        <v>0</v>
      </c>
      <c r="D16" s="49">
        <f>COUNTIFS('Coded Passages'!$B:$B,$A16,'Coded Passages'!$C:$C,$B16,'Coded Passages'!$H:$H,D$2)</f>
        <v>1</v>
      </c>
      <c r="E16" s="49">
        <f>COUNTIFS('Coded Passages'!$B:$B,$A16,'Coded Passages'!$C:$C,$B16,'Coded Passages'!$H:$H,E$2)</f>
        <v>0</v>
      </c>
      <c r="F16" s="49">
        <f>COUNTIFS('Coded Passages'!$B:$B,$A16,'Coded Passages'!$C:$C,$B16,'Coded Passages'!$H:$H,F$2)</f>
        <v>4</v>
      </c>
      <c r="G16" s="49">
        <f>COUNTIFS('Coded Passages'!$B:$B,$A16,'Coded Passages'!$C:$C,$B16,'Coded Passages'!$H:$H,G$2)</f>
        <v>0</v>
      </c>
      <c r="H16" s="49">
        <f>COUNTIFS('Coded Passages'!$B:$B,$A16,'Coded Passages'!$C:$C,$B16,'Coded Passages'!$H:$H,H$2)</f>
        <v>0</v>
      </c>
      <c r="I16" s="49">
        <f>COUNTIFS('Coded Passages'!$B:$B,$A16,'Coded Passages'!$C:$C,$B16,'Coded Passages'!$H:$H,I$2)</f>
        <v>0</v>
      </c>
      <c r="J16" s="49">
        <f>COUNTIFS('Coded Passages'!$B:$B,$A16,'Coded Passages'!$C:$C,$B16,'Coded Passages'!$H:$H,J$2)</f>
        <v>0</v>
      </c>
      <c r="K16" s="49">
        <f>COUNTIFS('Coded Passages'!$B:$B,$A16,'Coded Passages'!$C:$C,$B16,'Coded Passages'!$H:$H,K$2)</f>
        <v>1</v>
      </c>
      <c r="L16" s="34">
        <f t="shared" si="0"/>
        <v>6</v>
      </c>
      <c r="N16" s="12" t="s">
        <v>327</v>
      </c>
      <c r="O16" s="12">
        <f t="shared" si="1"/>
        <v>6</v>
      </c>
    </row>
    <row r="17" spans="1:15" ht="21.75" customHeight="1">
      <c r="A17" s="39" t="s">
        <v>39</v>
      </c>
      <c r="B17" s="40" t="s">
        <v>90</v>
      </c>
      <c r="C17" s="49">
        <f>COUNTIFS('Coded Passages'!$B:$B,$A17,'Coded Passages'!$C:$C,$B17,'Coded Passages'!$H:$H,C$2)</f>
        <v>0</v>
      </c>
      <c r="D17" s="49">
        <f>COUNTIFS('Coded Passages'!$B:$B,$A17,'Coded Passages'!$C:$C,$B17,'Coded Passages'!$H:$H,D$2)</f>
        <v>1</v>
      </c>
      <c r="E17" s="49">
        <f>COUNTIFS('Coded Passages'!$B:$B,$A17,'Coded Passages'!$C:$C,$B17,'Coded Passages'!$H:$H,E$2)</f>
        <v>2</v>
      </c>
      <c r="F17" s="49">
        <f>COUNTIFS('Coded Passages'!$B:$B,$A17,'Coded Passages'!$C:$C,$B17,'Coded Passages'!$H:$H,F$2)</f>
        <v>2</v>
      </c>
      <c r="G17" s="49">
        <f>COUNTIFS('Coded Passages'!$B:$B,$A17,'Coded Passages'!$C:$C,$B17,'Coded Passages'!$H:$H,G$2)</f>
        <v>0</v>
      </c>
      <c r="H17" s="49">
        <f>COUNTIFS('Coded Passages'!$B:$B,$A17,'Coded Passages'!$C:$C,$B17,'Coded Passages'!$H:$H,H$2)</f>
        <v>0</v>
      </c>
      <c r="I17" s="49">
        <f>COUNTIFS('Coded Passages'!$B:$B,$A17,'Coded Passages'!$C:$C,$B17,'Coded Passages'!$H:$H,I$2)</f>
        <v>0</v>
      </c>
      <c r="J17" s="49">
        <f>COUNTIFS('Coded Passages'!$B:$B,$A17,'Coded Passages'!$C:$C,$B17,'Coded Passages'!$H:$H,J$2)</f>
        <v>1</v>
      </c>
      <c r="K17" s="49">
        <f>COUNTIFS('Coded Passages'!$B:$B,$A17,'Coded Passages'!$C:$C,$B17,'Coded Passages'!$H:$H,K$2)</f>
        <v>0</v>
      </c>
      <c r="L17" s="34">
        <f t="shared" si="0"/>
        <v>6</v>
      </c>
      <c r="N17" s="12" t="s">
        <v>328</v>
      </c>
      <c r="O17" s="12">
        <f t="shared" si="1"/>
        <v>6</v>
      </c>
    </row>
    <row r="18" spans="1:15" ht="21.75" customHeight="1">
      <c r="A18" s="42" t="s">
        <v>33</v>
      </c>
      <c r="B18" s="43" t="s">
        <v>34</v>
      </c>
      <c r="C18" s="49">
        <f>COUNTIFS('Coded Passages'!$B:$B,$A18,'Coded Passages'!$C:$C,$B18,'Coded Passages'!$H:$H,C$2)</f>
        <v>1</v>
      </c>
      <c r="D18" s="49">
        <f>COUNTIFS('Coded Passages'!$B:$B,$A18,'Coded Passages'!$C:$C,$B18,'Coded Passages'!$H:$H,D$2)</f>
        <v>0</v>
      </c>
      <c r="E18" s="49">
        <f>COUNTIFS('Coded Passages'!$B:$B,$A18,'Coded Passages'!$C:$C,$B18,'Coded Passages'!$H:$H,E$2)</f>
        <v>0</v>
      </c>
      <c r="F18" s="49">
        <f>COUNTIFS('Coded Passages'!$B:$B,$A18,'Coded Passages'!$C:$C,$B18,'Coded Passages'!$H:$H,F$2)</f>
        <v>0</v>
      </c>
      <c r="G18" s="49">
        <f>COUNTIFS('Coded Passages'!$B:$B,$A18,'Coded Passages'!$C:$C,$B18,'Coded Passages'!$H:$H,G$2)</f>
        <v>0</v>
      </c>
      <c r="H18" s="49">
        <f>COUNTIFS('Coded Passages'!$B:$B,$A18,'Coded Passages'!$C:$C,$B18,'Coded Passages'!$H:$H,H$2)</f>
        <v>0</v>
      </c>
      <c r="I18" s="49">
        <f>COUNTIFS('Coded Passages'!$B:$B,$A18,'Coded Passages'!$C:$C,$B18,'Coded Passages'!$H:$H,I$2)</f>
        <v>0</v>
      </c>
      <c r="J18" s="49">
        <f>COUNTIFS('Coded Passages'!$B:$B,$A18,'Coded Passages'!$C:$C,$B18,'Coded Passages'!$H:$H,J$2)</f>
        <v>0</v>
      </c>
      <c r="K18" s="49">
        <f>COUNTIFS('Coded Passages'!$B:$B,$A18,'Coded Passages'!$C:$C,$B18,'Coded Passages'!$H:$H,K$2)</f>
        <v>0</v>
      </c>
      <c r="L18" s="34">
        <f t="shared" si="0"/>
        <v>1</v>
      </c>
      <c r="N18" s="12" t="s">
        <v>329</v>
      </c>
      <c r="O18" s="12">
        <f t="shared" si="1"/>
        <v>1</v>
      </c>
    </row>
    <row r="19" spans="1:15" ht="21.75" customHeight="1">
      <c r="A19" s="42" t="s">
        <v>33</v>
      </c>
      <c r="B19" s="43" t="s">
        <v>54</v>
      </c>
      <c r="C19" s="49">
        <f>COUNTIFS('Coded Passages'!$B:$B,$A19,'Coded Passages'!$C:$C,$B19,'Coded Passages'!$H:$H,C$2)</f>
        <v>0</v>
      </c>
      <c r="D19" s="49">
        <f>COUNTIFS('Coded Passages'!$B:$B,$A19,'Coded Passages'!$C:$C,$B19,'Coded Passages'!$H:$H,D$2)</f>
        <v>1</v>
      </c>
      <c r="E19" s="49">
        <f>COUNTIFS('Coded Passages'!$B:$B,$A19,'Coded Passages'!$C:$C,$B19,'Coded Passages'!$H:$H,E$2)</f>
        <v>0</v>
      </c>
      <c r="F19" s="49">
        <f>COUNTIFS('Coded Passages'!$B:$B,$A19,'Coded Passages'!$C:$C,$B19,'Coded Passages'!$H:$H,F$2)</f>
        <v>1</v>
      </c>
      <c r="G19" s="49">
        <f>COUNTIFS('Coded Passages'!$B:$B,$A19,'Coded Passages'!$C:$C,$B19,'Coded Passages'!$H:$H,G$2)</f>
        <v>0</v>
      </c>
      <c r="H19" s="49">
        <f>COUNTIFS('Coded Passages'!$B:$B,$A19,'Coded Passages'!$C:$C,$B19,'Coded Passages'!$H:$H,H$2)</f>
        <v>0</v>
      </c>
      <c r="I19" s="49">
        <f>COUNTIFS('Coded Passages'!$B:$B,$A19,'Coded Passages'!$C:$C,$B19,'Coded Passages'!$H:$H,I$2)</f>
        <v>0</v>
      </c>
      <c r="J19" s="49">
        <f>COUNTIFS('Coded Passages'!$B:$B,$A19,'Coded Passages'!$C:$C,$B19,'Coded Passages'!$H:$H,J$2)</f>
        <v>0</v>
      </c>
      <c r="K19" s="49">
        <f>COUNTIFS('Coded Passages'!$B:$B,$A19,'Coded Passages'!$C:$C,$B19,'Coded Passages'!$H:$H,K$2)</f>
        <v>0</v>
      </c>
      <c r="L19" s="34">
        <f t="shared" si="0"/>
        <v>2</v>
      </c>
      <c r="N19" s="12" t="s">
        <v>330</v>
      </c>
      <c r="O19" s="12">
        <f t="shared" si="1"/>
        <v>2</v>
      </c>
    </row>
    <row r="20" spans="1:15" ht="21.75" customHeight="1">
      <c r="A20" s="42" t="s">
        <v>33</v>
      </c>
      <c r="B20" s="43" t="s">
        <v>199</v>
      </c>
      <c r="C20" s="49">
        <f>COUNTIFS('Coded Passages'!$B:$B,$A20,'Coded Passages'!$C:$C,$B20,'Coded Passages'!$H:$H,C$2)</f>
        <v>0</v>
      </c>
      <c r="D20" s="49">
        <f>COUNTIFS('Coded Passages'!$B:$B,$A20,'Coded Passages'!$C:$C,$B20,'Coded Passages'!$H:$H,D$2)</f>
        <v>0</v>
      </c>
      <c r="E20" s="49">
        <f>COUNTIFS('Coded Passages'!$B:$B,$A20,'Coded Passages'!$C:$C,$B20,'Coded Passages'!$H:$H,E$2)</f>
        <v>0</v>
      </c>
      <c r="F20" s="49">
        <f>COUNTIFS('Coded Passages'!$B:$B,$A20,'Coded Passages'!$C:$C,$B20,'Coded Passages'!$H:$H,F$2)</f>
        <v>0</v>
      </c>
      <c r="G20" s="49">
        <f>COUNTIFS('Coded Passages'!$B:$B,$A20,'Coded Passages'!$C:$C,$B20,'Coded Passages'!$H:$H,G$2)</f>
        <v>2</v>
      </c>
      <c r="H20" s="49">
        <f>COUNTIFS('Coded Passages'!$B:$B,$A20,'Coded Passages'!$C:$C,$B20,'Coded Passages'!$H:$H,H$2)</f>
        <v>0</v>
      </c>
      <c r="I20" s="49">
        <f>COUNTIFS('Coded Passages'!$B:$B,$A20,'Coded Passages'!$C:$C,$B20,'Coded Passages'!$H:$H,I$2)</f>
        <v>0</v>
      </c>
      <c r="J20" s="49">
        <f>COUNTIFS('Coded Passages'!$B:$B,$A20,'Coded Passages'!$C:$C,$B20,'Coded Passages'!$H:$H,J$2)</f>
        <v>0</v>
      </c>
      <c r="K20" s="49">
        <f>COUNTIFS('Coded Passages'!$B:$B,$A20,'Coded Passages'!$C:$C,$B20,'Coded Passages'!$H:$H,K$2)</f>
        <v>1</v>
      </c>
      <c r="L20" s="34">
        <f t="shared" si="0"/>
        <v>3</v>
      </c>
      <c r="N20" s="12" t="s">
        <v>331</v>
      </c>
      <c r="O20" s="12">
        <f t="shared" si="1"/>
        <v>3</v>
      </c>
    </row>
    <row r="21" spans="1:15" ht="21.75" customHeight="1">
      <c r="A21" s="29" t="s">
        <v>307</v>
      </c>
      <c r="B21" s="45" t="s">
        <v>332</v>
      </c>
      <c r="C21" s="29">
        <f t="shared" ref="C21:L21" si="2">SUM(C3:C20)</f>
        <v>4</v>
      </c>
      <c r="D21" s="29">
        <f t="shared" si="2"/>
        <v>20</v>
      </c>
      <c r="E21" s="29">
        <f t="shared" si="2"/>
        <v>13</v>
      </c>
      <c r="F21" s="29">
        <f t="shared" si="2"/>
        <v>20</v>
      </c>
      <c r="G21" s="29">
        <f t="shared" si="2"/>
        <v>13</v>
      </c>
      <c r="H21" s="29">
        <f t="shared" si="2"/>
        <v>7</v>
      </c>
      <c r="I21" s="29">
        <f t="shared" si="2"/>
        <v>4</v>
      </c>
      <c r="J21" s="29">
        <f t="shared" si="2"/>
        <v>8</v>
      </c>
      <c r="K21" s="29">
        <f t="shared" si="2"/>
        <v>11</v>
      </c>
      <c r="L21" s="46">
        <f t="shared" si="2"/>
        <v>100</v>
      </c>
    </row>
    <row r="22" spans="1:15" ht="21.75" customHeight="1"/>
    <row r="23" spans="1:15" ht="21.75" customHeight="1"/>
    <row r="24" spans="1:15" ht="14.25" customHeight="1"/>
    <row r="25" spans="1:15" ht="14.25" customHeight="1"/>
    <row r="26" spans="1:15" ht="14.25" customHeight="1"/>
    <row r="27" spans="1:15" ht="14.25" customHeight="1"/>
    <row r="28" spans="1:15" ht="14.25" customHeight="1"/>
    <row r="29" spans="1:15" ht="14.25" customHeight="1"/>
    <row r="30" spans="1:15" ht="14.25" customHeight="1"/>
    <row r="31" spans="1:15" ht="14.25" customHeight="1"/>
    <row r="32" spans="1: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L23" xr:uid="{00000000-0009-0000-0000-000002000000}"/>
  <mergeCells count="1">
    <mergeCell ref="A1:L1"/>
  </mergeCells>
  <conditionalFormatting sqref="C3:K22">
    <cfRule type="colorScale" priority="1">
      <colorScale>
        <cfvo type="formula" val="0"/>
        <cfvo type="max"/>
        <color rgb="FFFFFFFF"/>
        <color rgb="FF2563EB"/>
      </colorScale>
    </cfRule>
  </conditionalFormatting>
  <pageMargins left="0.75" right="0.75" top="1" bottom="1"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F78C-E6E5-4D80-8B34-3F5952D43E67}">
  <dimension ref="A1:D16"/>
  <sheetViews>
    <sheetView workbookViewId="0">
      <selection activeCell="B14" sqref="B14"/>
    </sheetView>
  </sheetViews>
  <sheetFormatPr defaultRowHeight="14.25"/>
  <cols>
    <col min="1" max="1" width="13.59765625" customWidth="1"/>
    <col min="2" max="2" width="42.73046875" bestFit="1" customWidth="1"/>
    <col min="3" max="3" width="48.6640625" bestFit="1" customWidth="1"/>
  </cols>
  <sheetData>
    <row r="1" spans="1:4">
      <c r="B1" s="60" t="s">
        <v>333</v>
      </c>
      <c r="C1" s="60" t="s">
        <v>344</v>
      </c>
      <c r="D1" s="58" t="s">
        <v>343</v>
      </c>
    </row>
    <row r="2" spans="1:4" ht="15.4">
      <c r="A2" s="59" t="s">
        <v>334</v>
      </c>
      <c r="B2" s="55" t="s">
        <v>337</v>
      </c>
      <c r="C2" s="55" t="s">
        <v>337</v>
      </c>
    </row>
    <row r="3" spans="1:4" ht="15.4">
      <c r="A3" s="59"/>
      <c r="B3" s="55" t="s">
        <v>338</v>
      </c>
      <c r="C3" s="55" t="s">
        <v>338</v>
      </c>
    </row>
    <row r="4" spans="1:4" ht="15.4">
      <c r="A4" s="59"/>
      <c r="B4" s="55" t="s">
        <v>339</v>
      </c>
      <c r="C4" s="55" t="s">
        <v>339</v>
      </c>
    </row>
    <row r="5" spans="1:4" ht="15.4">
      <c r="A5" s="59"/>
      <c r="B5" s="55" t="s">
        <v>340</v>
      </c>
      <c r="C5" s="55" t="s">
        <v>345</v>
      </c>
      <c r="D5" s="58" t="s">
        <v>346</v>
      </c>
    </row>
    <row r="6" spans="1:4">
      <c r="A6" s="59"/>
      <c r="B6" s="58" t="s">
        <v>341</v>
      </c>
      <c r="D6" s="58"/>
    </row>
    <row r="7" spans="1:4">
      <c r="A7" s="59"/>
      <c r="B7" t="s">
        <v>26</v>
      </c>
    </row>
    <row r="8" spans="1:4">
      <c r="A8" s="59"/>
      <c r="B8" s="58" t="s">
        <v>342</v>
      </c>
      <c r="D8" s="58" t="s">
        <v>347</v>
      </c>
    </row>
    <row r="9" spans="1:4" ht="14.25" customHeight="1">
      <c r="A9" s="63" t="s">
        <v>335</v>
      </c>
      <c r="B9" s="37" t="s">
        <v>145</v>
      </c>
      <c r="C9" s="61" t="s">
        <v>355</v>
      </c>
      <c r="D9" s="58" t="s">
        <v>357</v>
      </c>
    </row>
    <row r="10" spans="1:4" ht="14.25" customHeight="1">
      <c r="A10" s="63"/>
      <c r="B10" s="37" t="s">
        <v>29</v>
      </c>
      <c r="C10" s="61" t="s">
        <v>29</v>
      </c>
      <c r="D10" s="64" t="s">
        <v>358</v>
      </c>
    </row>
    <row r="11" spans="1:4" ht="14.25" customHeight="1">
      <c r="A11" s="63"/>
      <c r="B11" s="61" t="s">
        <v>354</v>
      </c>
      <c r="C11" s="61" t="s">
        <v>354</v>
      </c>
    </row>
    <row r="12" spans="1:4" ht="14.25" customHeight="1">
      <c r="A12" s="63"/>
      <c r="B12" s="37" t="s">
        <v>61</v>
      </c>
      <c r="C12" s="37" t="s">
        <v>61</v>
      </c>
      <c r="D12" s="58" t="s">
        <v>356</v>
      </c>
    </row>
    <row r="13" spans="1:4" ht="14.25" customHeight="1">
      <c r="C13" s="58" t="s">
        <v>348</v>
      </c>
    </row>
    <row r="14" spans="1:4" ht="61.5">
      <c r="A14" s="62" t="s">
        <v>336</v>
      </c>
      <c r="B14" s="57" t="s">
        <v>351</v>
      </c>
      <c r="C14" s="58" t="s">
        <v>350</v>
      </c>
      <c r="D14" s="58" t="s">
        <v>349</v>
      </c>
    </row>
    <row r="15" spans="1:4" ht="14.25" customHeight="1">
      <c r="A15" s="62"/>
      <c r="B15" s="57" t="s">
        <v>352</v>
      </c>
      <c r="C15" s="57" t="s">
        <v>352</v>
      </c>
    </row>
    <row r="16" spans="1:4" ht="14.25" customHeight="1">
      <c r="A16" s="62"/>
      <c r="B16" s="57" t="s">
        <v>353</v>
      </c>
      <c r="C16" s="57" t="s">
        <v>353</v>
      </c>
    </row>
  </sheetData>
  <mergeCells count="2">
    <mergeCell ref="A2:A8"/>
    <mergeCell ref="A9: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Coded Passages</vt:lpstr>
      <vt:lpstr>Freq — By Dimension</vt:lpstr>
      <vt:lpstr>Freq — By Sub-code</vt:lpstr>
      <vt:lpstr>Analysis of 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Ignacio Arroyo</cp:lastModifiedBy>
  <dcterms:created xsi:type="dcterms:W3CDTF">2026-06-03T22:33:57Z</dcterms:created>
  <dcterms:modified xsi:type="dcterms:W3CDTF">2026-07-13T13:39:20Z</dcterms:modified>
</cp:coreProperties>
</file>