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an Ignacio\.antigravity\projects\milei-climate-narratives\analysis\"/>
    </mc:Choice>
  </mc:AlternateContent>
  <xr:revisionPtr revIDLastSave="0" documentId="13_ncr:1_{8A1D1E35-6E6E-483C-9CC1-C648C29DD9D7}" xr6:coauthVersionLast="47" xr6:coauthVersionMax="47" xr10:uidLastSave="{00000000-0000-0000-0000-000000000000}"/>
  <bookViews>
    <workbookView xWindow="-98" yWindow="-98" windowWidth="20715" windowHeight="13155" tabRatio="500" xr2:uid="{00000000-000D-0000-FFFF-FFFF00000000}"/>
  </bookViews>
  <sheets>
    <sheet name="Coded Passages" sheetId="1" r:id="rId1"/>
    <sheet name="Freq — By Dimension" sheetId="2" r:id="rId2"/>
    <sheet name="Freq — By Sub-code" sheetId="3" r:id="rId3"/>
    <sheet name="Speech Overview" sheetId="4" r:id="rId4"/>
  </sheets>
  <definedNames>
    <definedName name="_xlnm._FilterDatabase" localSheetId="0" hidden="1">'Coded Passages'!$A$2:$J$70</definedName>
    <definedName name="_xlnm._FilterDatabase" localSheetId="2" hidden="1">'Freq — By Sub-code'!$A$2:$I$23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9" i="4" l="1"/>
  <c r="F9" i="4"/>
  <c r="E9" i="4"/>
  <c r="I8" i="4"/>
  <c r="H8" i="4"/>
  <c r="G8" i="4"/>
  <c r="F8" i="4"/>
  <c r="E8" i="4"/>
  <c r="I7" i="4"/>
  <c r="H7" i="4"/>
  <c r="G7" i="4"/>
  <c r="F7" i="4"/>
  <c r="E7" i="4"/>
  <c r="I6" i="4"/>
  <c r="H6" i="4"/>
  <c r="G6" i="4"/>
  <c r="F6" i="4"/>
  <c r="E6" i="4"/>
  <c r="I5" i="4"/>
  <c r="H5" i="4"/>
  <c r="G5" i="4"/>
  <c r="F5" i="4"/>
  <c r="E5" i="4"/>
  <c r="I4" i="4"/>
  <c r="H4" i="4"/>
  <c r="G4" i="4"/>
  <c r="F4" i="4"/>
  <c r="E4" i="4"/>
  <c r="I3" i="4"/>
  <c r="H3" i="4"/>
  <c r="H9" i="4" s="1"/>
  <c r="G3" i="4"/>
  <c r="F3" i="4"/>
  <c r="E3" i="4"/>
  <c r="H23" i="3"/>
  <c r="G23" i="3"/>
  <c r="F23" i="3"/>
  <c r="E23" i="3"/>
  <c r="D23" i="3"/>
  <c r="C23" i="3"/>
  <c r="L22" i="3"/>
  <c r="I22" i="3"/>
  <c r="H22" i="3"/>
  <c r="G22" i="3"/>
  <c r="F22" i="3"/>
  <c r="E22" i="3"/>
  <c r="D22" i="3"/>
  <c r="C22" i="3"/>
  <c r="L21" i="3"/>
  <c r="I21" i="3"/>
  <c r="H21" i="3"/>
  <c r="G21" i="3"/>
  <c r="F21" i="3"/>
  <c r="E21" i="3"/>
  <c r="D21" i="3"/>
  <c r="C21" i="3"/>
  <c r="L20" i="3"/>
  <c r="I20" i="3"/>
  <c r="H20" i="3"/>
  <c r="G20" i="3"/>
  <c r="F20" i="3"/>
  <c r="E20" i="3"/>
  <c r="D20" i="3"/>
  <c r="C20" i="3"/>
  <c r="L19" i="3"/>
  <c r="I19" i="3"/>
  <c r="H19" i="3"/>
  <c r="G19" i="3"/>
  <c r="F19" i="3"/>
  <c r="E19" i="3"/>
  <c r="D19" i="3"/>
  <c r="C19" i="3"/>
  <c r="L18" i="3"/>
  <c r="I18" i="3"/>
  <c r="H18" i="3"/>
  <c r="G18" i="3"/>
  <c r="F18" i="3"/>
  <c r="E18" i="3"/>
  <c r="D18" i="3"/>
  <c r="C18" i="3"/>
  <c r="L17" i="3"/>
  <c r="I17" i="3"/>
  <c r="H17" i="3"/>
  <c r="G17" i="3"/>
  <c r="F17" i="3"/>
  <c r="E17" i="3"/>
  <c r="D17" i="3"/>
  <c r="C17" i="3"/>
  <c r="L16" i="3"/>
  <c r="I16" i="3"/>
  <c r="H16" i="3"/>
  <c r="G16" i="3"/>
  <c r="F16" i="3"/>
  <c r="E16" i="3"/>
  <c r="D16" i="3"/>
  <c r="C16" i="3"/>
  <c r="L15" i="3"/>
  <c r="I15" i="3"/>
  <c r="H15" i="3"/>
  <c r="G15" i="3"/>
  <c r="F15" i="3"/>
  <c r="E15" i="3"/>
  <c r="D15" i="3"/>
  <c r="C15" i="3"/>
  <c r="L14" i="3"/>
  <c r="I14" i="3"/>
  <c r="H14" i="3"/>
  <c r="G14" i="3"/>
  <c r="F14" i="3"/>
  <c r="E14" i="3"/>
  <c r="D14" i="3"/>
  <c r="C14" i="3"/>
  <c r="L13" i="3"/>
  <c r="I13" i="3"/>
  <c r="H13" i="3"/>
  <c r="G13" i="3"/>
  <c r="F13" i="3"/>
  <c r="E13" i="3"/>
  <c r="D13" i="3"/>
  <c r="C13" i="3"/>
  <c r="L12" i="3"/>
  <c r="I12" i="3"/>
  <c r="H12" i="3"/>
  <c r="G12" i="3"/>
  <c r="F12" i="3"/>
  <c r="E12" i="3"/>
  <c r="D12" i="3"/>
  <c r="C12" i="3"/>
  <c r="L11" i="3"/>
  <c r="I11" i="3"/>
  <c r="H11" i="3"/>
  <c r="G11" i="3"/>
  <c r="F11" i="3"/>
  <c r="E11" i="3"/>
  <c r="D11" i="3"/>
  <c r="C11" i="3"/>
  <c r="L10" i="3"/>
  <c r="I10" i="3"/>
  <c r="H10" i="3"/>
  <c r="G10" i="3"/>
  <c r="F10" i="3"/>
  <c r="E10" i="3"/>
  <c r="D10" i="3"/>
  <c r="C10" i="3"/>
  <c r="L9" i="3"/>
  <c r="I9" i="3"/>
  <c r="H9" i="3"/>
  <c r="G9" i="3"/>
  <c r="F9" i="3"/>
  <c r="E9" i="3"/>
  <c r="D9" i="3"/>
  <c r="C9" i="3"/>
  <c r="L8" i="3"/>
  <c r="I8" i="3"/>
  <c r="H8" i="3"/>
  <c r="G8" i="3"/>
  <c r="F8" i="3"/>
  <c r="E8" i="3"/>
  <c r="D8" i="3"/>
  <c r="C8" i="3"/>
  <c r="L7" i="3"/>
  <c r="I7" i="3"/>
  <c r="H7" i="3"/>
  <c r="G7" i="3"/>
  <c r="F7" i="3"/>
  <c r="E7" i="3"/>
  <c r="D7" i="3"/>
  <c r="C7" i="3"/>
  <c r="L6" i="3"/>
  <c r="I6" i="3"/>
  <c r="H6" i="3"/>
  <c r="G6" i="3"/>
  <c r="F6" i="3"/>
  <c r="E6" i="3"/>
  <c r="D6" i="3"/>
  <c r="C6" i="3"/>
  <c r="I5" i="3"/>
  <c r="L5" i="3" s="1"/>
  <c r="H5" i="3"/>
  <c r="G5" i="3"/>
  <c r="F5" i="3"/>
  <c r="E5" i="3"/>
  <c r="D5" i="3"/>
  <c r="C5" i="3"/>
  <c r="L4" i="3"/>
  <c r="I4" i="3"/>
  <c r="H4" i="3"/>
  <c r="G4" i="3"/>
  <c r="F4" i="3"/>
  <c r="E4" i="3"/>
  <c r="D4" i="3"/>
  <c r="C4" i="3"/>
  <c r="L3" i="3"/>
  <c r="I3" i="3"/>
  <c r="I23" i="3" s="1"/>
  <c r="H3" i="3"/>
  <c r="G3" i="3"/>
  <c r="F3" i="3"/>
  <c r="E3" i="3"/>
  <c r="D3" i="3"/>
  <c r="C3" i="3"/>
  <c r="H9" i="2"/>
  <c r="G9" i="2"/>
  <c r="F9" i="2"/>
  <c r="E9" i="2"/>
  <c r="D9" i="2"/>
  <c r="C9" i="2"/>
  <c r="I8" i="2"/>
  <c r="L8" i="2" s="1"/>
  <c r="H8" i="2"/>
  <c r="G8" i="2"/>
  <c r="F8" i="2"/>
  <c r="E8" i="2"/>
  <c r="D8" i="2"/>
  <c r="C8" i="2"/>
  <c r="I7" i="2"/>
  <c r="L7" i="2" s="1"/>
  <c r="H7" i="2"/>
  <c r="G7" i="2"/>
  <c r="F7" i="2"/>
  <c r="E7" i="2"/>
  <c r="D7" i="2"/>
  <c r="C7" i="2"/>
  <c r="I6" i="2"/>
  <c r="L6" i="2" s="1"/>
  <c r="H6" i="2"/>
  <c r="G6" i="2"/>
  <c r="F6" i="2"/>
  <c r="E6" i="2"/>
  <c r="D6" i="2"/>
  <c r="C6" i="2"/>
  <c r="I5" i="2"/>
  <c r="L5" i="2" s="1"/>
  <c r="H5" i="2"/>
  <c r="G5" i="2"/>
  <c r="F5" i="2"/>
  <c r="E5" i="2"/>
  <c r="D5" i="2"/>
  <c r="C5" i="2"/>
  <c r="I4" i="2"/>
  <c r="L4" i="2" s="1"/>
  <c r="H4" i="2"/>
  <c r="G4" i="2"/>
  <c r="F4" i="2"/>
  <c r="E4" i="2"/>
  <c r="D4" i="2"/>
  <c r="C4" i="2"/>
  <c r="I3" i="2"/>
  <c r="L3" i="2" s="1"/>
  <c r="H3" i="2"/>
  <c r="G3" i="2"/>
  <c r="F3" i="2"/>
  <c r="E3" i="2"/>
  <c r="D3" i="2"/>
  <c r="C3" i="2"/>
  <c r="I9" i="2" l="1"/>
</calcChain>
</file>

<file path=xl/sharedStrings.xml><?xml version="1.0" encoding="utf-8"?>
<sst xmlns="http://schemas.openxmlformats.org/spreadsheetml/2006/main" count="764" uniqueCount="231">
  <si>
    <t>Milei Climate Narratives — v2 Coded Passages  ·  Data source for all summary sheets</t>
  </si>
  <si>
    <t>#</t>
  </si>
  <si>
    <t>Dimension</t>
  </si>
  <si>
    <t>Sub-dimension</t>
  </si>
  <si>
    <t>Dimension (Full)</t>
  </si>
  <si>
    <t>Sub-code (Full)</t>
  </si>
  <si>
    <t>Quoted Passage</t>
  </si>
  <si>
    <t>Analytical Memo</t>
  </si>
  <si>
    <t>Speech</t>
  </si>
  <si>
    <t>Date</t>
  </si>
  <si>
    <t>Venue / Type</t>
  </si>
  <si>
    <t>D1.1</t>
  </si>
  <si>
    <t>Anti-Casta (Elite Frame)</t>
  </si>
  <si>
    <t>D1.1 — State Intervention &amp; Governance</t>
  </si>
  <si>
    <t>Motivados por el deseo de pertenecer a una casta privilegiada, los principales líderes del mundo occidental han abandonado el modelo de la libertad.</t>
  </si>
  <si>
    <t>'Casta privilegiada' extends Milei's domestic anti-elite frame to the global governance elite, targeting WEF participants. International climate institutions pre-emptively delegitimized as members of a global caste.</t>
  </si>
  <si>
    <t>WEF Davos 2024</t>
  </si>
  <si>
    <t>2024-01-17</t>
  </si>
  <si>
    <t>Davos · Speech</t>
  </si>
  <si>
    <t>Anti-State / Anti-Bureaucratic</t>
  </si>
  <si>
    <t>Capas sobre capa de organismos, agencias y programas hasta alcanzar una hipertrofia de administraciones poco efectivas.</t>
  </si>
  <si>
    <t>Applies the domestic anti-bureaucratic critique at the international level, normalizing drastic reduction of the multilateral sustainability apparatus as rational efficiency reform.</t>
  </si>
  <si>
    <t>UN General Assembly 80th</t>
  </si>
  <si>
    <t>2025-09-24</t>
  </si>
  <si>
    <t>New York · Speech</t>
  </si>
  <si>
    <t>La vida de todos nosotros dependa de un burócrata sentado en una oficina de lujo.</t>
  </si>
  <si>
    <t>'Un burócrata sentado en una oficina de lujo' personifies the regulatory state as a rent-seeking class. Sustainability agencies, CONICET researchers, and UNFCCC secretariat staff are, by this logic, parasites.</t>
  </si>
  <si>
    <t>Delegitimization of Regulation</t>
  </si>
  <si>
    <t>El marco teórico neoclásico termina siendo funcional a la intromisión del estado. El pretexto de un supuesto fallo de mercado introduce regulaciones que solo generan distorsiones en el sistema de precios.</t>
  </si>
  <si>
    <t>The attack on neoclassical economics demolishes the theoretical foundation of environmental regulation: mainstream climate policy derives from externality theory — precisely the 'instrumental' Milei argues serves state intrusion.</t>
  </si>
  <si>
    <t>Si las transacciones son voluntarias, el único contexto de fallo de mercado es si hay coacción. Y el único con la capacidad de coaccionar es el estado. Los fallos de mercado no existen.</t>
  </si>
  <si>
    <t>The inversion of causality — apparent market failures are actually state failures — performs total delegitimation of environmental regulation. Environmental regulation is recast as coercive imposition on voluntary exchange.</t>
  </si>
  <si>
    <t>Si no combatimos estas ideas, el único destino posible es que vamos a tener más estado, más regulación, más socialismo, más pobreza, menos libertad.</t>
  </si>
  <si>
    <t>The escalation chain — 'más estado, más regulación, más socialismo, más pobreza' — presents all regulation as steps in a deterministic descent toward poverty and unfreedom. Environmental regulation is subsumed within this chain.</t>
  </si>
  <si>
    <t>The functions of the state must once again be limited to defending the right to life, liberty and property. Any other function will inevitably lead to the 'omnipresent Leviathan' that we all suffer under today.</t>
  </si>
  <si>
    <t>The minimal-state principle categorically excludes environmental regulation as a legitimate state function. Climate policy falls outside life, liberty, and property — making it constitutionally illegitimate regardless of empirical merits.</t>
  </si>
  <si>
    <t>WEF Davos 2025</t>
  </si>
  <si>
    <t>2025-01-23</t>
  </si>
  <si>
    <t>This required embracing a mathematical structure that left the door open to state intervention under the well-intentioned goal of correcting market failures, which do not really exist. The proof developed by Hans-Hermann Hoppe leaves no room for intervention.</t>
  </si>
  <si>
    <t>The Hoppe property-rights proof invoked to argue that the correct theoretical framework 'leaves no room for intervention.' For climate governance: the theoretical framework justifying carbon pricing and emissions regulation is replaced by one where intervention is logically prohibited.</t>
  </si>
  <si>
    <t>WEF Davos 2026</t>
  </si>
  <si>
    <t>2026-01-22</t>
  </si>
  <si>
    <t>Intervention and regulation are dynamically inefficient because they are violent and therefore unjust.</t>
  </si>
  <si>
    <t>Most philosophically compressed Delegitimization_of_Regulation in the corpus. The argument flows from natural law through property rights theory to a categorical condemnation: regulation is violent AND unjust. Both dimensions — unjust and dynamically inefficient — are more comprehensive than prior formulations.</t>
  </si>
  <si>
    <t>Deregulation Benefits</t>
  </si>
  <si>
    <t>Solo debemos apoyar iniciativas que no restrinjan la capacidad de los Estados de liberar sus fuerzas productivas, atraer inversión y fomentar el comercio.</t>
  </si>
  <si>
    <t>Only supporting initiatives that 'liberate productive forces, attract investment, and promote trade' frames deregulation as the poverty-reduction mechanism. Proposed as a constitutional principle for international governance.</t>
  </si>
  <si>
    <t>La solución que propondrán los colectivistas no es mayor libertad sino mayor regulación, generando una espiral descendiente hasta que la vida de todos dependa de un burócrata sentado en una oficina de lujo.</t>
  </si>
  <si>
    <t>The positive deregulation case through intervention-spiral logic: each regulatory correction compounds the problem by distorting price signals, impairing economic calculation, reducing investment and growth.</t>
  </si>
  <si>
    <t>Such intervention achieves nothing but new distortions within the price system — such as is the case in Europe, which kills economic growth.</t>
  </si>
  <si>
    <t>The positive deregulation argument paired with the Europe case: removing climate regulation restores economic calculation, investment, and growth.</t>
  </si>
  <si>
    <t>Intervention and regulation are dynamically inefficient because they are violent and therefore unjust. By punishing profits, the economy's potential growth declines.</t>
  </si>
  <si>
    <t>The positive deregulation case: if regulation is violent and inefficient, removing it restores justice and efficiency. 'Economy's potential growth declines when profits are punished' — removing environmental regulations restores profit incentives and raises growth.</t>
  </si>
  <si>
    <t>The most responsible thing states can do regarding artificial intelligence is to stop pestering those who are creating a better world.</t>
  </si>
  <si>
    <t>'Stop pestering those creating a better world' — deregulation prescription for AI, but the logic applies identically to climate technology. The 'pestering' metaphor diminishes regulatory intervention as petty harassment of innovators.</t>
  </si>
  <si>
    <t>Market Primacy</t>
  </si>
  <si>
    <t>El capitalismo de libre empresa es la única herramienta que tenemos para terminar con el hambre, la pobreza y la indigencia. La evidencia empírica es incuestionable.</t>
  </si>
  <si>
    <t>Free-enterprise capitalism declared 'the only tool' for ending poverty. Structurally displaces any basis for climate regulation: if markets are the only legitimate mechanism for poverty, they are implicitly the only mechanism for environmental problems.</t>
  </si>
  <si>
    <t>¿Cómo puede ser que desde la academia, los organismos internacionales, la política y la teoría económica se demonice un sistema económico que ha sacado de la pobreza al 90% de la población mundial?</t>
  </si>
  <si>
    <t>'Academia, los organismos internacionales, la política y la teoría económica' — the four pillars of climate governance legitimacy — cast as an ideological bloc hostile to the proven market mechanism.</t>
  </si>
  <si>
    <t>El mercado es un mecanismo de cooperación social donde se intercambian voluntariamente. El fallo del mercado es un oxímoron. No existe fallo de mercado.</t>
  </si>
  <si>
    <t>'No existe fallo de mercado' eliminates the theoretical ground for climate regulation entirely. Environmental externalities are declared logically impossible — foreclosing justification for any climate policy whatsoever.</t>
  </si>
  <si>
    <t>There is no such thing as market failures. Market failures do not exist. Since the market is a mechanism of social cooperation where property rights are voluntarily exchanged, the very concept of market failures is a contradiction in terms. Such intervention kills economic growth — as is the case in Europe.</t>
  </si>
  <si>
    <t>Denial of market failures restated from Davos 2024, now explicitly anchored to European climate regulation as the exemplary case of 'regulations that kill economic growth.' The EU's climate architecture named as evidence for the No_Market_Failures thesis.</t>
  </si>
  <si>
    <t>As Professor Jesús Huerta de Soto points out, efficiency arises solely and exclusively from respect for private property and the entrepreneurial function. What is just can't be inefficient, nor can what is efficient be unjust.</t>
  </si>
  <si>
    <t>The Huerta de Soto dynamic efficiency argument collapses the efficiency-justice distinction underpinning environmental economics, foreclosing the standard argument for environmental regulation at the level of foundational economics.</t>
  </si>
  <si>
    <t>Rejection of Multilateral Governance</t>
  </si>
  <si>
    <t>La Agenda 2030, aunque bien intencionada, no es más que un programa de gobierno supranacional, de naturaleza socialista, que busca soluciones que violan la soberanía de los estados-nación.</t>
  </si>
  <si>
    <t>The 2030 Agenda formally declared a 'supranational government program, socialist in nature.' Establishes the principled basis for Argentina's formal withdrawal from the Agenda 2030 process.</t>
  </si>
  <si>
    <t>UN General Assembly 79th</t>
  </si>
  <si>
    <t>2024-09-24</t>
  </si>
  <si>
    <t>Se ha promovido una relación tóxica entre políticas de gobernanza global y organismos de crédito internacionales, requiriendo a los países más pobres comprometer recursos que no tienen para programas que no necesitan.</t>
  </si>
  <si>
    <t>The conditionality apparatus through which climate commitments are embedded in development finance is framed as extortion. Geopolitically astute at the General Assembly, repositioning climate skepticism as defense of developing nations.</t>
  </si>
  <si>
    <t>Invitamos a todas las naciones del mundo libre a unirnos no solo en la disidencia de este pacto, sino también en la creación de una nueva agenda: la agenda de la libertad.</t>
  </si>
  <si>
    <t>The invitation to build a counter-coalition goes beyond rejecting a specific commitment — it proposes dismantling the multilateral sustainability governance system and replacing it with a libertarian alternative.</t>
  </si>
  <si>
    <t>El exitoso modelo de Naciones Unidas se vio reemplazado por un modelo de gobierno supranacional de burócratas internacionales que buscan imponerles a los ciudadanos del mundo un modo de vivir determinado.</t>
  </si>
  <si>
    <t>'Supranational government of international bureaucrats' directly targets the institutional architecture through which climate governance operates. UNFCCC, SDG framework, and Paris Agreement positioned as illegitimate normative prescription.</t>
  </si>
  <si>
    <t>(1) Principio del mandato esencial — todo lo demás debe concebirse como complementario. (2) Subsidiariedad — la ONU interviene solo cuando excede capacidades nacionales. (3) Cierre de programas ineficaces. (4) Solo iniciativas que no restrinjan las fuerzas productivas.</t>
  </si>
  <si>
    <t>Four principles constitute a comprehensive institutional redesign stripping the UN of its sustainability function. Principle 1 excludes SDGs. Principle 2 removes binding character of climate commitments. Principle 4 prohibits carbon pricing categorically.</t>
  </si>
  <si>
    <t>Los neo-marxistas lograron esto gracias a la apropiación de... las universidades, y sí, también de los organismos internacionales.</t>
  </si>
  <si>
    <t>'Los organismos internacionales' as the final node of the neo-Marxist cooptation network places multilateral environmental governance within a conspiracy of ideological capture, providing the principled rationale for Argentina not to be bound by international climate commitments.</t>
  </si>
  <si>
    <t>Forums like this one have been protagonists and promoters of the sinister agenda of wokeism that is doing so much damage to the Western world.</t>
  </si>
  <si>
    <t>WEF named a 'protagonist and promoter' of a 'sinister agenda' — the institution convening global climate governance is delegitimized as ideologically captured before any specific climate argument is made.</t>
  </si>
  <si>
    <t>This organization, along with the most influential supranational bodies, have been the ideologues of this barbarity. Multilateral lending organizations have been instruments of extortion, while the European Union acted as their armed wing.</t>
  </si>
  <si>
    <t>WEF, supranational bodies, multilateral lending organizations, and the EU collectively framed as 'ideologues of barbarity' and 'instruments of extortion.' These institutions implement and finance climate policy globally.</t>
  </si>
  <si>
    <t>Our first and foremost mission has to be the drastic reduction in the size of the state — not only in each of our countries, but also the drastic reduction of all supranational organizations, draining its resources in order to give back to taxpayers what belongs to them.</t>
  </si>
  <si>
    <t>'Drastic reduction of all supranational organizations' — IPCC, UNFCCC secretariat, UNEP, multilateral climate funds. 'Draining resources' would directly eliminate the operational capacity of climate governance institutions.</t>
  </si>
  <si>
    <t>Sustainability as Ideological or Harmful</t>
  </si>
  <si>
    <t>Lo único que buscan esas políticas es recaudar fondos para financiar vagos socialistas que escriben papers de cuarta.</t>
  </si>
  <si>
    <t>Climate policy reframed as rent-extraction for a parasitic academic class. The most condensed formulation of sustainability-as-ideological in the corpus — material and ideological delegitimation in one sentence.</t>
  </si>
  <si>
    <t>Debate Presidencial 2023</t>
  </si>
  <si>
    <t>2023-10-08</t>
  </si>
  <si>
    <t>Buenos Aires · Debate</t>
  </si>
  <si>
    <t>Una agenda que pretende resolver la pobreza, la desigualdad y la discriminación con legislación que sólo las profundiza.</t>
  </si>
  <si>
    <t>Sustainability governance framed as not merely ineffective but positively counterproductive — causing the very harms it claims to address. SDG 13 and Paris Agreement-linked elements cast as policies that deepen poverty.</t>
  </si>
  <si>
    <t>La tutela del Foro Económico Mundial no ha ayudado, donde se promueven políticas ridículas con anteojeras malthusianas — como las políticas de 'Cero Emisiones' — que perjudican en particular a los países pobres.</t>
  </si>
  <si>
    <t>'Zero Emission' policies named explicitly and characterized as 'ridiculous' and 'Malthusian,' harmful especially to poor countries. Most direct attack on net-zero climate policy in the corpus.</t>
  </si>
  <si>
    <t>Los malos resultados de la Agenda 2030 dan testimonio de esto. Lo que persiste es un ciclo de estructuras que se reciclan, recursos que se multiplican y metas que se reprograman. La Argentina decidió apartarse de este proceso.</t>
  </si>
  <si>
    <t>'Malos resultados de la Agenda 2030' — consequentialist delegitimation: the framework has failed. 'Structures that recycle, resources that multiply, and targets that get reprogrammed' characterizes SDG governance as a self-perpetuating bureaucratic cycle.</t>
  </si>
  <si>
    <t>Economic development is considered little more than a crime against nature.</t>
  </si>
  <si>
    <t>Climate regulation reframed as anti-development ideology. Particularly effective for the Global South dimension: if climate governance criminalizes development, it condemns poor countries to permanent underdevelopment.</t>
  </si>
  <si>
    <t>D1.2</t>
  </si>
  <si>
    <t>Attack on Experts &amp; Technocrats</t>
  </si>
  <si>
    <t>D1.2 — Public Science &amp; Expertise</t>
  </si>
  <si>
    <t>Vagos socialistas que escriben papers de cuarta.</t>
  </si>
  <si>
    <t>The rawest expert delegitimation in the corpus — climate scientists reduced to lazy, ideologically motivated rent-seekers producing worthless work.</t>
  </si>
  <si>
    <t>Una organización que ha sido uno de los principales promotores de la violación sistemática de la libertad — como por ejemplo con las cuarentenas globales durante 2020, que deberían ser consideradas un crimen contra la humanidad.</t>
  </si>
  <si>
    <t>Framing COVID lockdowns as 'crimes against humanity' attacks both the institution and the expert consensus underpinning it. Pre-empts any UN-mediated climate science: if the expert-backed pandemic response constitutes a crime, why trust the climate response?</t>
  </si>
  <si>
    <t>Burócratas internacionales que buscan imponerles a los ciudadanos del mundo un modo de vivir determinado.</t>
  </si>
  <si>
    <t>'Burócratas internacionales' personifies international governance expertise as political actors pursuing their own agenda rather than legitimate technical mediators.</t>
  </si>
  <si>
    <t>La ONU ha creado capas sobre capa de organismos, agencias y programas hasta alcanzar una hipertrofia de administraciones que son poco efectivas a la hora de resolver los problemas para los cuales fueron creadas.</t>
  </si>
  <si>
    <t>'Hipertrofia de administraciones poco efectivas' characterizes UN agencies as bureaucratic bloat that produces poor results. UNEP, UNFCCC secretariat, IPCC: if agencies fail despite growing resources, the experts guiding them are not competent.</t>
  </si>
  <si>
    <t>Desde la academia, los organismos internacionales, la política y la teoría económica se demonice un sistema económico que es justo y moralmente superior.</t>
  </si>
  <si>
    <t>The entire authority apparatus — academic, international, political, theoretical — presented as a unified bloc irrationally hostile to capitalism. IPCC, UNEP, national science ministries: all expressions of the same anti-capitalist formation.</t>
  </si>
  <si>
    <t>Attack on Universities</t>
  </si>
  <si>
    <t>This ideology has colonized the world's most important institutions — from political parties and governments to global governance organizations, even NGOs, universities and media outlets.</t>
  </si>
  <si>
    <t>Universities appear in the list of captured institutions alongside global governance organizations. Framing universities as colonized delegitimizes the climate knowledge-production chain at its origin.</t>
  </si>
  <si>
    <t>Climate Skepticism or Dismissal</t>
  </si>
  <si>
    <t>Yo no niego el cambio climático. Lo que yo digo es que existe en la historia de la tierra un ciclo de temperaturas... todas esas políticas que culpan al ser humano del cambio climático son falsas.</t>
  </si>
  <si>
    <t>Milei performs a two-step maneuver: disclaiming outright denial before re-attributing current warming to natural cycles. The key claim — 'all those policies that blame humans are false' — is a direct dismissal of the scientific basis for climate regulation.</t>
  </si>
  <si>
    <t>When we argue that the Earth has already gone through five abrupt temperature change cycles, and that during four of those men was not even around, we are called 'Flat Earthers' to discredit our ideas, even though science and the data are on our side.</t>
  </si>
  <si>
    <t>The five-cycles argument — Earth has undergone abrupt temperature changes without human presence — is the natural cycles denialist claim. Clearest direct climate science denial in the corpus.</t>
  </si>
  <si>
    <t>Pseudo-Science / Ideological Science</t>
  </si>
  <si>
    <t>Nuestros propios líderes, pensadores y académicos, amparados en un marco teórico equivocado, socavan los fundamentos del sistema que nos ha dado la mayor expansión de riqueza.</t>
  </si>
  <si>
    <t>'Amparados en un marco teórico equivocado' frames the expert community as epistemically compromised. Grants good intentions while invalidating all conclusions — a structurally more powerful delegitimation than the debate's ad hominem.</t>
  </si>
  <si>
    <t>Los neo-marxistas han sabido cooptar el sentido común de occidente gracias a la apropiación de los medios de comunicación, de la cultura, de las universidades, y también de los organismos internacionales.</t>
  </si>
  <si>
    <t>The 'cooptation' narrative positions universities and international organizations as ideologically captured producers of knowledge. Climate science is not wrong because its methods are bad, but because its institutions have been colonized.</t>
  </si>
  <si>
    <t>When we argue that the Earth has already gone through five abrupt temperature change cycles... we are called 'Flat Earthers' to discredit our ideas, even though science and the data are on our side.</t>
  </si>
  <si>
    <t>'Science and data are on our side' — direct appropriation of scientific authority for the denialist position. The epistemic authority reversal: consensus scientists become dogmatists silencing dissent.</t>
  </si>
  <si>
    <t>Rejection of Expert Mediation</t>
  </si>
  <si>
    <t>This ideology has colonized the world's most important institutions — global governance organizations, NGOs, universities and media outlets.</t>
  </si>
  <si>
    <t>The enumeration covers the entire infrastructure of expert mediation in public policy. The claim that all are colonized denies any possibility of legitimate expert mediation in climate governance.</t>
  </si>
  <si>
    <t>D1.3</t>
  </si>
  <si>
    <t>Civilizational Defense</t>
  </si>
  <si>
    <t>D1.3 — Cultural Backlash</t>
  </si>
  <si>
    <t>La Agenda 2030 viola la soberanía de los estados-nación... la historia muestra que el único camino a la prosperidad es limitar el poder y defender el derecho a la vida, la libertad y la propiedad.</t>
  </si>
  <si>
    <t>The UN positioned as an agent of collectivist civilizational decline. Argentina's dissent positioned as defense of the principles that define legitimate civilization.</t>
  </si>
  <si>
    <t>El Presidente Trump también entiende que es el momento de revertir una dinámica que estaba llevando a Estados Unidos a una catástrofe. Entiende que debe hacer lo necesario, aunque a muchos no les guste.</t>
  </si>
  <si>
    <t>Invoking Trump as co-protagonist elevates the obstruction of multilateral sustainability governance to a coordinated civilizational project. The U.S.-Argentina alignment presented as a deliberate civilizational intervention.</t>
  </si>
  <si>
    <t>Hoy estoy acá para decirles que Occidente está en peligro... cooptados por una visión del mundo que inexorablemente conduce al socialismo.</t>
  </si>
  <si>
    <t>The opening sentences establish the master civilizational frame. Every subsequent critique — including of environmental policy — inherits civilizational stakes. Climate governance becomes an act of civilizational capitulation.</t>
  </si>
  <si>
    <t>For decades, there has been a worship of a sinister and murderous ideology, as if it were a golden calf, moving heaven and Earth to impose it on humanity. This organization has been the ideologue of this barbarity.</t>
  </si>
  <si>
    <t>'Worship of a sinister and murderous ideology, as if it were a golden calf' elevates the stakes to civilizational-religious dimensions. The WEF-led governance consensus is not an error but an idolatry to be dismantled.</t>
  </si>
  <si>
    <t>In the face of the ethical and moral degradation afflicting the West as a result of embracing the new socialist agenda, it is necessary to once again promote the ideas of freedom.</t>
  </si>
  <si>
    <t>'Ethical and moral degradation afflicting the West' restates the Civilizational_Defense master frame from Davos 2024/2025, condensed to a single sentence. The prior year's attack on climate governance is linked via the reference to 'mental parasites sown by the left.'</t>
  </si>
  <si>
    <t>In this same place in 2024, I stated that the West was in danger as a result of embracing socialism in its most hypocritical form, which is wokeism. However, 2026 is the year the world has begun to awaken. The Americas will be the beacon of light that will once again illuminate the entire West.</t>
  </si>
  <si>
    <t>The three-year Davos arc (2024: West in danger; 2025: battle not yet won; 2026: world awakening) consolidated into a progressive civilizational recovery story. Climate governance — previously identified with 'wokeism in its most hypocritical form' — is implicitly receding.</t>
  </si>
  <si>
    <t>Neo-Marxism</t>
  </si>
  <si>
    <t>Otro de los conflictos que los socialistas plantean es el del hombre contra la naturaleza. Sostienen que los seres humanos dañamos el planeta y que debe ser protegido a toda costa, incluso llegando a abogar por mecanismos de control poblacional.</t>
  </si>
  <si>
    <t>Environmentalism enters explicitly as the second front in the socialist 'new agenda' after gender — Neo_Marxism's core formulation: the green agenda is a tactical repositioning by socialists who abandoned classical class struggle.</t>
  </si>
  <si>
    <t>These are all various heads of the same beast aimed at justifying the state's expansion through the appropriation and distortion of noble causes.</t>
  </si>
  <si>
    <t>Environmentalism listed alongside feminism and gender ideology as 'various heads of the same beast aimed at justifying state expansion.' Climate taxes and emissions regulation are Trojan horses for socialist state growth.</t>
  </si>
  <si>
    <t>From preserving the environment for human enjoyment, we have shifted to a fanatical environmentalism where we humans are seen as a cancer that must be eradicated and economic development is considered little more than a crime against nature.</t>
  </si>
  <si>
    <t>The environmentalism-as-anti-humanism equation frames climate regulation as anti-civilization ideology. 'Economic development is a crime against nature' structurally equates climate regulation with rejection of the market.</t>
  </si>
  <si>
    <t>It is no coincidence that these same groups are the main promoters of the bloody, murderous abortion agenda, designed on the basis of the Malthusian premise that overpopulation will destroy the Earth.</t>
  </si>
  <si>
    <t>The Malthusian framing codes environmentalism as anti-human-development: its goal is population reduction through abortion promotion. The Neo_Marxism thesis: the green agenda is a power-accumulation project in disguise.</t>
  </si>
  <si>
    <t>Woke Bundling</t>
  </si>
  <si>
    <t>'Cero Emisiones' — que perjudican en particular a los países pobres. A políticas vinculadas a derechos sexuales y reproductivos, cuando la tasa de natalidad en los países occidentales se desploma.</t>
  </si>
  <si>
    <t>'Zero Emission' policies listed in the same breath as 'sexual and reproductive rights' — climate policy bundled with population/reproductive policy via the Malthusian linkage.</t>
  </si>
  <si>
    <t>Otro de los conflictos que los socialistas plantean es el del hombre contra la naturaleza... incluso llegando a abogar por mecanismos de control poblacional o en la agenda sangrienta del aborto.</t>
  </si>
  <si>
    <t>Feminism then environmentalism, both introduced as socialist 'new battles' — formal Woke_Bundling. The emotional charge of the gender conflict transfers directly to climate via the population control linkage.</t>
  </si>
  <si>
    <t>Wokism also manifests in sinister radical environmentalism and the climate change agenda. Preserving our planet for future generations is a matter of common sense. No-one wants to live in a landfill.</t>
  </si>
  <si>
    <t>The pivot from feminism to environmentalism using 'Wokism also manifests in...' formally bundles climate governance. The concession-then-perversion structure makes the attack harder to characterize as reactionary denial.</t>
  </si>
  <si>
    <t>The Malthus-abortion-climate chain is an intensified Woke_Bundling move: climate advocates and abortion advocates share a common ideological foundation (Malthusianism).</t>
  </si>
  <si>
    <t>D2.2</t>
  </si>
  <si>
    <t>Agency Elimination or Merger</t>
  </si>
  <si>
    <t>D2.2 — Institutional Downgrading</t>
  </si>
  <si>
    <t>Principio de diligencia institucional: cierre de programas ineficaces, consolidación de agencias únicas y financiamiento condicionado a resultados verificables.</t>
  </si>
  <si>
    <t>Principle 3 — 'cierre de programas ineficaces, consolidación de agencias' — directly calls for closing programs and consolidating agencies at the international level, paralleling Milei's domestic restructuring.</t>
  </si>
  <si>
    <t>D2.3</t>
  </si>
  <si>
    <t>Withdrawal from Intl. Initiatives</t>
  </si>
  <si>
    <t>D2.3 — Policy Dismantling</t>
  </si>
  <si>
    <t>Argentina no apoyará ninguna política que implique la restricción de las libertades... deseamos expresar oficialmente nuestra disidencia en el Pacto del Futuro.</t>
  </si>
  <si>
    <t>Formal dissent from the Pact for the Future announced as official Argentine policy. D2.3 at its most explicit: a sitting president formally announcing withdrawal from a multilateral sustainability framework before the General Assembly.</t>
  </si>
  <si>
    <t>Durante el último año y medio, hemos votado en consecuencia.</t>
  </si>
  <si>
    <t>Brief but analytically critical D2 statement: Milei confirms Argentina has systematically voted against multilateral sustainability commitments in UN forums over 18 months. Retrospective confirmation of a sustained D2.3 pattern.</t>
  </si>
  <si>
    <t>La Argentina decidió en su momento apartarse de este proceso porque veíamos en esta agenda un mal gasto de recursos escasos, con fines que no compartíamos y con el efecto de distraer la atención de las dificultades reales.</t>
  </si>
  <si>
    <t>Formal confirmation before the General Assembly of Argentina's withdrawal from the 2030 Agenda. D2.3 at its most explicit: a sitting president formally announcing exit from the primary multilateral sustainability framework.</t>
  </si>
  <si>
    <t>Not only in each of our countries, but also the drastic reduction of all supranational organizations — this is the only way to root out this perverse system, draining its resources in order to give back to taxpayers what belongs to them.</t>
  </si>
  <si>
    <t>When a head of state explicitly announces intent to 'drastically reduce all supranational organizations' and 'drain their resources,' this constitutes a forward commitment to institutional dismantling at the multilateral level.</t>
  </si>
  <si>
    <t>IND</t>
  </si>
  <si>
    <t>Reported Denial</t>
  </si>
  <si>
    <t>Inductive</t>
  </si>
  <si>
    <t>[BREGMAN]: llegó a decir que el cambio climático es del socialismo.</t>
  </si>
  <si>
    <t>Bregman's reported-speech paraphrase functions as inter-discursive corroboration. Maps onto D1.3 &gt; Neo_Marxism. Coded for contextual/confirmatory purposes only — not primary Milei discourse.</t>
  </si>
  <si>
    <t>Selective Empiricism</t>
  </si>
  <si>
    <t>La evidencia empírica es incuestionable. [Followed by dismissal of academic and institutional experts as ideologically captured.]</t>
  </si>
  <si>
    <t>Canonical Selective_Empiricism instance: unquestionable empirical authority claimed for the pro-market narrative while climate science and institutional knowledge are dismissed as ideologically captured.</t>
  </si>
  <si>
    <t>Science and the data are on our side [on five-cycles argument], even though we are called 'Flat Earthers' to discredit our ideas.</t>
  </si>
  <si>
    <t>Clearest corpus instance of Selective_Empiricism: 'science and data are on our side' legitimates the natural-cycles claim while dismissing the institutional scientific community's critique as ideological silencing.</t>
  </si>
  <si>
    <t>Temporal Appropriation</t>
  </si>
  <si>
    <t>Incendian el futuro para mantener caliente el presente... la Argentina decidió en su momento apartarse de este proceso porque veíamos en esta agenda un mal gasto de recursos escasos.</t>
  </si>
  <si>
    <t>The speech's entire architecture co-opts sustainability's moral-temporal vocabulary and directs it against the 2030 Agenda. The 2030 Agenda framed as sacrificing the future for present bureaucratic comfort. Clearest and most fully developed Temporal_Appropriation instance in the corpus.</t>
  </si>
  <si>
    <t>Code Frequency by Dimension × Speech  —  values update automatically from 'Coded Passages'</t>
  </si>
  <si>
    <t>TOTAL</t>
  </si>
  <si>
    <t>Total</t>
  </si>
  <si>
    <t>All Dimensions</t>
  </si>
  <si>
    <t>Code Frequency by Sub-code × Speech  —  values update automatically from 'Coded Passages'</t>
  </si>
  <si>
    <t>Dim</t>
  </si>
  <si>
    <t>Sub-code</t>
  </si>
  <si>
    <t>D1.1·Anti-Casta (Elite Fr</t>
  </si>
  <si>
    <t>D1.1·Anti-State / Anti-Bu</t>
  </si>
  <si>
    <t xml:space="preserve">D1.1·Delegitimization of </t>
  </si>
  <si>
    <t>D1.1·Deregulation Benefit</t>
  </si>
  <si>
    <t>D1.1·Market Primacy</t>
  </si>
  <si>
    <t>D1.1·Rejection of Multila</t>
  </si>
  <si>
    <t>D1.1·Sustainability as Id</t>
  </si>
  <si>
    <t xml:space="preserve">D1.2·Attack on Experts &amp; </t>
  </si>
  <si>
    <t>D1.2·Attack on Universiti</t>
  </si>
  <si>
    <t>D1.2·Climate Skepticism o</t>
  </si>
  <si>
    <t>D1.2·Pseudo-Science / Ide</t>
  </si>
  <si>
    <t xml:space="preserve">D1.2·Rejection of Expert </t>
  </si>
  <si>
    <t>D1.3·Civilizational Defen</t>
  </si>
  <si>
    <t>D1.3·Neo-Marxism</t>
  </si>
  <si>
    <t>D1.3·Woke Bundling</t>
  </si>
  <si>
    <t>D2.2·Agency Elimination o</t>
  </si>
  <si>
    <t>D2.3·Withdrawal from Intl</t>
  </si>
  <si>
    <t>IND·Reported Denial</t>
  </si>
  <si>
    <t>IND·Selective Empiricism</t>
  </si>
  <si>
    <t>IND·Temporal Appropriati</t>
  </si>
  <si>
    <t>All Sub-codes</t>
  </si>
  <si>
    <t>Speech-Level Overview  —  D1 / D2 / Inductive counts update automatically from 'Coded Passages'</t>
  </si>
  <si>
    <t>Venue</t>
  </si>
  <si>
    <t>Type</t>
  </si>
  <si>
    <t>D1 Codes</t>
  </si>
  <si>
    <t>D2 Codes</t>
  </si>
  <si>
    <t>D2 Present?</t>
  </si>
  <si>
    <t>Buenos Aires</t>
  </si>
  <si>
    <t>Debate</t>
  </si>
  <si>
    <t>Davos</t>
  </si>
  <si>
    <t>New 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</si>
</sst>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3"/>
      <color rgb="FFFFFFFF"/>
      <name val="Arial"/>
      <charset val="1"/>
    </font>
    <font>
      <b/>
      <sz val="10"/>
      <color rgb="FFFFFFFF"/>
      <name val="Arial"/>
      <charset val="1"/>
    </font>
    <font>
      <b/>
      <sz val="10"/>
      <color rgb="FF111827"/>
      <name val="Arial"/>
      <charset val="1"/>
    </font>
    <font>
      <sz val="10"/>
      <color rgb="FF111827"/>
      <name val="Arial"/>
      <charset val="1"/>
    </font>
    <font>
      <b/>
      <sz val="9"/>
      <name val="Arial"/>
      <charset val="1"/>
    </font>
    <font>
      <b/>
      <sz val="10"/>
      <color rgb="FFFACC15"/>
      <name val="Arial"/>
      <charset val="1"/>
    </font>
    <font>
      <sz val="10"/>
      <name val="Arial"/>
      <charset val="1"/>
    </font>
    <font>
      <b/>
      <sz val="10"/>
      <color rgb="FF1E40AF"/>
      <name val="Arial"/>
      <charset val="1"/>
    </font>
    <font>
      <b/>
      <sz val="10"/>
      <color rgb="FF5B21B6"/>
      <name val="Arial"/>
      <charset val="1"/>
    </font>
    <font>
      <sz val="10"/>
      <color rgb="FF374151"/>
      <name val="Arial"/>
      <charset val="1"/>
    </font>
    <font>
      <b/>
      <sz val="11"/>
      <color rgb="FFFACC15"/>
      <name val="Arial"/>
      <charset val="1"/>
    </font>
    <font>
      <b/>
      <sz val="10"/>
      <name val="Arial"/>
      <charset val="1"/>
    </font>
  </fonts>
  <fills count="14">
    <fill>
      <patternFill patternType="none"/>
    </fill>
    <fill>
      <patternFill patternType="gray125"/>
    </fill>
    <fill>
      <patternFill patternType="solid">
        <fgColor rgb="FF0F172A"/>
        <bgColor rgb="FF111827"/>
      </patternFill>
    </fill>
    <fill>
      <patternFill patternType="solid">
        <fgColor rgb="FF1E3A5F"/>
        <bgColor rgb="FF374151"/>
      </patternFill>
    </fill>
    <fill>
      <patternFill patternType="solid">
        <fgColor rgb="FFF8FAFC"/>
        <bgColor rgb="FFFFFFFF"/>
      </patternFill>
    </fill>
    <fill>
      <patternFill patternType="solid">
        <fgColor rgb="FFDBEAFE"/>
        <bgColor rgb="FFEDE9FE"/>
      </patternFill>
    </fill>
    <fill>
      <patternFill patternType="solid">
        <fgColor rgb="FFFFFFFF"/>
        <bgColor rgb="FFF8FAFC"/>
      </patternFill>
    </fill>
    <fill>
      <patternFill patternType="solid">
        <fgColor rgb="FFFEF3C7"/>
        <bgColor rgb="FFFEE2E2"/>
      </patternFill>
    </fill>
    <fill>
      <patternFill patternType="solid">
        <fgColor rgb="FFFEE2E2"/>
        <bgColor rgb="FFEDE9FE"/>
      </patternFill>
    </fill>
    <fill>
      <patternFill patternType="solid">
        <fgColor rgb="FFCFFAFE"/>
        <bgColor rgb="FFD1FAE5"/>
      </patternFill>
    </fill>
    <fill>
      <patternFill patternType="solid">
        <fgColor rgb="FFEDE9FE"/>
        <bgColor rgb="FFF3F4F6"/>
      </patternFill>
    </fill>
    <fill>
      <patternFill patternType="solid">
        <fgColor rgb="FFF3F4F6"/>
        <bgColor rgb="FFF8FAFC"/>
      </patternFill>
    </fill>
    <fill>
      <patternFill patternType="solid">
        <fgColor rgb="FF1E293B"/>
        <bgColor rgb="FF0F1E2F"/>
      </patternFill>
    </fill>
    <fill>
      <patternFill patternType="solid">
        <fgColor rgb="FF0F1E2F"/>
        <bgColor rgb="FF111827"/>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5">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top"/>
    </xf>
    <xf numFmtId="0" fontId="3" fillId="5" borderId="1" xfId="0" applyFont="1" applyFill="1" applyBorder="1" applyAlignment="1">
      <alignment horizontal="center" vertical="top"/>
    </xf>
    <xf numFmtId="0" fontId="4" fillId="5" borderId="1" xfId="0" applyFont="1" applyFill="1" applyBorder="1" applyAlignment="1">
      <alignment horizontal="left" vertical="top"/>
    </xf>
    <xf numFmtId="0" fontId="4" fillId="4" borderId="1" xfId="0" applyFont="1" applyFill="1" applyBorder="1" applyAlignment="1">
      <alignment horizontal="left" vertical="top"/>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xf>
    <xf numFmtId="0" fontId="3" fillId="6" borderId="1" xfId="0" applyFont="1" applyFill="1" applyBorder="1" applyAlignment="1">
      <alignment horizontal="center" vertical="top"/>
    </xf>
    <xf numFmtId="0" fontId="4" fillId="6" borderId="1" xfId="0" applyFont="1" applyFill="1" applyBorder="1" applyAlignment="1">
      <alignment horizontal="left" vertical="top"/>
    </xf>
    <xf numFmtId="0" fontId="4" fillId="6" borderId="1" xfId="0" applyFont="1" applyFill="1" applyBorder="1" applyAlignment="1">
      <alignment horizontal="left" vertical="top" wrapText="1"/>
    </xf>
    <xf numFmtId="0" fontId="4" fillId="6" borderId="1" xfId="0" applyFont="1" applyFill="1" applyBorder="1" applyAlignment="1">
      <alignment horizontal="center" vertical="top"/>
    </xf>
    <xf numFmtId="0" fontId="3" fillId="7" borderId="1" xfId="0" applyFont="1" applyFill="1" applyBorder="1" applyAlignment="1">
      <alignment horizontal="center" vertical="top"/>
    </xf>
    <xf numFmtId="0" fontId="4" fillId="7" borderId="1" xfId="0" applyFont="1" applyFill="1" applyBorder="1" applyAlignment="1">
      <alignment horizontal="left" vertical="top"/>
    </xf>
    <xf numFmtId="0" fontId="3" fillId="8" borderId="1" xfId="0" applyFont="1" applyFill="1" applyBorder="1" applyAlignment="1">
      <alignment horizontal="center" vertical="top"/>
    </xf>
    <xf numFmtId="0" fontId="4" fillId="8" borderId="1" xfId="0" applyFont="1" applyFill="1" applyBorder="1" applyAlignment="1">
      <alignment horizontal="left" vertical="top"/>
    </xf>
    <xf numFmtId="0" fontId="3" fillId="9" borderId="1" xfId="0" applyFont="1" applyFill="1" applyBorder="1" applyAlignment="1">
      <alignment horizontal="center" vertical="top"/>
    </xf>
    <xf numFmtId="0" fontId="4" fillId="9" borderId="1" xfId="0" applyFont="1" applyFill="1" applyBorder="1" applyAlignment="1">
      <alignment horizontal="left" vertical="top"/>
    </xf>
    <xf numFmtId="0" fontId="3" fillId="10" borderId="1" xfId="0" applyFont="1" applyFill="1" applyBorder="1" applyAlignment="1">
      <alignment horizontal="center" vertical="top"/>
    </xf>
    <xf numFmtId="0" fontId="4" fillId="10" borderId="1" xfId="0" applyFont="1" applyFill="1" applyBorder="1" applyAlignment="1">
      <alignment horizontal="left" vertical="top"/>
    </xf>
    <xf numFmtId="0" fontId="3" fillId="11" borderId="1" xfId="0" applyFont="1" applyFill="1" applyBorder="1" applyAlignment="1">
      <alignment horizontal="center" vertical="top"/>
    </xf>
    <xf numFmtId="0" fontId="4" fillId="11" borderId="1" xfId="0" applyFont="1" applyFill="1" applyBorder="1" applyAlignment="1">
      <alignment horizontal="left" vertical="top"/>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5" fillId="0" borderId="0" xfId="0" applyFont="1"/>
    <xf numFmtId="0" fontId="3" fillId="5" borderId="1" xfId="0" applyFont="1" applyFill="1" applyBorder="1" applyAlignment="1">
      <alignment horizontal="center" vertical="center"/>
    </xf>
    <xf numFmtId="0" fontId="2" fillId="12" borderId="1" xfId="0" applyFont="1" applyFill="1" applyBorder="1" applyAlignment="1">
      <alignment horizontal="center" vertical="top"/>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2" fillId="2" borderId="1" xfId="0" applyFont="1" applyFill="1" applyBorder="1" applyAlignment="1">
      <alignment horizontal="left" vertical="center"/>
    </xf>
    <xf numFmtId="0" fontId="6" fillId="13" borderId="1" xfId="0" applyFont="1" applyFill="1" applyBorder="1" applyAlignment="1">
      <alignment horizontal="center" vertical="center"/>
    </xf>
    <xf numFmtId="0" fontId="2" fillId="3" borderId="1" xfId="0" applyFont="1" applyFill="1" applyBorder="1" applyAlignment="1">
      <alignment horizontal="left" vertical="center"/>
    </xf>
    <xf numFmtId="0" fontId="7" fillId="6" borderId="1" xfId="0" applyFont="1" applyFill="1" applyBorder="1" applyAlignment="1">
      <alignment horizontal="center" vertical="center"/>
    </xf>
    <xf numFmtId="0" fontId="3" fillId="6" borderId="1" xfId="0" applyFont="1" applyFill="1" applyBorder="1" applyAlignment="1">
      <alignment horizontal="left" vertical="top"/>
    </xf>
    <xf numFmtId="0" fontId="8" fillId="5" borderId="1" xfId="0" applyFont="1" applyFill="1" applyBorder="1" applyAlignment="1">
      <alignment horizontal="center" vertical="center"/>
    </xf>
    <xf numFmtId="0" fontId="9" fillId="10" borderId="1" xfId="0" applyFont="1" applyFill="1" applyBorder="1" applyAlignment="1">
      <alignment horizontal="center" vertical="center"/>
    </xf>
    <xf numFmtId="0" fontId="10" fillId="11"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0" borderId="1" xfId="0" applyFont="1" applyBorder="1" applyAlignment="1">
      <alignment horizontal="center" vertical="center"/>
    </xf>
    <xf numFmtId="0" fontId="3" fillId="4" borderId="1" xfId="0" applyFont="1" applyFill="1" applyBorder="1" applyAlignment="1">
      <alignment horizontal="left" vertical="top"/>
    </xf>
    <xf numFmtId="0" fontId="6" fillId="2" borderId="1" xfId="0" applyFont="1" applyFill="1" applyBorder="1" applyAlignment="1">
      <alignment horizontal="center"/>
    </xf>
  </cellXfs>
  <cellStyles count="1">
    <cellStyle name="Normal" xfId="0" builtinId="0"/>
  </cellStyles>
  <dxfs count="2">
    <dxf>
      <font>
        <b/>
        <sz val="10"/>
        <color rgb="FFB91C1C"/>
        <name val="Arial"/>
        <charset val="1"/>
      </font>
      <fill>
        <patternFill>
          <bgColor rgb="FFFEE2E2"/>
        </patternFill>
      </fill>
    </dxf>
    <dxf>
      <font>
        <b/>
        <sz val="10"/>
        <color rgb="FF065F46"/>
        <name val="Arial"/>
        <charset val="1"/>
      </font>
      <fill>
        <patternFill>
          <bgColor rgb="FFD1FAE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F172A"/>
      <rgbColor rgb="FF808000"/>
      <rgbColor rgb="FF5B21B6"/>
      <rgbColor rgb="FF065F46"/>
      <rgbColor rgb="FFD9D9D9"/>
      <rgbColor rgb="FF878787"/>
      <rgbColor rgb="FF8B5CF6"/>
      <rgbColor rgb="FF993366"/>
      <rgbColor rgb="FFFEF3C7"/>
      <rgbColor rgb="FFCFFAFE"/>
      <rgbColor rgb="FF660066"/>
      <rgbColor rgb="FFFF8080"/>
      <rgbColor rgb="FF0066CC"/>
      <rgbColor rgb="FFD1D5DB"/>
      <rgbColor rgb="FF111827"/>
      <rgbColor rgb="FFFF00FF"/>
      <rgbColor rgb="FFFFFF00"/>
      <rgbColor rgb="FF00FFFF"/>
      <rgbColor rgb="FF800080"/>
      <rgbColor rgb="FF800000"/>
      <rgbColor rgb="FF008080"/>
      <rgbColor rgb="FF0000FF"/>
      <rgbColor rgb="FF06B6D4"/>
      <rgbColor rgb="FFDBEAFE"/>
      <rgbColor rgb="FFD1FAE5"/>
      <rgbColor rgb="FFF3F4F6"/>
      <rgbColor rgb="FFEDE9FE"/>
      <rgbColor rgb="FFF8FAFC"/>
      <rgbColor rgb="FFCC99FF"/>
      <rgbColor rgb="FFFEE2E2"/>
      <rgbColor rgb="FF3B82F6"/>
      <rgbColor rgb="FF33CCCC"/>
      <rgbColor rgb="FF99CC00"/>
      <rgbColor rgb="FFFACC15"/>
      <rgbColor rgb="FFF59E0B"/>
      <rgbColor rgb="FFEF4444"/>
      <rgbColor rgb="FF4F81BD"/>
      <rgbColor rgb="FF9CA3AF"/>
      <rgbColor rgb="FF1E3A5F"/>
      <rgbColor rgb="FF339966"/>
      <rgbColor rgb="FF0F1E2F"/>
      <rgbColor rgb="FF374151"/>
      <rgbColor rgb="FFB91C1C"/>
      <rgbColor rgb="FF993366"/>
      <rgbColor rgb="FF1E40AF"/>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GB" sz="1800" b="1" u="none" strike="noStrike">
                <a:solidFill>
                  <a:srgbClr val="000000"/>
                </a:solidFill>
                <a:uFillTx/>
                <a:latin typeface="Calibri"/>
              </a:rPr>
              <a:t>Code Applications by Dimension × Speech</a:t>
            </a:r>
          </a:p>
        </c:rich>
      </c:tx>
      <c:overlay val="0"/>
      <c:spPr>
        <a:noFill/>
        <a:ln w="0">
          <a:noFill/>
        </a:ln>
      </c:spPr>
    </c:title>
    <c:autoTitleDeleted val="0"/>
    <c:plotArea>
      <c:layout/>
      <c:barChart>
        <c:barDir val="col"/>
        <c:grouping val="stacked"/>
        <c:varyColors val="0"/>
        <c:ser>
          <c:idx val="0"/>
          <c:order val="0"/>
          <c:tx>
            <c:v>D1.1</c:v>
          </c:tx>
          <c:spPr>
            <a:solidFill>
              <a:srgbClr val="3B82F6"/>
            </a:solidFill>
            <a:ln w="12600">
              <a:solidFill>
                <a:srgbClr val="3B82F6"/>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3B82F6"/>
                      </a:solidFill>
                    </a:ln>
                  </c:spPr>
                </c15:leaderLines>
              </c:ext>
            </c:extLst>
          </c:dLbls>
          <c:cat>
            <c:strRef>
              <c:f>'Freq — By Dimension'!$C$2:$H$2</c:f>
              <c:strCache>
                <c:ptCount val="6"/>
                <c:pt idx="0">
                  <c:v>Debate Presidencial 2023</c:v>
                </c:pt>
                <c:pt idx="1">
                  <c:v>WEF Davos 2024</c:v>
                </c:pt>
                <c:pt idx="2">
                  <c:v>UN General Assembly 79th</c:v>
                </c:pt>
                <c:pt idx="3">
                  <c:v>WEF Davos 2025</c:v>
                </c:pt>
                <c:pt idx="4">
                  <c:v>UN General Assembly 80th</c:v>
                </c:pt>
                <c:pt idx="5">
                  <c:v>WEF Davos 2026</c:v>
                </c:pt>
              </c:strCache>
            </c:strRef>
          </c:cat>
          <c:val>
            <c:numRef>
              <c:f>'Freq — By Dimension'!$C$3:$H$3</c:f>
              <c:numCache>
                <c:formatCode>General</c:formatCode>
                <c:ptCount val="6"/>
                <c:pt idx="0">
                  <c:v>1</c:v>
                </c:pt>
                <c:pt idx="1">
                  <c:v>10</c:v>
                </c:pt>
                <c:pt idx="2">
                  <c:v>5</c:v>
                </c:pt>
                <c:pt idx="3">
                  <c:v>7</c:v>
                </c:pt>
                <c:pt idx="4">
                  <c:v>5</c:v>
                </c:pt>
                <c:pt idx="5">
                  <c:v>5</c:v>
                </c:pt>
              </c:numCache>
            </c:numRef>
          </c:val>
          <c:extLst>
            <c:ext xmlns:c16="http://schemas.microsoft.com/office/drawing/2014/chart" uri="{C3380CC4-5D6E-409C-BE32-E72D297353CC}">
              <c16:uniqueId val="{00000000-0A24-4E5B-9BE5-7A912193159E}"/>
            </c:ext>
          </c:extLst>
        </c:ser>
        <c:ser>
          <c:idx val="1"/>
          <c:order val="1"/>
          <c:tx>
            <c:v>D1.2</c:v>
          </c:tx>
          <c:spPr>
            <a:solidFill>
              <a:srgbClr val="F59E0B"/>
            </a:solidFill>
            <a:ln w="12600">
              <a:solidFill>
                <a:srgbClr val="F59E0B"/>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59E0B"/>
                      </a:solidFill>
                    </a:ln>
                  </c:spPr>
                </c15:leaderLines>
              </c:ext>
            </c:extLst>
          </c:dLbls>
          <c:cat>
            <c:strRef>
              <c:f>'Freq — By Dimension'!$C$2:$H$2</c:f>
              <c:strCache>
                <c:ptCount val="6"/>
                <c:pt idx="0">
                  <c:v>Debate Presidencial 2023</c:v>
                </c:pt>
                <c:pt idx="1">
                  <c:v>WEF Davos 2024</c:v>
                </c:pt>
                <c:pt idx="2">
                  <c:v>UN General Assembly 79th</c:v>
                </c:pt>
                <c:pt idx="3">
                  <c:v>WEF Davos 2025</c:v>
                </c:pt>
                <c:pt idx="4">
                  <c:v>UN General Assembly 80th</c:v>
                </c:pt>
                <c:pt idx="5">
                  <c:v>WEF Davos 2026</c:v>
                </c:pt>
              </c:strCache>
            </c:strRef>
          </c:cat>
          <c:val>
            <c:numRef>
              <c:f>'Freq — By Dimension'!$C$4:$H$4</c:f>
              <c:numCache>
                <c:formatCode>General</c:formatCode>
                <c:ptCount val="6"/>
                <c:pt idx="0">
                  <c:v>2</c:v>
                </c:pt>
                <c:pt idx="1">
                  <c:v>3</c:v>
                </c:pt>
                <c:pt idx="2">
                  <c:v>1</c:v>
                </c:pt>
                <c:pt idx="3">
                  <c:v>4</c:v>
                </c:pt>
                <c:pt idx="4">
                  <c:v>2</c:v>
                </c:pt>
                <c:pt idx="5">
                  <c:v>0</c:v>
                </c:pt>
              </c:numCache>
            </c:numRef>
          </c:val>
          <c:extLst>
            <c:ext xmlns:c16="http://schemas.microsoft.com/office/drawing/2014/chart" uri="{C3380CC4-5D6E-409C-BE32-E72D297353CC}">
              <c16:uniqueId val="{00000001-0A24-4E5B-9BE5-7A912193159E}"/>
            </c:ext>
          </c:extLst>
        </c:ser>
        <c:ser>
          <c:idx val="2"/>
          <c:order val="2"/>
          <c:tx>
            <c:v>D1.3</c:v>
          </c:tx>
          <c:spPr>
            <a:solidFill>
              <a:srgbClr val="EF4444"/>
            </a:solidFill>
            <a:ln w="12600">
              <a:solidFill>
                <a:srgbClr val="EF4444"/>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EF4444"/>
                      </a:solidFill>
                    </a:ln>
                  </c:spPr>
                </c15:leaderLines>
              </c:ext>
            </c:extLst>
          </c:dLbls>
          <c:cat>
            <c:strRef>
              <c:f>'Freq — By Dimension'!$C$2:$H$2</c:f>
              <c:strCache>
                <c:ptCount val="6"/>
                <c:pt idx="0">
                  <c:v>Debate Presidencial 2023</c:v>
                </c:pt>
                <c:pt idx="1">
                  <c:v>WEF Davos 2024</c:v>
                </c:pt>
                <c:pt idx="2">
                  <c:v>UN General Assembly 79th</c:v>
                </c:pt>
                <c:pt idx="3">
                  <c:v>WEF Davos 2025</c:v>
                </c:pt>
                <c:pt idx="4">
                  <c:v>UN General Assembly 80th</c:v>
                </c:pt>
                <c:pt idx="5">
                  <c:v>WEF Davos 2026</c:v>
                </c:pt>
              </c:strCache>
            </c:strRef>
          </c:cat>
          <c:val>
            <c:numRef>
              <c:f>'Freq — By Dimension'!$C$5:$H$5</c:f>
              <c:numCache>
                <c:formatCode>General</c:formatCode>
                <c:ptCount val="6"/>
                <c:pt idx="0">
                  <c:v>0</c:v>
                </c:pt>
                <c:pt idx="1">
                  <c:v>3</c:v>
                </c:pt>
                <c:pt idx="2">
                  <c:v>2</c:v>
                </c:pt>
                <c:pt idx="3">
                  <c:v>6</c:v>
                </c:pt>
                <c:pt idx="4">
                  <c:v>1</c:v>
                </c:pt>
                <c:pt idx="5">
                  <c:v>2</c:v>
                </c:pt>
              </c:numCache>
            </c:numRef>
          </c:val>
          <c:extLst>
            <c:ext xmlns:c16="http://schemas.microsoft.com/office/drawing/2014/chart" uri="{C3380CC4-5D6E-409C-BE32-E72D297353CC}">
              <c16:uniqueId val="{00000002-0A24-4E5B-9BE5-7A912193159E}"/>
            </c:ext>
          </c:extLst>
        </c:ser>
        <c:ser>
          <c:idx val="3"/>
          <c:order val="3"/>
          <c:tx>
            <c:v>D2.2</c:v>
          </c:tx>
          <c:spPr>
            <a:solidFill>
              <a:srgbClr val="06B6D4"/>
            </a:solidFill>
            <a:ln w="12600">
              <a:solidFill>
                <a:srgbClr val="06B6D4"/>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6B6D4"/>
                      </a:solidFill>
                    </a:ln>
                  </c:spPr>
                </c15:leaderLines>
              </c:ext>
            </c:extLst>
          </c:dLbls>
          <c:cat>
            <c:strRef>
              <c:f>'Freq — By Dimension'!$C$2:$H$2</c:f>
              <c:strCache>
                <c:ptCount val="6"/>
                <c:pt idx="0">
                  <c:v>Debate Presidencial 2023</c:v>
                </c:pt>
                <c:pt idx="1">
                  <c:v>WEF Davos 2024</c:v>
                </c:pt>
                <c:pt idx="2">
                  <c:v>UN General Assembly 79th</c:v>
                </c:pt>
                <c:pt idx="3">
                  <c:v>WEF Davos 2025</c:v>
                </c:pt>
                <c:pt idx="4">
                  <c:v>UN General Assembly 80th</c:v>
                </c:pt>
                <c:pt idx="5">
                  <c:v>WEF Davos 2026</c:v>
                </c:pt>
              </c:strCache>
            </c:strRef>
          </c:cat>
          <c:val>
            <c:numRef>
              <c:f>'Freq — By Dimension'!$C$6:$H$6</c:f>
              <c:numCache>
                <c:formatCode>General</c:formatCode>
                <c:ptCount val="6"/>
                <c:pt idx="0">
                  <c:v>0</c:v>
                </c:pt>
                <c:pt idx="1">
                  <c:v>0</c:v>
                </c:pt>
                <c:pt idx="2">
                  <c:v>0</c:v>
                </c:pt>
                <c:pt idx="3">
                  <c:v>0</c:v>
                </c:pt>
                <c:pt idx="4">
                  <c:v>1</c:v>
                </c:pt>
                <c:pt idx="5">
                  <c:v>0</c:v>
                </c:pt>
              </c:numCache>
            </c:numRef>
          </c:val>
          <c:extLst>
            <c:ext xmlns:c16="http://schemas.microsoft.com/office/drawing/2014/chart" uri="{C3380CC4-5D6E-409C-BE32-E72D297353CC}">
              <c16:uniqueId val="{00000003-0A24-4E5B-9BE5-7A912193159E}"/>
            </c:ext>
          </c:extLst>
        </c:ser>
        <c:ser>
          <c:idx val="4"/>
          <c:order val="4"/>
          <c:tx>
            <c:v>D2.3</c:v>
          </c:tx>
          <c:spPr>
            <a:solidFill>
              <a:srgbClr val="8B5CF6"/>
            </a:solidFill>
            <a:ln w="12600">
              <a:solidFill>
                <a:srgbClr val="8B5CF6"/>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8B5CF6"/>
                      </a:solidFill>
                    </a:ln>
                  </c:spPr>
                </c15:leaderLines>
              </c:ext>
            </c:extLst>
          </c:dLbls>
          <c:cat>
            <c:strRef>
              <c:f>'Freq — By Dimension'!$C$2:$H$2</c:f>
              <c:strCache>
                <c:ptCount val="6"/>
                <c:pt idx="0">
                  <c:v>Debate Presidencial 2023</c:v>
                </c:pt>
                <c:pt idx="1">
                  <c:v>WEF Davos 2024</c:v>
                </c:pt>
                <c:pt idx="2">
                  <c:v>UN General Assembly 79th</c:v>
                </c:pt>
                <c:pt idx="3">
                  <c:v>WEF Davos 2025</c:v>
                </c:pt>
                <c:pt idx="4">
                  <c:v>UN General Assembly 80th</c:v>
                </c:pt>
                <c:pt idx="5">
                  <c:v>WEF Davos 2026</c:v>
                </c:pt>
              </c:strCache>
            </c:strRef>
          </c:cat>
          <c:val>
            <c:numRef>
              <c:f>'Freq — By Dimension'!$C$7:$H$7</c:f>
              <c:numCache>
                <c:formatCode>General</c:formatCode>
                <c:ptCount val="6"/>
                <c:pt idx="0">
                  <c:v>0</c:v>
                </c:pt>
                <c:pt idx="1">
                  <c:v>0</c:v>
                </c:pt>
                <c:pt idx="2">
                  <c:v>1</c:v>
                </c:pt>
                <c:pt idx="3">
                  <c:v>1</c:v>
                </c:pt>
                <c:pt idx="4">
                  <c:v>2</c:v>
                </c:pt>
                <c:pt idx="5">
                  <c:v>0</c:v>
                </c:pt>
              </c:numCache>
            </c:numRef>
          </c:val>
          <c:extLst>
            <c:ext xmlns:c16="http://schemas.microsoft.com/office/drawing/2014/chart" uri="{C3380CC4-5D6E-409C-BE32-E72D297353CC}">
              <c16:uniqueId val="{00000004-0A24-4E5B-9BE5-7A912193159E}"/>
            </c:ext>
          </c:extLst>
        </c:ser>
        <c:ser>
          <c:idx val="5"/>
          <c:order val="5"/>
          <c:tx>
            <c:v>IND</c:v>
          </c:tx>
          <c:spPr>
            <a:solidFill>
              <a:srgbClr val="9CA3AF"/>
            </a:solidFill>
            <a:ln w="12600">
              <a:solidFill>
                <a:srgbClr val="9CA3A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9CA3AF"/>
                      </a:solidFill>
                    </a:ln>
                  </c:spPr>
                </c15:leaderLines>
              </c:ext>
            </c:extLst>
          </c:dLbls>
          <c:cat>
            <c:strRef>
              <c:f>'Freq — By Dimension'!$C$2:$H$2</c:f>
              <c:strCache>
                <c:ptCount val="6"/>
                <c:pt idx="0">
                  <c:v>Debate Presidencial 2023</c:v>
                </c:pt>
                <c:pt idx="1">
                  <c:v>WEF Davos 2024</c:v>
                </c:pt>
                <c:pt idx="2">
                  <c:v>UN General Assembly 79th</c:v>
                </c:pt>
                <c:pt idx="3">
                  <c:v>WEF Davos 2025</c:v>
                </c:pt>
                <c:pt idx="4">
                  <c:v>UN General Assembly 80th</c:v>
                </c:pt>
                <c:pt idx="5">
                  <c:v>WEF Davos 2026</c:v>
                </c:pt>
              </c:strCache>
            </c:strRef>
          </c:cat>
          <c:val>
            <c:numRef>
              <c:f>'Freq — By Dimension'!$C$8:$H$8</c:f>
              <c:numCache>
                <c:formatCode>General</c:formatCode>
                <c:ptCount val="6"/>
                <c:pt idx="0">
                  <c:v>1</c:v>
                </c:pt>
                <c:pt idx="1">
                  <c:v>1</c:v>
                </c:pt>
                <c:pt idx="2">
                  <c:v>0</c:v>
                </c:pt>
                <c:pt idx="3">
                  <c:v>1</c:v>
                </c:pt>
                <c:pt idx="4">
                  <c:v>1</c:v>
                </c:pt>
                <c:pt idx="5">
                  <c:v>0</c:v>
                </c:pt>
              </c:numCache>
            </c:numRef>
          </c:val>
          <c:extLst>
            <c:ext xmlns:c16="http://schemas.microsoft.com/office/drawing/2014/chart" uri="{C3380CC4-5D6E-409C-BE32-E72D297353CC}">
              <c16:uniqueId val="{00000005-0A24-4E5B-9BE5-7A912193159E}"/>
            </c:ext>
          </c:extLst>
        </c:ser>
        <c:dLbls>
          <c:showLegendKey val="0"/>
          <c:showVal val="0"/>
          <c:showCatName val="0"/>
          <c:showSerName val="0"/>
          <c:showPercent val="0"/>
          <c:showBubbleSize val="0"/>
        </c:dLbls>
        <c:gapWidth val="150"/>
        <c:overlap val="100"/>
        <c:axId val="52463185"/>
        <c:axId val="13084993"/>
      </c:barChart>
      <c:catAx>
        <c:axId val="52463185"/>
        <c:scaling>
          <c:orientation val="minMax"/>
        </c:scaling>
        <c:delete val="0"/>
        <c:axPos val="b"/>
        <c:title>
          <c:tx>
            <c:rich>
              <a:bodyPr rot="0"/>
              <a:lstStyle/>
              <a:p>
                <a:pPr>
                  <a:defRPr sz="1300" b="0" u="none" strike="noStrike">
                    <a:uFillTx/>
                    <a:latin typeface="Arial"/>
                  </a:defRPr>
                </a:pPr>
                <a:r>
                  <a:rPr lang="en-GB" sz="1000" b="1" u="none" strike="noStrike">
                    <a:solidFill>
                      <a:srgbClr val="000000"/>
                    </a:solidFill>
                    <a:uFillTx/>
                    <a:latin typeface="Calibri"/>
                  </a:rPr>
                  <a:t>Speech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3084993"/>
        <c:crosses val="autoZero"/>
        <c:auto val="1"/>
        <c:lblAlgn val="ctr"/>
        <c:lblOffset val="100"/>
        <c:noMultiLvlLbl val="0"/>
      </c:catAx>
      <c:valAx>
        <c:axId val="1308499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GB" sz="1000" b="1" u="none" strike="noStrike">
                    <a:solidFill>
                      <a:srgbClr val="000000"/>
                    </a:solidFill>
                    <a:uFillTx/>
                    <a:latin typeface="Calibri"/>
                  </a:rPr>
                  <a:t>Coded passages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5246318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GB" sz="1800" b="1" u="none" strike="noStrike">
                <a:solidFill>
                  <a:srgbClr val="000000"/>
                </a:solidFill>
                <a:uFillTx/>
                <a:latin typeface="Calibri"/>
              </a:rPr>
              <a:t>Total Codes per Dimension</a:t>
            </a:r>
          </a:p>
        </c:rich>
      </c:tx>
      <c:overlay val="0"/>
      <c:spPr>
        <a:noFill/>
        <a:ln w="0">
          <a:noFill/>
        </a:ln>
      </c:spPr>
    </c:title>
    <c:autoTitleDeleted val="0"/>
    <c:plotArea>
      <c:layout/>
      <c:barChart>
        <c:barDir val="bar"/>
        <c:grouping val="clustered"/>
        <c:varyColors val="0"/>
        <c:ser>
          <c:idx val="0"/>
          <c:order val="0"/>
          <c:tx>
            <c:strRef>
              <c:f>'Freq — By Dimension'!$L$2</c:f>
              <c:strCache>
                <c:ptCount val="1"/>
                <c:pt idx="0">
                  <c:v>Total</c:v>
                </c:pt>
              </c:strCache>
            </c:strRef>
          </c:tx>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'Freq — By Dimension'!$K$3:$K$8</c:f>
              <c:strCache>
                <c:ptCount val="6"/>
                <c:pt idx="0">
                  <c:v>D1.1</c:v>
                </c:pt>
                <c:pt idx="1">
                  <c:v>D1.2</c:v>
                </c:pt>
                <c:pt idx="2">
                  <c:v>D1.3</c:v>
                </c:pt>
                <c:pt idx="3">
                  <c:v>D2.2</c:v>
                </c:pt>
                <c:pt idx="4">
                  <c:v>D2.3</c:v>
                </c:pt>
                <c:pt idx="5">
                  <c:v>IND</c:v>
                </c:pt>
              </c:strCache>
            </c:strRef>
          </c:cat>
          <c:val>
            <c:numRef>
              <c:f>'Freq — By Dimension'!$L$3:$L$8</c:f>
              <c:numCache>
                <c:formatCode>General</c:formatCode>
                <c:ptCount val="6"/>
                <c:pt idx="0">
                  <c:v>33</c:v>
                </c:pt>
                <c:pt idx="1">
                  <c:v>12</c:v>
                </c:pt>
                <c:pt idx="2">
                  <c:v>14</c:v>
                </c:pt>
                <c:pt idx="3">
                  <c:v>1</c:v>
                </c:pt>
                <c:pt idx="4">
                  <c:v>4</c:v>
                </c:pt>
                <c:pt idx="5">
                  <c:v>4</c:v>
                </c:pt>
              </c:numCache>
            </c:numRef>
          </c:val>
          <c:extLst>
            <c:ext xmlns:c16="http://schemas.microsoft.com/office/drawing/2014/chart" uri="{C3380CC4-5D6E-409C-BE32-E72D297353CC}">
              <c16:uniqueId val="{00000000-B530-42A9-A80E-503004EDBB2D}"/>
            </c:ext>
          </c:extLst>
        </c:ser>
        <c:dLbls>
          <c:showLegendKey val="0"/>
          <c:showVal val="0"/>
          <c:showCatName val="0"/>
          <c:showSerName val="0"/>
          <c:showPercent val="0"/>
          <c:showBubbleSize val="0"/>
        </c:dLbls>
        <c:gapWidth val="150"/>
        <c:axId val="27368987"/>
        <c:axId val="19206529"/>
      </c:barChart>
      <c:catAx>
        <c:axId val="27368987"/>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9206529"/>
        <c:crosses val="autoZero"/>
        <c:auto val="1"/>
        <c:lblAlgn val="ctr"/>
        <c:lblOffset val="100"/>
        <c:noMultiLvlLbl val="0"/>
      </c:catAx>
      <c:valAx>
        <c:axId val="19206529"/>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736898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GB" sz="1800" b="1" u="none" strike="noStrike">
                <a:solidFill>
                  <a:srgbClr val="000000"/>
                </a:solidFill>
                <a:uFillTx/>
                <a:latin typeface="Calibri"/>
              </a:rPr>
              <a:t>Total Appearances per Sub-code</a:t>
            </a:r>
          </a:p>
        </c:rich>
      </c:tx>
      <c:overlay val="0"/>
      <c:spPr>
        <a:noFill/>
        <a:ln w="0">
          <a:noFill/>
        </a:ln>
      </c:spPr>
    </c:title>
    <c:autoTitleDeleted val="0"/>
    <c:plotArea>
      <c:layout/>
      <c:barChart>
        <c:barDir val="bar"/>
        <c:grouping val="clustered"/>
        <c:varyColors val="0"/>
        <c:ser>
          <c:idx val="0"/>
          <c:order val="0"/>
          <c:tx>
            <c:strRef>
              <c:f>'Freq — By Sub-code'!$L$2</c:f>
              <c:strCache>
                <c:ptCount val="1"/>
                <c:pt idx="0">
                  <c:v>Total</c:v>
                </c:pt>
              </c:strCache>
            </c:strRef>
          </c:tx>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'Freq — By Sub-code'!$K$3:$K$22</c:f>
              <c:strCache>
                <c:ptCount val="20"/>
                <c:pt idx="0">
                  <c:v>D1.1·Anti-Casta (Elite Fr</c:v>
                </c:pt>
                <c:pt idx="1">
                  <c:v>D1.1·Anti-State / Anti-Bu</c:v>
                </c:pt>
                <c:pt idx="2">
                  <c:v>D1.1·Delegitimization of </c:v>
                </c:pt>
                <c:pt idx="3">
                  <c:v>D1.1·Deregulation Benefit</c:v>
                </c:pt>
                <c:pt idx="4">
                  <c:v>D1.1·Market Primacy</c:v>
                </c:pt>
                <c:pt idx="5">
                  <c:v>D1.1·Rejection of Multila</c:v>
                </c:pt>
                <c:pt idx="6">
                  <c:v>D1.1·Sustainability as Id</c:v>
                </c:pt>
                <c:pt idx="7">
                  <c:v>D1.2·Attack on Experts &amp; </c:v>
                </c:pt>
                <c:pt idx="8">
                  <c:v>D1.2·Attack on Universiti</c:v>
                </c:pt>
                <c:pt idx="9">
                  <c:v>D1.2·Climate Skepticism o</c:v>
                </c:pt>
                <c:pt idx="10">
                  <c:v>D1.2·Pseudo-Science / Ide</c:v>
                </c:pt>
                <c:pt idx="11">
                  <c:v>D1.2·Rejection of Expert </c:v>
                </c:pt>
                <c:pt idx="12">
                  <c:v>D1.3·Civilizational Defen</c:v>
                </c:pt>
                <c:pt idx="13">
                  <c:v>D1.3·Neo-Marxism</c:v>
                </c:pt>
                <c:pt idx="14">
                  <c:v>D1.3·Woke Bundling</c:v>
                </c:pt>
                <c:pt idx="15">
                  <c:v>D2.2·Agency Elimination o</c:v>
                </c:pt>
                <c:pt idx="16">
                  <c:v>D2.3·Withdrawal from Intl</c:v>
                </c:pt>
                <c:pt idx="17">
                  <c:v>IND·Reported Denial</c:v>
                </c:pt>
                <c:pt idx="18">
                  <c:v>IND·Selective Empiricism</c:v>
                </c:pt>
                <c:pt idx="19">
                  <c:v>IND·Temporal Appropriati</c:v>
                </c:pt>
              </c:strCache>
            </c:strRef>
          </c:cat>
          <c:val>
            <c:numRef>
              <c:f>'Freq — By Sub-code'!$L$3:$L$22</c:f>
              <c:numCache>
                <c:formatCode>General</c:formatCode>
                <c:ptCount val="20"/>
                <c:pt idx="0">
                  <c:v>1</c:v>
                </c:pt>
                <c:pt idx="1">
                  <c:v>2</c:v>
                </c:pt>
                <c:pt idx="2">
                  <c:v>6</c:v>
                </c:pt>
                <c:pt idx="3">
                  <c:v>5</c:v>
                </c:pt>
                <c:pt idx="4">
                  <c:v>5</c:v>
                </c:pt>
                <c:pt idx="5">
                  <c:v>9</c:v>
                </c:pt>
                <c:pt idx="6">
                  <c:v>5</c:v>
                </c:pt>
                <c:pt idx="7">
                  <c:v>5</c:v>
                </c:pt>
                <c:pt idx="8">
                  <c:v>1</c:v>
                </c:pt>
                <c:pt idx="9">
                  <c:v>2</c:v>
                </c:pt>
                <c:pt idx="10">
                  <c:v>3</c:v>
                </c:pt>
                <c:pt idx="11">
                  <c:v>1</c:v>
                </c:pt>
                <c:pt idx="12">
                  <c:v>6</c:v>
                </c:pt>
                <c:pt idx="13">
                  <c:v>4</c:v>
                </c:pt>
                <c:pt idx="14">
                  <c:v>4</c:v>
                </c:pt>
                <c:pt idx="15">
                  <c:v>1</c:v>
                </c:pt>
                <c:pt idx="16">
                  <c:v>4</c:v>
                </c:pt>
                <c:pt idx="17">
                  <c:v>1</c:v>
                </c:pt>
                <c:pt idx="18">
                  <c:v>2</c:v>
                </c:pt>
                <c:pt idx="19">
                  <c:v>1</c:v>
                </c:pt>
              </c:numCache>
            </c:numRef>
          </c:val>
          <c:extLst>
            <c:ext xmlns:c16="http://schemas.microsoft.com/office/drawing/2014/chart" uri="{C3380CC4-5D6E-409C-BE32-E72D297353CC}">
              <c16:uniqueId val="{00000000-7DE9-4441-A024-4D7BE5EC9213}"/>
            </c:ext>
          </c:extLst>
        </c:ser>
        <c:dLbls>
          <c:showLegendKey val="0"/>
          <c:showVal val="0"/>
          <c:showCatName val="0"/>
          <c:showSerName val="0"/>
          <c:showPercent val="0"/>
          <c:showBubbleSize val="0"/>
        </c:dLbls>
        <c:gapWidth val="150"/>
        <c:axId val="26328575"/>
        <c:axId val="30440170"/>
      </c:barChart>
      <c:catAx>
        <c:axId val="26328575"/>
        <c:scaling>
          <c:orientation val="minMax"/>
        </c:scaling>
        <c:delete val="0"/>
        <c:axPos val="l"/>
        <c:title>
          <c:tx>
            <c:rich>
              <a:bodyPr rot="-5400000"/>
              <a:lstStyle/>
              <a:p>
                <a:pPr>
                  <a:defRPr sz="1300" b="0" u="none" strike="noStrike">
                    <a:uFillTx/>
                    <a:latin typeface="Arial"/>
                  </a:defRPr>
                </a:pPr>
                <a:r>
                  <a:rPr lang="en-GB" sz="1000" b="1" u="none" strike="noStrike">
                    <a:solidFill>
                      <a:srgbClr val="000000"/>
                    </a:solidFill>
                    <a:uFillTx/>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0440170"/>
        <c:crosses val="autoZero"/>
        <c:auto val="1"/>
        <c:lblAlgn val="ctr"/>
        <c:lblOffset val="100"/>
        <c:noMultiLvlLbl val="0"/>
      </c:catAx>
      <c:valAx>
        <c:axId val="30440170"/>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lang="en-GB" sz="1000" b="1" u="none" strike="noStrike">
                    <a:solidFill>
                      <a:srgbClr val="000000"/>
                    </a:solidFill>
                    <a:uFillTx/>
                    <a:latin typeface="Calibri"/>
                  </a:rPr>
                  <a:t>Sub-code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632857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GB" sz="1800" b="1" u="none" strike="noStrike">
                <a:solidFill>
                  <a:srgbClr val="000000"/>
                </a:solidFill>
                <a:uFillTx/>
                <a:latin typeface="Calibri"/>
              </a:rPr>
              <a:t>D1 (Narrative) vs D2 (Institutional) Code Applications per Speech</a:t>
            </a:r>
          </a:p>
        </c:rich>
      </c:tx>
      <c:overlay val="0"/>
      <c:spPr>
        <a:noFill/>
        <a:ln w="0">
          <a:noFill/>
        </a:ln>
      </c:spPr>
    </c:title>
    <c:autoTitleDeleted val="0"/>
    <c:plotArea>
      <c:layout/>
      <c:barChart>
        <c:barDir val="col"/>
        <c:grouping val="clustered"/>
        <c:varyColors val="0"/>
        <c:ser>
          <c:idx val="0"/>
          <c:order val="0"/>
          <c:tx>
            <c:strRef>
              <c:f>'Speech Overview'!$E$2</c:f>
              <c:strCache>
                <c:ptCount val="1"/>
                <c:pt idx="0">
                  <c:v>D1 Codes</c:v>
                </c:pt>
              </c:strCache>
            </c:strRef>
          </c:tx>
          <c:spPr>
            <a:solidFill>
              <a:srgbClr val="3B82F6"/>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'Speech Overview'!$A$3:$A$8</c:f>
              <c:strCache>
                <c:ptCount val="6"/>
                <c:pt idx="0">
                  <c:v>Debate Presidencial 2023</c:v>
                </c:pt>
                <c:pt idx="1">
                  <c:v>WEF Davos 2024</c:v>
                </c:pt>
                <c:pt idx="2">
                  <c:v>UN General Assembly 79th</c:v>
                </c:pt>
                <c:pt idx="3">
                  <c:v>WEF Davos 2025</c:v>
                </c:pt>
                <c:pt idx="4">
                  <c:v>UN General Assembly 80th</c:v>
                </c:pt>
                <c:pt idx="5">
                  <c:v>WEF Davos 2026</c:v>
                </c:pt>
              </c:strCache>
            </c:strRef>
          </c:cat>
          <c:val>
            <c:numRef>
              <c:f>'Speech Overview'!$E$3:$E$8</c:f>
              <c:numCache>
                <c:formatCode>General</c:formatCode>
                <c:ptCount val="6"/>
                <c:pt idx="0">
                  <c:v>3</c:v>
                </c:pt>
                <c:pt idx="1">
                  <c:v>16</c:v>
                </c:pt>
                <c:pt idx="2">
                  <c:v>8</c:v>
                </c:pt>
                <c:pt idx="3">
                  <c:v>17</c:v>
                </c:pt>
                <c:pt idx="4">
                  <c:v>8</c:v>
                </c:pt>
                <c:pt idx="5">
                  <c:v>7</c:v>
                </c:pt>
              </c:numCache>
            </c:numRef>
          </c:val>
          <c:extLst>
            <c:ext xmlns:c16="http://schemas.microsoft.com/office/drawing/2014/chart" uri="{C3380CC4-5D6E-409C-BE32-E72D297353CC}">
              <c16:uniqueId val="{00000000-5B3E-4169-B70D-1469D414621F}"/>
            </c:ext>
          </c:extLst>
        </c:ser>
        <c:ser>
          <c:idx val="1"/>
          <c:order val="1"/>
          <c:tx>
            <c:strRef>
              <c:f>'Speech Overview'!$F$2</c:f>
              <c:strCache>
                <c:ptCount val="1"/>
                <c:pt idx="0">
                  <c:v>D2 Codes</c:v>
                </c:pt>
              </c:strCache>
            </c:strRef>
          </c:tx>
          <c:spPr>
            <a:solidFill>
              <a:srgbClr val="8B5CF6"/>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'Speech Overview'!$A$3:$A$8</c:f>
              <c:strCache>
                <c:ptCount val="6"/>
                <c:pt idx="0">
                  <c:v>Debate Presidencial 2023</c:v>
                </c:pt>
                <c:pt idx="1">
                  <c:v>WEF Davos 2024</c:v>
                </c:pt>
                <c:pt idx="2">
                  <c:v>UN General Assembly 79th</c:v>
                </c:pt>
                <c:pt idx="3">
                  <c:v>WEF Davos 2025</c:v>
                </c:pt>
                <c:pt idx="4">
                  <c:v>UN General Assembly 80th</c:v>
                </c:pt>
                <c:pt idx="5">
                  <c:v>WEF Davos 2026</c:v>
                </c:pt>
              </c:strCache>
            </c:strRef>
          </c:cat>
          <c:val>
            <c:numRef>
              <c:f>'Speech Overview'!$F$3:$F$8</c:f>
              <c:numCache>
                <c:formatCode>General</c:formatCode>
                <c:ptCount val="6"/>
                <c:pt idx="0">
                  <c:v>0</c:v>
                </c:pt>
                <c:pt idx="1">
                  <c:v>0</c:v>
                </c:pt>
                <c:pt idx="2">
                  <c:v>1</c:v>
                </c:pt>
                <c:pt idx="3">
                  <c:v>1</c:v>
                </c:pt>
                <c:pt idx="4">
                  <c:v>3</c:v>
                </c:pt>
                <c:pt idx="5">
                  <c:v>0</c:v>
                </c:pt>
              </c:numCache>
            </c:numRef>
          </c:val>
          <c:extLst>
            <c:ext xmlns:c16="http://schemas.microsoft.com/office/drawing/2014/chart" uri="{C3380CC4-5D6E-409C-BE32-E72D297353CC}">
              <c16:uniqueId val="{00000001-5B3E-4169-B70D-1469D414621F}"/>
            </c:ext>
          </c:extLst>
        </c:ser>
        <c:dLbls>
          <c:showLegendKey val="0"/>
          <c:showVal val="0"/>
          <c:showCatName val="0"/>
          <c:showSerName val="0"/>
          <c:showPercent val="0"/>
          <c:showBubbleSize val="0"/>
        </c:dLbls>
        <c:gapWidth val="150"/>
        <c:axId val="69115858"/>
        <c:axId val="95058960"/>
      </c:barChart>
      <c:catAx>
        <c:axId val="69115858"/>
        <c:scaling>
          <c:orientation val="minMax"/>
        </c:scaling>
        <c:delete val="0"/>
        <c:axPos val="b"/>
        <c:title>
          <c:tx>
            <c:rich>
              <a:bodyPr rot="0"/>
              <a:lstStyle/>
              <a:p>
                <a:pPr>
                  <a:defRPr sz="1300" b="0" u="none" strike="noStrike">
                    <a:uFillTx/>
                    <a:latin typeface="Arial"/>
                  </a:defRPr>
                </a:pPr>
                <a:r>
                  <a:rPr lang="en-GB" sz="1000" b="1" u="none" strike="noStrike">
                    <a:solidFill>
                      <a:srgbClr val="000000"/>
                    </a:solidFill>
                    <a:uFillTx/>
                    <a:latin typeface="Calibri"/>
                  </a:rPr>
                  <a:t>Speech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95058960"/>
        <c:crosses val="autoZero"/>
        <c:auto val="1"/>
        <c:lblAlgn val="ctr"/>
        <c:lblOffset val="100"/>
        <c:noMultiLvlLbl val="0"/>
      </c:catAx>
      <c:valAx>
        <c:axId val="9505896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GB" sz="1000" b="1" u="none" strike="noStrike">
                    <a:solidFill>
                      <a:srgbClr val="000000"/>
                    </a:solidFill>
                    <a:uFillTx/>
                    <a:latin typeface="Calibri"/>
                  </a:rPr>
                  <a:t>Coded passages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911585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6</xdr:col>
      <xdr:colOff>745200</xdr:colOff>
      <xdr:row>36</xdr:row>
      <xdr:rowOff>86760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10</xdr:row>
      <xdr:rowOff>0</xdr:rowOff>
    </xdr:from>
    <xdr:to>
      <xdr:col>17</xdr:col>
      <xdr:colOff>39240</xdr:colOff>
      <xdr:row>36</xdr:row>
      <xdr:rowOff>86760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8</xdr:col>
      <xdr:colOff>352800</xdr:colOff>
      <xdr:row>70</xdr:row>
      <xdr:rowOff>67320</xdr:rowOff>
    </xdr:to>
    <xdr:graphicFrame macro="">
      <xdr:nvGraphicFramePr>
        <xdr:cNvPr id="3" name="Chart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8</xdr:col>
      <xdr:colOff>886320</xdr:colOff>
      <xdr:row>37</xdr:row>
      <xdr:rowOff>86400</xdr:rowOff>
    </xdr:to>
    <xdr:graphicFrame macro="">
      <xdr:nvGraphicFramePr>
        <xdr:cNvPr id="4" name="Chart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0"/>
  <sheetViews>
    <sheetView tabSelected="1" zoomScaleNormal="100" workbookViewId="0">
      <pane ySplit="2" topLeftCell="A47" activePane="bottomLeft" state="frozen"/>
      <selection pane="bottomLeft" activeCell="C3" sqref="C3"/>
    </sheetView>
  </sheetViews>
  <sheetFormatPr defaultColWidth="8.6640625" defaultRowHeight="14.25" x14ac:dyDescent="0.45"/>
  <cols>
    <col min="1" max="1" width="4" customWidth="1"/>
    <col min="2" max="2" width="10" customWidth="1"/>
    <col min="3" max="3" width="28" customWidth="1"/>
    <col min="4" max="4" width="40" customWidth="1"/>
    <col min="5" max="5" width="30" customWidth="1"/>
    <col min="6" max="6" width="55" customWidth="1"/>
    <col min="7" max="7" width="72" customWidth="1"/>
    <col min="8" max="8" width="30" customWidth="1"/>
    <col min="9" max="9" width="12" customWidth="1"/>
    <col min="10" max="10" width="18" customWidth="1"/>
  </cols>
  <sheetData>
    <row r="1" spans="1:10" ht="30" customHeight="1" x14ac:dyDescent="0.45">
      <c r="A1" s="1" t="s">
        <v>0</v>
      </c>
      <c r="B1" s="1"/>
      <c r="C1" s="1"/>
      <c r="D1" s="1"/>
      <c r="E1" s="1"/>
      <c r="F1" s="1"/>
      <c r="G1" s="1"/>
      <c r="H1" s="1"/>
      <c r="I1" s="1"/>
      <c r="J1" s="1"/>
    </row>
    <row r="2" spans="1:10" ht="25.5" customHeight="1" x14ac:dyDescent="0.45">
      <c r="A2" s="2" t="s">
        <v>1</v>
      </c>
      <c r="B2" s="2" t="s">
        <v>2</v>
      </c>
      <c r="C2" s="2" t="s">
        <v>3</v>
      </c>
      <c r="D2" s="2" t="s">
        <v>4</v>
      </c>
      <c r="E2" s="2" t="s">
        <v>5</v>
      </c>
      <c r="F2" s="2" t="s">
        <v>6</v>
      </c>
      <c r="G2" s="2" t="s">
        <v>7</v>
      </c>
      <c r="H2" s="2" t="s">
        <v>8</v>
      </c>
      <c r="I2" s="2" t="s">
        <v>9</v>
      </c>
      <c r="J2" s="2" t="s">
        <v>10</v>
      </c>
    </row>
    <row r="3" spans="1:10" ht="84.75" customHeight="1" x14ac:dyDescent="0.45">
      <c r="A3" s="3">
        <v>1</v>
      </c>
      <c r="B3" s="4" t="s">
        <v>11</v>
      </c>
      <c r="C3" s="5" t="s">
        <v>12</v>
      </c>
      <c r="D3" s="6" t="s">
        <v>13</v>
      </c>
      <c r="E3" s="6" t="s">
        <v>12</v>
      </c>
      <c r="F3" s="7" t="s">
        <v>14</v>
      </c>
      <c r="G3" s="7" t="s">
        <v>15</v>
      </c>
      <c r="H3" s="6" t="s">
        <v>16</v>
      </c>
      <c r="I3" s="8" t="s">
        <v>17</v>
      </c>
      <c r="J3" s="6" t="s">
        <v>18</v>
      </c>
    </row>
    <row r="4" spans="1:10" ht="84.75" customHeight="1" x14ac:dyDescent="0.45">
      <c r="A4" s="9">
        <v>2</v>
      </c>
      <c r="B4" s="4" t="s">
        <v>11</v>
      </c>
      <c r="C4" s="5" t="s">
        <v>19</v>
      </c>
      <c r="D4" s="10" t="s">
        <v>13</v>
      </c>
      <c r="E4" s="10" t="s">
        <v>19</v>
      </c>
      <c r="F4" s="11" t="s">
        <v>20</v>
      </c>
      <c r="G4" s="11" t="s">
        <v>21</v>
      </c>
      <c r="H4" s="10" t="s">
        <v>22</v>
      </c>
      <c r="I4" s="12" t="s">
        <v>23</v>
      </c>
      <c r="J4" s="10" t="s">
        <v>24</v>
      </c>
    </row>
    <row r="5" spans="1:10" ht="84.75" customHeight="1" x14ac:dyDescent="0.45">
      <c r="A5" s="3">
        <v>3</v>
      </c>
      <c r="B5" s="4" t="s">
        <v>11</v>
      </c>
      <c r="C5" s="5" t="s">
        <v>19</v>
      </c>
      <c r="D5" s="6" t="s">
        <v>13</v>
      </c>
      <c r="E5" s="6" t="s">
        <v>19</v>
      </c>
      <c r="F5" s="7" t="s">
        <v>25</v>
      </c>
      <c r="G5" s="7" t="s">
        <v>26</v>
      </c>
      <c r="H5" s="6" t="s">
        <v>16</v>
      </c>
      <c r="I5" s="8" t="s">
        <v>17</v>
      </c>
      <c r="J5" s="6" t="s">
        <v>18</v>
      </c>
    </row>
    <row r="6" spans="1:10" ht="84.75" customHeight="1" x14ac:dyDescent="0.45">
      <c r="A6" s="9">
        <v>4</v>
      </c>
      <c r="B6" s="4" t="s">
        <v>11</v>
      </c>
      <c r="C6" s="5" t="s">
        <v>27</v>
      </c>
      <c r="D6" s="10" t="s">
        <v>13</v>
      </c>
      <c r="E6" s="10" t="s">
        <v>27</v>
      </c>
      <c r="F6" s="11" t="s">
        <v>28</v>
      </c>
      <c r="G6" s="11" t="s">
        <v>29</v>
      </c>
      <c r="H6" s="10" t="s">
        <v>16</v>
      </c>
      <c r="I6" s="12" t="s">
        <v>17</v>
      </c>
      <c r="J6" s="10" t="s">
        <v>18</v>
      </c>
    </row>
    <row r="7" spans="1:10" ht="84.75" customHeight="1" x14ac:dyDescent="0.45">
      <c r="A7" s="3">
        <v>5</v>
      </c>
      <c r="B7" s="4" t="s">
        <v>11</v>
      </c>
      <c r="C7" s="5" t="s">
        <v>27</v>
      </c>
      <c r="D7" s="6" t="s">
        <v>13</v>
      </c>
      <c r="E7" s="6" t="s">
        <v>27</v>
      </c>
      <c r="F7" s="7" t="s">
        <v>30</v>
      </c>
      <c r="G7" s="7" t="s">
        <v>31</v>
      </c>
      <c r="H7" s="6" t="s">
        <v>16</v>
      </c>
      <c r="I7" s="8" t="s">
        <v>17</v>
      </c>
      <c r="J7" s="6" t="s">
        <v>18</v>
      </c>
    </row>
    <row r="8" spans="1:10" ht="84.75" customHeight="1" x14ac:dyDescent="0.45">
      <c r="A8" s="9">
        <v>6</v>
      </c>
      <c r="B8" s="4" t="s">
        <v>11</v>
      </c>
      <c r="C8" s="5" t="s">
        <v>27</v>
      </c>
      <c r="D8" s="10" t="s">
        <v>13</v>
      </c>
      <c r="E8" s="10" t="s">
        <v>27</v>
      </c>
      <c r="F8" s="11" t="s">
        <v>32</v>
      </c>
      <c r="G8" s="11" t="s">
        <v>33</v>
      </c>
      <c r="H8" s="10" t="s">
        <v>16</v>
      </c>
      <c r="I8" s="12" t="s">
        <v>17</v>
      </c>
      <c r="J8" s="10" t="s">
        <v>18</v>
      </c>
    </row>
    <row r="9" spans="1:10" ht="84.75" customHeight="1" x14ac:dyDescent="0.45">
      <c r="A9" s="3">
        <v>7</v>
      </c>
      <c r="B9" s="4" t="s">
        <v>11</v>
      </c>
      <c r="C9" s="5" t="s">
        <v>27</v>
      </c>
      <c r="D9" s="6" t="s">
        <v>13</v>
      </c>
      <c r="E9" s="6" t="s">
        <v>27</v>
      </c>
      <c r="F9" s="7" t="s">
        <v>34</v>
      </c>
      <c r="G9" s="7" t="s">
        <v>35</v>
      </c>
      <c r="H9" s="6" t="s">
        <v>36</v>
      </c>
      <c r="I9" s="8" t="s">
        <v>37</v>
      </c>
      <c r="J9" s="6" t="s">
        <v>18</v>
      </c>
    </row>
    <row r="10" spans="1:10" ht="84.75" customHeight="1" x14ac:dyDescent="0.45">
      <c r="A10" s="9">
        <v>8</v>
      </c>
      <c r="B10" s="4" t="s">
        <v>11</v>
      </c>
      <c r="C10" s="5" t="s">
        <v>27</v>
      </c>
      <c r="D10" s="10" t="s">
        <v>13</v>
      </c>
      <c r="E10" s="10" t="s">
        <v>27</v>
      </c>
      <c r="F10" s="11" t="s">
        <v>38</v>
      </c>
      <c r="G10" s="11" t="s">
        <v>39</v>
      </c>
      <c r="H10" s="10" t="s">
        <v>40</v>
      </c>
      <c r="I10" s="12" t="s">
        <v>41</v>
      </c>
      <c r="J10" s="10" t="s">
        <v>18</v>
      </c>
    </row>
    <row r="11" spans="1:10" ht="84.75" customHeight="1" x14ac:dyDescent="0.45">
      <c r="A11" s="3">
        <v>9</v>
      </c>
      <c r="B11" s="4" t="s">
        <v>11</v>
      </c>
      <c r="C11" s="5" t="s">
        <v>27</v>
      </c>
      <c r="D11" s="6" t="s">
        <v>13</v>
      </c>
      <c r="E11" s="6" t="s">
        <v>27</v>
      </c>
      <c r="F11" s="7" t="s">
        <v>42</v>
      </c>
      <c r="G11" s="7" t="s">
        <v>43</v>
      </c>
      <c r="H11" s="6" t="s">
        <v>40</v>
      </c>
      <c r="I11" s="8" t="s">
        <v>41</v>
      </c>
      <c r="J11" s="6" t="s">
        <v>18</v>
      </c>
    </row>
    <row r="12" spans="1:10" ht="84.75" customHeight="1" x14ac:dyDescent="0.45">
      <c r="A12" s="9">
        <v>10</v>
      </c>
      <c r="B12" s="4" t="s">
        <v>11</v>
      </c>
      <c r="C12" s="5" t="s">
        <v>44</v>
      </c>
      <c r="D12" s="10" t="s">
        <v>13</v>
      </c>
      <c r="E12" s="10" t="s">
        <v>44</v>
      </c>
      <c r="F12" s="11" t="s">
        <v>45</v>
      </c>
      <c r="G12" s="11" t="s">
        <v>46</v>
      </c>
      <c r="H12" s="10" t="s">
        <v>22</v>
      </c>
      <c r="I12" s="12" t="s">
        <v>23</v>
      </c>
      <c r="J12" s="10" t="s">
        <v>24</v>
      </c>
    </row>
    <row r="13" spans="1:10" ht="84.75" customHeight="1" x14ac:dyDescent="0.45">
      <c r="A13" s="3">
        <v>11</v>
      </c>
      <c r="B13" s="4" t="s">
        <v>11</v>
      </c>
      <c r="C13" s="5" t="s">
        <v>44</v>
      </c>
      <c r="D13" s="6" t="s">
        <v>13</v>
      </c>
      <c r="E13" s="6" t="s">
        <v>44</v>
      </c>
      <c r="F13" s="7" t="s">
        <v>47</v>
      </c>
      <c r="G13" s="7" t="s">
        <v>48</v>
      </c>
      <c r="H13" s="6" t="s">
        <v>16</v>
      </c>
      <c r="I13" s="8" t="s">
        <v>17</v>
      </c>
      <c r="J13" s="6" t="s">
        <v>18</v>
      </c>
    </row>
    <row r="14" spans="1:10" ht="84.75" customHeight="1" x14ac:dyDescent="0.45">
      <c r="A14" s="9">
        <v>12</v>
      </c>
      <c r="B14" s="4" t="s">
        <v>11</v>
      </c>
      <c r="C14" s="5" t="s">
        <v>44</v>
      </c>
      <c r="D14" s="10" t="s">
        <v>13</v>
      </c>
      <c r="E14" s="10" t="s">
        <v>44</v>
      </c>
      <c r="F14" s="11" t="s">
        <v>49</v>
      </c>
      <c r="G14" s="11" t="s">
        <v>50</v>
      </c>
      <c r="H14" s="10" t="s">
        <v>36</v>
      </c>
      <c r="I14" s="12" t="s">
        <v>37</v>
      </c>
      <c r="J14" s="10" t="s">
        <v>18</v>
      </c>
    </row>
    <row r="15" spans="1:10" ht="84.75" customHeight="1" x14ac:dyDescent="0.45">
      <c r="A15" s="3">
        <v>13</v>
      </c>
      <c r="B15" s="4" t="s">
        <v>11</v>
      </c>
      <c r="C15" s="5" t="s">
        <v>44</v>
      </c>
      <c r="D15" s="6" t="s">
        <v>13</v>
      </c>
      <c r="E15" s="6" t="s">
        <v>44</v>
      </c>
      <c r="F15" s="7" t="s">
        <v>51</v>
      </c>
      <c r="G15" s="7" t="s">
        <v>52</v>
      </c>
      <c r="H15" s="6" t="s">
        <v>40</v>
      </c>
      <c r="I15" s="8" t="s">
        <v>41</v>
      </c>
      <c r="J15" s="6" t="s">
        <v>18</v>
      </c>
    </row>
    <row r="16" spans="1:10" ht="84.75" customHeight="1" x14ac:dyDescent="0.45">
      <c r="A16" s="9">
        <v>14</v>
      </c>
      <c r="B16" s="4" t="s">
        <v>11</v>
      </c>
      <c r="C16" s="5" t="s">
        <v>44</v>
      </c>
      <c r="D16" s="10" t="s">
        <v>13</v>
      </c>
      <c r="E16" s="10" t="s">
        <v>44</v>
      </c>
      <c r="F16" s="11" t="s">
        <v>53</v>
      </c>
      <c r="G16" s="11" t="s">
        <v>54</v>
      </c>
      <c r="H16" s="10" t="s">
        <v>40</v>
      </c>
      <c r="I16" s="12" t="s">
        <v>41</v>
      </c>
      <c r="J16" s="10" t="s">
        <v>18</v>
      </c>
    </row>
    <row r="17" spans="1:10" ht="84.75" customHeight="1" x14ac:dyDescent="0.45">
      <c r="A17" s="3">
        <v>15</v>
      </c>
      <c r="B17" s="4" t="s">
        <v>11</v>
      </c>
      <c r="C17" s="5" t="s">
        <v>55</v>
      </c>
      <c r="D17" s="6" t="s">
        <v>13</v>
      </c>
      <c r="E17" s="6" t="s">
        <v>55</v>
      </c>
      <c r="F17" s="7" t="s">
        <v>56</v>
      </c>
      <c r="G17" s="7" t="s">
        <v>57</v>
      </c>
      <c r="H17" s="6" t="s">
        <v>16</v>
      </c>
      <c r="I17" s="8" t="s">
        <v>17</v>
      </c>
      <c r="J17" s="6" t="s">
        <v>18</v>
      </c>
    </row>
    <row r="18" spans="1:10" ht="84.75" customHeight="1" x14ac:dyDescent="0.45">
      <c r="A18" s="9">
        <v>16</v>
      </c>
      <c r="B18" s="4" t="s">
        <v>11</v>
      </c>
      <c r="C18" s="5" t="s">
        <v>55</v>
      </c>
      <c r="D18" s="10" t="s">
        <v>13</v>
      </c>
      <c r="E18" s="10" t="s">
        <v>55</v>
      </c>
      <c r="F18" s="11" t="s">
        <v>58</v>
      </c>
      <c r="G18" s="11" t="s">
        <v>59</v>
      </c>
      <c r="H18" s="10" t="s">
        <v>16</v>
      </c>
      <c r="I18" s="12" t="s">
        <v>17</v>
      </c>
      <c r="J18" s="10" t="s">
        <v>18</v>
      </c>
    </row>
    <row r="19" spans="1:10" ht="84.75" customHeight="1" x14ac:dyDescent="0.45">
      <c r="A19" s="3">
        <v>17</v>
      </c>
      <c r="B19" s="4" t="s">
        <v>11</v>
      </c>
      <c r="C19" s="5" t="s">
        <v>55</v>
      </c>
      <c r="D19" s="6" t="s">
        <v>13</v>
      </c>
      <c r="E19" s="6" t="s">
        <v>55</v>
      </c>
      <c r="F19" s="7" t="s">
        <v>60</v>
      </c>
      <c r="G19" s="7" t="s">
        <v>61</v>
      </c>
      <c r="H19" s="6" t="s">
        <v>16</v>
      </c>
      <c r="I19" s="8" t="s">
        <v>17</v>
      </c>
      <c r="J19" s="6" t="s">
        <v>18</v>
      </c>
    </row>
    <row r="20" spans="1:10" ht="84.75" customHeight="1" x14ac:dyDescent="0.45">
      <c r="A20" s="9">
        <v>18</v>
      </c>
      <c r="B20" s="4" t="s">
        <v>11</v>
      </c>
      <c r="C20" s="5" t="s">
        <v>55</v>
      </c>
      <c r="D20" s="10" t="s">
        <v>13</v>
      </c>
      <c r="E20" s="10" t="s">
        <v>55</v>
      </c>
      <c r="F20" s="11" t="s">
        <v>62</v>
      </c>
      <c r="G20" s="11" t="s">
        <v>63</v>
      </c>
      <c r="H20" s="10" t="s">
        <v>36</v>
      </c>
      <c r="I20" s="12" t="s">
        <v>37</v>
      </c>
      <c r="J20" s="10" t="s">
        <v>18</v>
      </c>
    </row>
    <row r="21" spans="1:10" ht="84.75" customHeight="1" x14ac:dyDescent="0.45">
      <c r="A21" s="3">
        <v>19</v>
      </c>
      <c r="B21" s="4" t="s">
        <v>11</v>
      </c>
      <c r="C21" s="5" t="s">
        <v>55</v>
      </c>
      <c r="D21" s="6" t="s">
        <v>13</v>
      </c>
      <c r="E21" s="6" t="s">
        <v>55</v>
      </c>
      <c r="F21" s="7" t="s">
        <v>64</v>
      </c>
      <c r="G21" s="7" t="s">
        <v>65</v>
      </c>
      <c r="H21" s="6" t="s">
        <v>40</v>
      </c>
      <c r="I21" s="8" t="s">
        <v>41</v>
      </c>
      <c r="J21" s="6" t="s">
        <v>18</v>
      </c>
    </row>
    <row r="22" spans="1:10" ht="84.75" customHeight="1" x14ac:dyDescent="0.45">
      <c r="A22" s="9">
        <v>20</v>
      </c>
      <c r="B22" s="4" t="s">
        <v>11</v>
      </c>
      <c r="C22" s="5" t="s">
        <v>66</v>
      </c>
      <c r="D22" s="10" t="s">
        <v>13</v>
      </c>
      <c r="E22" s="10" t="s">
        <v>66</v>
      </c>
      <c r="F22" s="11" t="s">
        <v>67</v>
      </c>
      <c r="G22" s="11" t="s">
        <v>68</v>
      </c>
      <c r="H22" s="10" t="s">
        <v>69</v>
      </c>
      <c r="I22" s="12" t="s">
        <v>70</v>
      </c>
      <c r="J22" s="10" t="s">
        <v>24</v>
      </c>
    </row>
    <row r="23" spans="1:10" ht="84.75" customHeight="1" x14ac:dyDescent="0.45">
      <c r="A23" s="3">
        <v>21</v>
      </c>
      <c r="B23" s="4" t="s">
        <v>11</v>
      </c>
      <c r="C23" s="5" t="s">
        <v>66</v>
      </c>
      <c r="D23" s="6" t="s">
        <v>13</v>
      </c>
      <c r="E23" s="6" t="s">
        <v>66</v>
      </c>
      <c r="F23" s="7" t="s">
        <v>71</v>
      </c>
      <c r="G23" s="7" t="s">
        <v>72</v>
      </c>
      <c r="H23" s="6" t="s">
        <v>69</v>
      </c>
      <c r="I23" s="8" t="s">
        <v>70</v>
      </c>
      <c r="J23" s="6" t="s">
        <v>24</v>
      </c>
    </row>
    <row r="24" spans="1:10" ht="84.75" customHeight="1" x14ac:dyDescent="0.45">
      <c r="A24" s="9">
        <v>22</v>
      </c>
      <c r="B24" s="4" t="s">
        <v>11</v>
      </c>
      <c r="C24" s="5" t="s">
        <v>66</v>
      </c>
      <c r="D24" s="10" t="s">
        <v>13</v>
      </c>
      <c r="E24" s="10" t="s">
        <v>66</v>
      </c>
      <c r="F24" s="11" t="s">
        <v>73</v>
      </c>
      <c r="G24" s="11" t="s">
        <v>74</v>
      </c>
      <c r="H24" s="10" t="s">
        <v>69</v>
      </c>
      <c r="I24" s="12" t="s">
        <v>70</v>
      </c>
      <c r="J24" s="10" t="s">
        <v>24</v>
      </c>
    </row>
    <row r="25" spans="1:10" ht="84.75" customHeight="1" x14ac:dyDescent="0.45">
      <c r="A25" s="3">
        <v>23</v>
      </c>
      <c r="B25" s="4" t="s">
        <v>11</v>
      </c>
      <c r="C25" s="5" t="s">
        <v>66</v>
      </c>
      <c r="D25" s="6" t="s">
        <v>13</v>
      </c>
      <c r="E25" s="6" t="s">
        <v>66</v>
      </c>
      <c r="F25" s="7" t="s">
        <v>75</v>
      </c>
      <c r="G25" s="7" t="s">
        <v>76</v>
      </c>
      <c r="H25" s="6" t="s">
        <v>22</v>
      </c>
      <c r="I25" s="8" t="s">
        <v>23</v>
      </c>
      <c r="J25" s="6" t="s">
        <v>24</v>
      </c>
    </row>
    <row r="26" spans="1:10" ht="84.75" customHeight="1" x14ac:dyDescent="0.45">
      <c r="A26" s="9">
        <v>24</v>
      </c>
      <c r="B26" s="4" t="s">
        <v>11</v>
      </c>
      <c r="C26" s="5" t="s">
        <v>66</v>
      </c>
      <c r="D26" s="10" t="s">
        <v>13</v>
      </c>
      <c r="E26" s="10" t="s">
        <v>66</v>
      </c>
      <c r="F26" s="11" t="s">
        <v>77</v>
      </c>
      <c r="G26" s="11" t="s">
        <v>78</v>
      </c>
      <c r="H26" s="10" t="s">
        <v>22</v>
      </c>
      <c r="I26" s="12" t="s">
        <v>23</v>
      </c>
      <c r="J26" s="10" t="s">
        <v>24</v>
      </c>
    </row>
    <row r="27" spans="1:10" ht="84.75" customHeight="1" x14ac:dyDescent="0.45">
      <c r="A27" s="3">
        <v>25</v>
      </c>
      <c r="B27" s="4" t="s">
        <v>11</v>
      </c>
      <c r="C27" s="5" t="s">
        <v>66</v>
      </c>
      <c r="D27" s="6" t="s">
        <v>13</v>
      </c>
      <c r="E27" s="6" t="s">
        <v>66</v>
      </c>
      <c r="F27" s="7" t="s">
        <v>79</v>
      </c>
      <c r="G27" s="7" t="s">
        <v>80</v>
      </c>
      <c r="H27" s="6" t="s">
        <v>16</v>
      </c>
      <c r="I27" s="8" t="s">
        <v>17</v>
      </c>
      <c r="J27" s="6" t="s">
        <v>18</v>
      </c>
    </row>
    <row r="28" spans="1:10" ht="84.75" customHeight="1" x14ac:dyDescent="0.45">
      <c r="A28" s="9">
        <v>26</v>
      </c>
      <c r="B28" s="4" t="s">
        <v>11</v>
      </c>
      <c r="C28" s="5" t="s">
        <v>66</v>
      </c>
      <c r="D28" s="10" t="s">
        <v>13</v>
      </c>
      <c r="E28" s="10" t="s">
        <v>66</v>
      </c>
      <c r="F28" s="11" t="s">
        <v>81</v>
      </c>
      <c r="G28" s="11" t="s">
        <v>82</v>
      </c>
      <c r="H28" s="10" t="s">
        <v>36</v>
      </c>
      <c r="I28" s="12" t="s">
        <v>37</v>
      </c>
      <c r="J28" s="10" t="s">
        <v>18</v>
      </c>
    </row>
    <row r="29" spans="1:10" ht="84.75" customHeight="1" x14ac:dyDescent="0.45">
      <c r="A29" s="3">
        <v>27</v>
      </c>
      <c r="B29" s="4" t="s">
        <v>11</v>
      </c>
      <c r="C29" s="5" t="s">
        <v>66</v>
      </c>
      <c r="D29" s="6" t="s">
        <v>13</v>
      </c>
      <c r="E29" s="6" t="s">
        <v>66</v>
      </c>
      <c r="F29" s="7" t="s">
        <v>83</v>
      </c>
      <c r="G29" s="7" t="s">
        <v>84</v>
      </c>
      <c r="H29" s="6" t="s">
        <v>36</v>
      </c>
      <c r="I29" s="8" t="s">
        <v>37</v>
      </c>
      <c r="J29" s="6" t="s">
        <v>18</v>
      </c>
    </row>
    <row r="30" spans="1:10" ht="84.75" customHeight="1" x14ac:dyDescent="0.45">
      <c r="A30" s="9">
        <v>28</v>
      </c>
      <c r="B30" s="4" t="s">
        <v>11</v>
      </c>
      <c r="C30" s="5" t="s">
        <v>66</v>
      </c>
      <c r="D30" s="10" t="s">
        <v>13</v>
      </c>
      <c r="E30" s="10" t="s">
        <v>66</v>
      </c>
      <c r="F30" s="11" t="s">
        <v>85</v>
      </c>
      <c r="G30" s="11" t="s">
        <v>86</v>
      </c>
      <c r="H30" s="10" t="s">
        <v>36</v>
      </c>
      <c r="I30" s="12" t="s">
        <v>37</v>
      </c>
      <c r="J30" s="10" t="s">
        <v>18</v>
      </c>
    </row>
    <row r="31" spans="1:10" ht="84.75" customHeight="1" x14ac:dyDescent="0.45">
      <c r="A31" s="3">
        <v>29</v>
      </c>
      <c r="B31" s="4" t="s">
        <v>11</v>
      </c>
      <c r="C31" s="5" t="s">
        <v>87</v>
      </c>
      <c r="D31" s="6" t="s">
        <v>13</v>
      </c>
      <c r="E31" s="6" t="s">
        <v>87</v>
      </c>
      <c r="F31" s="7" t="s">
        <v>88</v>
      </c>
      <c r="G31" s="7" t="s">
        <v>89</v>
      </c>
      <c r="H31" s="6" t="s">
        <v>90</v>
      </c>
      <c r="I31" s="8" t="s">
        <v>91</v>
      </c>
      <c r="J31" s="6" t="s">
        <v>92</v>
      </c>
    </row>
    <row r="32" spans="1:10" ht="84.75" customHeight="1" x14ac:dyDescent="0.45">
      <c r="A32" s="9">
        <v>30</v>
      </c>
      <c r="B32" s="4" t="s">
        <v>11</v>
      </c>
      <c r="C32" s="5" t="s">
        <v>87</v>
      </c>
      <c r="D32" s="10" t="s">
        <v>13</v>
      </c>
      <c r="E32" s="10" t="s">
        <v>87</v>
      </c>
      <c r="F32" s="11" t="s">
        <v>93</v>
      </c>
      <c r="G32" s="11" t="s">
        <v>94</v>
      </c>
      <c r="H32" s="10" t="s">
        <v>69</v>
      </c>
      <c r="I32" s="12" t="s">
        <v>70</v>
      </c>
      <c r="J32" s="10" t="s">
        <v>24</v>
      </c>
    </row>
    <row r="33" spans="1:10" ht="84.75" customHeight="1" x14ac:dyDescent="0.45">
      <c r="A33" s="3">
        <v>31</v>
      </c>
      <c r="B33" s="4" t="s">
        <v>11</v>
      </c>
      <c r="C33" s="5" t="s">
        <v>87</v>
      </c>
      <c r="D33" s="6" t="s">
        <v>13</v>
      </c>
      <c r="E33" s="6" t="s">
        <v>87</v>
      </c>
      <c r="F33" s="7" t="s">
        <v>95</v>
      </c>
      <c r="G33" s="7" t="s">
        <v>96</v>
      </c>
      <c r="H33" s="6" t="s">
        <v>69</v>
      </c>
      <c r="I33" s="8" t="s">
        <v>70</v>
      </c>
      <c r="J33" s="6" t="s">
        <v>24</v>
      </c>
    </row>
    <row r="34" spans="1:10" ht="84.75" customHeight="1" x14ac:dyDescent="0.45">
      <c r="A34" s="9">
        <v>32</v>
      </c>
      <c r="B34" s="4" t="s">
        <v>11</v>
      </c>
      <c r="C34" s="5" t="s">
        <v>87</v>
      </c>
      <c r="D34" s="10" t="s">
        <v>13</v>
      </c>
      <c r="E34" s="10" t="s">
        <v>87</v>
      </c>
      <c r="F34" s="11" t="s">
        <v>97</v>
      </c>
      <c r="G34" s="11" t="s">
        <v>98</v>
      </c>
      <c r="H34" s="10" t="s">
        <v>22</v>
      </c>
      <c r="I34" s="12" t="s">
        <v>23</v>
      </c>
      <c r="J34" s="10" t="s">
        <v>24</v>
      </c>
    </row>
    <row r="35" spans="1:10" ht="84.75" customHeight="1" x14ac:dyDescent="0.45">
      <c r="A35" s="3">
        <v>33</v>
      </c>
      <c r="B35" s="4" t="s">
        <v>11</v>
      </c>
      <c r="C35" s="5" t="s">
        <v>87</v>
      </c>
      <c r="D35" s="6" t="s">
        <v>13</v>
      </c>
      <c r="E35" s="6" t="s">
        <v>87</v>
      </c>
      <c r="F35" s="7" t="s">
        <v>99</v>
      </c>
      <c r="G35" s="7" t="s">
        <v>100</v>
      </c>
      <c r="H35" s="6" t="s">
        <v>36</v>
      </c>
      <c r="I35" s="8" t="s">
        <v>37</v>
      </c>
      <c r="J35" s="6" t="s">
        <v>18</v>
      </c>
    </row>
    <row r="36" spans="1:10" ht="84.75" customHeight="1" x14ac:dyDescent="0.45">
      <c r="A36" s="9">
        <v>34</v>
      </c>
      <c r="B36" s="13" t="s">
        <v>101</v>
      </c>
      <c r="C36" s="14" t="s">
        <v>102</v>
      </c>
      <c r="D36" s="10" t="s">
        <v>103</v>
      </c>
      <c r="E36" s="10" t="s">
        <v>102</v>
      </c>
      <c r="F36" s="11" t="s">
        <v>104</v>
      </c>
      <c r="G36" s="11" t="s">
        <v>105</v>
      </c>
      <c r="H36" s="10" t="s">
        <v>90</v>
      </c>
      <c r="I36" s="12" t="s">
        <v>91</v>
      </c>
      <c r="J36" s="10" t="s">
        <v>92</v>
      </c>
    </row>
    <row r="37" spans="1:10" ht="84.75" customHeight="1" x14ac:dyDescent="0.45">
      <c r="A37" s="3">
        <v>35</v>
      </c>
      <c r="B37" s="13" t="s">
        <v>101</v>
      </c>
      <c r="C37" s="14" t="s">
        <v>102</v>
      </c>
      <c r="D37" s="6" t="s">
        <v>103</v>
      </c>
      <c r="E37" s="6" t="s">
        <v>102</v>
      </c>
      <c r="F37" s="7" t="s">
        <v>106</v>
      </c>
      <c r="G37" s="7" t="s">
        <v>107</v>
      </c>
      <c r="H37" s="6" t="s">
        <v>69</v>
      </c>
      <c r="I37" s="8" t="s">
        <v>70</v>
      </c>
      <c r="J37" s="6" t="s">
        <v>24</v>
      </c>
    </row>
    <row r="38" spans="1:10" ht="84.75" customHeight="1" x14ac:dyDescent="0.45">
      <c r="A38" s="9">
        <v>36</v>
      </c>
      <c r="B38" s="13" t="s">
        <v>101</v>
      </c>
      <c r="C38" s="14" t="s">
        <v>102</v>
      </c>
      <c r="D38" s="10" t="s">
        <v>103</v>
      </c>
      <c r="E38" s="10" t="s">
        <v>102</v>
      </c>
      <c r="F38" s="11" t="s">
        <v>108</v>
      </c>
      <c r="G38" s="11" t="s">
        <v>109</v>
      </c>
      <c r="H38" s="10" t="s">
        <v>22</v>
      </c>
      <c r="I38" s="12" t="s">
        <v>23</v>
      </c>
      <c r="J38" s="10" t="s">
        <v>24</v>
      </c>
    </row>
    <row r="39" spans="1:10" ht="84.75" customHeight="1" x14ac:dyDescent="0.45">
      <c r="A39" s="3">
        <v>37</v>
      </c>
      <c r="B39" s="13" t="s">
        <v>101</v>
      </c>
      <c r="C39" s="14" t="s">
        <v>102</v>
      </c>
      <c r="D39" s="6" t="s">
        <v>103</v>
      </c>
      <c r="E39" s="6" t="s">
        <v>102</v>
      </c>
      <c r="F39" s="7" t="s">
        <v>110</v>
      </c>
      <c r="G39" s="7" t="s">
        <v>111</v>
      </c>
      <c r="H39" s="6" t="s">
        <v>22</v>
      </c>
      <c r="I39" s="8" t="s">
        <v>23</v>
      </c>
      <c r="J39" s="6" t="s">
        <v>24</v>
      </c>
    </row>
    <row r="40" spans="1:10" ht="84.75" customHeight="1" x14ac:dyDescent="0.45">
      <c r="A40" s="9">
        <v>38</v>
      </c>
      <c r="B40" s="13" t="s">
        <v>101</v>
      </c>
      <c r="C40" s="14" t="s">
        <v>102</v>
      </c>
      <c r="D40" s="10" t="s">
        <v>103</v>
      </c>
      <c r="E40" s="10" t="s">
        <v>102</v>
      </c>
      <c r="F40" s="11" t="s">
        <v>112</v>
      </c>
      <c r="G40" s="11" t="s">
        <v>113</v>
      </c>
      <c r="H40" s="10" t="s">
        <v>16</v>
      </c>
      <c r="I40" s="12" t="s">
        <v>17</v>
      </c>
      <c r="J40" s="10" t="s">
        <v>18</v>
      </c>
    </row>
    <row r="41" spans="1:10" ht="84.75" customHeight="1" x14ac:dyDescent="0.45">
      <c r="A41" s="3">
        <v>39</v>
      </c>
      <c r="B41" s="13" t="s">
        <v>101</v>
      </c>
      <c r="C41" s="14" t="s">
        <v>114</v>
      </c>
      <c r="D41" s="6" t="s">
        <v>103</v>
      </c>
      <c r="E41" s="6" t="s">
        <v>114</v>
      </c>
      <c r="F41" s="7" t="s">
        <v>115</v>
      </c>
      <c r="G41" s="7" t="s">
        <v>116</v>
      </c>
      <c r="H41" s="6" t="s">
        <v>36</v>
      </c>
      <c r="I41" s="8" t="s">
        <v>37</v>
      </c>
      <c r="J41" s="6" t="s">
        <v>18</v>
      </c>
    </row>
    <row r="42" spans="1:10" ht="84.75" customHeight="1" x14ac:dyDescent="0.45">
      <c r="A42" s="9">
        <v>40</v>
      </c>
      <c r="B42" s="13" t="s">
        <v>101</v>
      </c>
      <c r="C42" s="14" t="s">
        <v>117</v>
      </c>
      <c r="D42" s="10" t="s">
        <v>103</v>
      </c>
      <c r="E42" s="10" t="s">
        <v>117</v>
      </c>
      <c r="F42" s="11" t="s">
        <v>118</v>
      </c>
      <c r="G42" s="11" t="s">
        <v>119</v>
      </c>
      <c r="H42" s="10" t="s">
        <v>90</v>
      </c>
      <c r="I42" s="12" t="s">
        <v>91</v>
      </c>
      <c r="J42" s="10" t="s">
        <v>92</v>
      </c>
    </row>
    <row r="43" spans="1:10" ht="84.75" customHeight="1" x14ac:dyDescent="0.45">
      <c r="A43" s="3">
        <v>41</v>
      </c>
      <c r="B43" s="13" t="s">
        <v>101</v>
      </c>
      <c r="C43" s="14" t="s">
        <v>117</v>
      </c>
      <c r="D43" s="6" t="s">
        <v>103</v>
      </c>
      <c r="E43" s="6" t="s">
        <v>117</v>
      </c>
      <c r="F43" s="7" t="s">
        <v>120</v>
      </c>
      <c r="G43" s="7" t="s">
        <v>121</v>
      </c>
      <c r="H43" s="6" t="s">
        <v>36</v>
      </c>
      <c r="I43" s="8" t="s">
        <v>37</v>
      </c>
      <c r="J43" s="6" t="s">
        <v>18</v>
      </c>
    </row>
    <row r="44" spans="1:10" ht="84.75" customHeight="1" x14ac:dyDescent="0.45">
      <c r="A44" s="9">
        <v>42</v>
      </c>
      <c r="B44" s="13" t="s">
        <v>101</v>
      </c>
      <c r="C44" s="14" t="s">
        <v>122</v>
      </c>
      <c r="D44" s="10" t="s">
        <v>103</v>
      </c>
      <c r="E44" s="10" t="s">
        <v>122</v>
      </c>
      <c r="F44" s="11" t="s">
        <v>123</v>
      </c>
      <c r="G44" s="11" t="s">
        <v>124</v>
      </c>
      <c r="H44" s="10" t="s">
        <v>16</v>
      </c>
      <c r="I44" s="12" t="s">
        <v>17</v>
      </c>
      <c r="J44" s="10" t="s">
        <v>18</v>
      </c>
    </row>
    <row r="45" spans="1:10" ht="84.75" customHeight="1" x14ac:dyDescent="0.45">
      <c r="A45" s="3">
        <v>43</v>
      </c>
      <c r="B45" s="13" t="s">
        <v>101</v>
      </c>
      <c r="C45" s="14" t="s">
        <v>122</v>
      </c>
      <c r="D45" s="6" t="s">
        <v>103</v>
      </c>
      <c r="E45" s="6" t="s">
        <v>122</v>
      </c>
      <c r="F45" s="7" t="s">
        <v>125</v>
      </c>
      <c r="G45" s="7" t="s">
        <v>126</v>
      </c>
      <c r="H45" s="6" t="s">
        <v>16</v>
      </c>
      <c r="I45" s="8" t="s">
        <v>17</v>
      </c>
      <c r="J45" s="6" t="s">
        <v>18</v>
      </c>
    </row>
    <row r="46" spans="1:10" ht="84.75" customHeight="1" x14ac:dyDescent="0.45">
      <c r="A46" s="9">
        <v>44</v>
      </c>
      <c r="B46" s="13" t="s">
        <v>101</v>
      </c>
      <c r="C46" s="14" t="s">
        <v>122</v>
      </c>
      <c r="D46" s="10" t="s">
        <v>103</v>
      </c>
      <c r="E46" s="10" t="s">
        <v>122</v>
      </c>
      <c r="F46" s="11" t="s">
        <v>127</v>
      </c>
      <c r="G46" s="11" t="s">
        <v>128</v>
      </c>
      <c r="H46" s="10" t="s">
        <v>36</v>
      </c>
      <c r="I46" s="12" t="s">
        <v>37</v>
      </c>
      <c r="J46" s="10" t="s">
        <v>18</v>
      </c>
    </row>
    <row r="47" spans="1:10" ht="84.75" customHeight="1" x14ac:dyDescent="0.45">
      <c r="A47" s="3">
        <v>45</v>
      </c>
      <c r="B47" s="13" t="s">
        <v>101</v>
      </c>
      <c r="C47" s="14" t="s">
        <v>129</v>
      </c>
      <c r="D47" s="6" t="s">
        <v>103</v>
      </c>
      <c r="E47" s="6" t="s">
        <v>129</v>
      </c>
      <c r="F47" s="7" t="s">
        <v>130</v>
      </c>
      <c r="G47" s="7" t="s">
        <v>131</v>
      </c>
      <c r="H47" s="6" t="s">
        <v>36</v>
      </c>
      <c r="I47" s="8" t="s">
        <v>37</v>
      </c>
      <c r="J47" s="6" t="s">
        <v>18</v>
      </c>
    </row>
    <row r="48" spans="1:10" ht="84.75" customHeight="1" x14ac:dyDescent="0.45">
      <c r="A48" s="9">
        <v>46</v>
      </c>
      <c r="B48" s="15" t="s">
        <v>132</v>
      </c>
      <c r="C48" s="16" t="s">
        <v>133</v>
      </c>
      <c r="D48" s="10" t="s">
        <v>134</v>
      </c>
      <c r="E48" s="10" t="s">
        <v>133</v>
      </c>
      <c r="F48" s="11" t="s">
        <v>135</v>
      </c>
      <c r="G48" s="11" t="s">
        <v>136</v>
      </c>
      <c r="H48" s="10" t="s">
        <v>69</v>
      </c>
      <c r="I48" s="12" t="s">
        <v>70</v>
      </c>
      <c r="J48" s="10" t="s">
        <v>24</v>
      </c>
    </row>
    <row r="49" spans="1:10" ht="84.75" customHeight="1" x14ac:dyDescent="0.45">
      <c r="A49" s="3">
        <v>47</v>
      </c>
      <c r="B49" s="15" t="s">
        <v>132</v>
      </c>
      <c r="C49" s="16" t="s">
        <v>133</v>
      </c>
      <c r="D49" s="6" t="s">
        <v>134</v>
      </c>
      <c r="E49" s="6" t="s">
        <v>133</v>
      </c>
      <c r="F49" s="7" t="s">
        <v>137</v>
      </c>
      <c r="G49" s="7" t="s">
        <v>138</v>
      </c>
      <c r="H49" s="6" t="s">
        <v>22</v>
      </c>
      <c r="I49" s="8" t="s">
        <v>23</v>
      </c>
      <c r="J49" s="6" t="s">
        <v>24</v>
      </c>
    </row>
    <row r="50" spans="1:10" ht="84.75" customHeight="1" x14ac:dyDescent="0.45">
      <c r="A50" s="9">
        <v>48</v>
      </c>
      <c r="B50" s="15" t="s">
        <v>132</v>
      </c>
      <c r="C50" s="16" t="s">
        <v>133</v>
      </c>
      <c r="D50" s="10" t="s">
        <v>134</v>
      </c>
      <c r="E50" s="10" t="s">
        <v>133</v>
      </c>
      <c r="F50" s="11" t="s">
        <v>139</v>
      </c>
      <c r="G50" s="11" t="s">
        <v>140</v>
      </c>
      <c r="H50" s="10" t="s">
        <v>16</v>
      </c>
      <c r="I50" s="12" t="s">
        <v>17</v>
      </c>
      <c r="J50" s="10" t="s">
        <v>18</v>
      </c>
    </row>
    <row r="51" spans="1:10" ht="84.75" customHeight="1" x14ac:dyDescent="0.45">
      <c r="A51" s="3">
        <v>49</v>
      </c>
      <c r="B51" s="15" t="s">
        <v>132</v>
      </c>
      <c r="C51" s="16" t="s">
        <v>133</v>
      </c>
      <c r="D51" s="6" t="s">
        <v>134</v>
      </c>
      <c r="E51" s="6" t="s">
        <v>133</v>
      </c>
      <c r="F51" s="7" t="s">
        <v>141</v>
      </c>
      <c r="G51" s="7" t="s">
        <v>142</v>
      </c>
      <c r="H51" s="6" t="s">
        <v>36</v>
      </c>
      <c r="I51" s="8" t="s">
        <v>37</v>
      </c>
      <c r="J51" s="6" t="s">
        <v>18</v>
      </c>
    </row>
    <row r="52" spans="1:10" ht="84.75" customHeight="1" x14ac:dyDescent="0.45">
      <c r="A52" s="9">
        <v>50</v>
      </c>
      <c r="B52" s="15" t="s">
        <v>132</v>
      </c>
      <c r="C52" s="16" t="s">
        <v>133</v>
      </c>
      <c r="D52" s="10" t="s">
        <v>134</v>
      </c>
      <c r="E52" s="10" t="s">
        <v>133</v>
      </c>
      <c r="F52" s="11" t="s">
        <v>143</v>
      </c>
      <c r="G52" s="11" t="s">
        <v>144</v>
      </c>
      <c r="H52" s="10" t="s">
        <v>40</v>
      </c>
      <c r="I52" s="12" t="s">
        <v>41</v>
      </c>
      <c r="J52" s="10" t="s">
        <v>18</v>
      </c>
    </row>
    <row r="53" spans="1:10" ht="84.75" customHeight="1" x14ac:dyDescent="0.45">
      <c r="A53" s="3">
        <v>51</v>
      </c>
      <c r="B53" s="15" t="s">
        <v>132</v>
      </c>
      <c r="C53" s="16" t="s">
        <v>133</v>
      </c>
      <c r="D53" s="6" t="s">
        <v>134</v>
      </c>
      <c r="E53" s="6" t="s">
        <v>133</v>
      </c>
      <c r="F53" s="7" t="s">
        <v>145</v>
      </c>
      <c r="G53" s="7" t="s">
        <v>146</v>
      </c>
      <c r="H53" s="6" t="s">
        <v>40</v>
      </c>
      <c r="I53" s="8" t="s">
        <v>41</v>
      </c>
      <c r="J53" s="6" t="s">
        <v>18</v>
      </c>
    </row>
    <row r="54" spans="1:10" ht="84.75" customHeight="1" x14ac:dyDescent="0.45">
      <c r="A54" s="9">
        <v>52</v>
      </c>
      <c r="B54" s="15" t="s">
        <v>132</v>
      </c>
      <c r="C54" s="16" t="s">
        <v>147</v>
      </c>
      <c r="D54" s="10" t="s">
        <v>134</v>
      </c>
      <c r="E54" s="10" t="s">
        <v>147</v>
      </c>
      <c r="F54" s="11" t="s">
        <v>148</v>
      </c>
      <c r="G54" s="11" t="s">
        <v>149</v>
      </c>
      <c r="H54" s="10" t="s">
        <v>16</v>
      </c>
      <c r="I54" s="12" t="s">
        <v>17</v>
      </c>
      <c r="J54" s="10" t="s">
        <v>18</v>
      </c>
    </row>
    <row r="55" spans="1:10" ht="84.75" customHeight="1" x14ac:dyDescent="0.45">
      <c r="A55" s="3">
        <v>53</v>
      </c>
      <c r="B55" s="15" t="s">
        <v>132</v>
      </c>
      <c r="C55" s="16" t="s">
        <v>147</v>
      </c>
      <c r="D55" s="6" t="s">
        <v>134</v>
      </c>
      <c r="E55" s="6" t="s">
        <v>147</v>
      </c>
      <c r="F55" s="7" t="s">
        <v>150</v>
      </c>
      <c r="G55" s="7" t="s">
        <v>151</v>
      </c>
      <c r="H55" s="6" t="s">
        <v>36</v>
      </c>
      <c r="I55" s="8" t="s">
        <v>37</v>
      </c>
      <c r="J55" s="6" t="s">
        <v>18</v>
      </c>
    </row>
    <row r="56" spans="1:10" ht="84.75" customHeight="1" x14ac:dyDescent="0.45">
      <c r="A56" s="9">
        <v>54</v>
      </c>
      <c r="B56" s="15" t="s">
        <v>132</v>
      </c>
      <c r="C56" s="16" t="s">
        <v>147</v>
      </c>
      <c r="D56" s="10" t="s">
        <v>134</v>
      </c>
      <c r="E56" s="10" t="s">
        <v>147</v>
      </c>
      <c r="F56" s="11" t="s">
        <v>152</v>
      </c>
      <c r="G56" s="11" t="s">
        <v>153</v>
      </c>
      <c r="H56" s="10" t="s">
        <v>36</v>
      </c>
      <c r="I56" s="12" t="s">
        <v>37</v>
      </c>
      <c r="J56" s="10" t="s">
        <v>18</v>
      </c>
    </row>
    <row r="57" spans="1:10" ht="84.75" customHeight="1" x14ac:dyDescent="0.45">
      <c r="A57" s="3">
        <v>55</v>
      </c>
      <c r="B57" s="15" t="s">
        <v>132</v>
      </c>
      <c r="C57" s="16" t="s">
        <v>147</v>
      </c>
      <c r="D57" s="6" t="s">
        <v>134</v>
      </c>
      <c r="E57" s="6" t="s">
        <v>147</v>
      </c>
      <c r="F57" s="7" t="s">
        <v>154</v>
      </c>
      <c r="G57" s="7" t="s">
        <v>155</v>
      </c>
      <c r="H57" s="6" t="s">
        <v>36</v>
      </c>
      <c r="I57" s="8" t="s">
        <v>37</v>
      </c>
      <c r="J57" s="6" t="s">
        <v>18</v>
      </c>
    </row>
    <row r="58" spans="1:10" ht="84.75" customHeight="1" x14ac:dyDescent="0.45">
      <c r="A58" s="9">
        <v>56</v>
      </c>
      <c r="B58" s="15" t="s">
        <v>132</v>
      </c>
      <c r="C58" s="16" t="s">
        <v>156</v>
      </c>
      <c r="D58" s="10" t="s">
        <v>134</v>
      </c>
      <c r="E58" s="10" t="s">
        <v>156</v>
      </c>
      <c r="F58" s="11" t="s">
        <v>157</v>
      </c>
      <c r="G58" s="11" t="s">
        <v>158</v>
      </c>
      <c r="H58" s="10" t="s">
        <v>69</v>
      </c>
      <c r="I58" s="12" t="s">
        <v>70</v>
      </c>
      <c r="J58" s="10" t="s">
        <v>24</v>
      </c>
    </row>
    <row r="59" spans="1:10" ht="84.75" customHeight="1" x14ac:dyDescent="0.45">
      <c r="A59" s="3">
        <v>57</v>
      </c>
      <c r="B59" s="15" t="s">
        <v>132</v>
      </c>
      <c r="C59" s="16" t="s">
        <v>156</v>
      </c>
      <c r="D59" s="6" t="s">
        <v>134</v>
      </c>
      <c r="E59" s="6" t="s">
        <v>156</v>
      </c>
      <c r="F59" s="7" t="s">
        <v>159</v>
      </c>
      <c r="G59" s="7" t="s">
        <v>160</v>
      </c>
      <c r="H59" s="6" t="s">
        <v>16</v>
      </c>
      <c r="I59" s="8" t="s">
        <v>17</v>
      </c>
      <c r="J59" s="6" t="s">
        <v>18</v>
      </c>
    </row>
    <row r="60" spans="1:10" ht="84.75" customHeight="1" x14ac:dyDescent="0.45">
      <c r="A60" s="9">
        <v>58</v>
      </c>
      <c r="B60" s="15" t="s">
        <v>132</v>
      </c>
      <c r="C60" s="16" t="s">
        <v>156</v>
      </c>
      <c r="D60" s="10" t="s">
        <v>134</v>
      </c>
      <c r="E60" s="10" t="s">
        <v>156</v>
      </c>
      <c r="F60" s="11" t="s">
        <v>161</v>
      </c>
      <c r="G60" s="11" t="s">
        <v>162</v>
      </c>
      <c r="H60" s="10" t="s">
        <v>36</v>
      </c>
      <c r="I60" s="12" t="s">
        <v>37</v>
      </c>
      <c r="J60" s="10" t="s">
        <v>18</v>
      </c>
    </row>
    <row r="61" spans="1:10" ht="84.75" customHeight="1" x14ac:dyDescent="0.45">
      <c r="A61" s="3">
        <v>59</v>
      </c>
      <c r="B61" s="15" t="s">
        <v>132</v>
      </c>
      <c r="C61" s="16" t="s">
        <v>156</v>
      </c>
      <c r="D61" s="6" t="s">
        <v>134</v>
      </c>
      <c r="E61" s="6" t="s">
        <v>156</v>
      </c>
      <c r="F61" s="7" t="s">
        <v>154</v>
      </c>
      <c r="G61" s="7" t="s">
        <v>163</v>
      </c>
      <c r="H61" s="6" t="s">
        <v>36</v>
      </c>
      <c r="I61" s="8" t="s">
        <v>37</v>
      </c>
      <c r="J61" s="6" t="s">
        <v>18</v>
      </c>
    </row>
    <row r="62" spans="1:10" ht="84.75" customHeight="1" x14ac:dyDescent="0.45">
      <c r="A62" s="9">
        <v>60</v>
      </c>
      <c r="B62" s="17" t="s">
        <v>164</v>
      </c>
      <c r="C62" s="18" t="s">
        <v>165</v>
      </c>
      <c r="D62" s="10" t="s">
        <v>166</v>
      </c>
      <c r="E62" s="10" t="s">
        <v>165</v>
      </c>
      <c r="F62" s="11" t="s">
        <v>167</v>
      </c>
      <c r="G62" s="11" t="s">
        <v>168</v>
      </c>
      <c r="H62" s="10" t="s">
        <v>22</v>
      </c>
      <c r="I62" s="12" t="s">
        <v>23</v>
      </c>
      <c r="J62" s="10" t="s">
        <v>24</v>
      </c>
    </row>
    <row r="63" spans="1:10" ht="84.75" customHeight="1" x14ac:dyDescent="0.45">
      <c r="A63" s="3">
        <v>61</v>
      </c>
      <c r="B63" s="19" t="s">
        <v>169</v>
      </c>
      <c r="C63" s="20" t="s">
        <v>170</v>
      </c>
      <c r="D63" s="6" t="s">
        <v>171</v>
      </c>
      <c r="E63" s="6" t="s">
        <v>170</v>
      </c>
      <c r="F63" s="7" t="s">
        <v>172</v>
      </c>
      <c r="G63" s="7" t="s">
        <v>173</v>
      </c>
      <c r="H63" s="6" t="s">
        <v>69</v>
      </c>
      <c r="I63" s="8" t="s">
        <v>70</v>
      </c>
      <c r="J63" s="6" t="s">
        <v>24</v>
      </c>
    </row>
    <row r="64" spans="1:10" ht="84.75" customHeight="1" x14ac:dyDescent="0.45">
      <c r="A64" s="9">
        <v>62</v>
      </c>
      <c r="B64" s="19" t="s">
        <v>169</v>
      </c>
      <c r="C64" s="20" t="s">
        <v>170</v>
      </c>
      <c r="D64" s="10" t="s">
        <v>171</v>
      </c>
      <c r="E64" s="10" t="s">
        <v>170</v>
      </c>
      <c r="F64" s="11" t="s">
        <v>174</v>
      </c>
      <c r="G64" s="11" t="s">
        <v>175</v>
      </c>
      <c r="H64" s="10" t="s">
        <v>22</v>
      </c>
      <c r="I64" s="12" t="s">
        <v>23</v>
      </c>
      <c r="J64" s="10" t="s">
        <v>24</v>
      </c>
    </row>
    <row r="65" spans="1:10" ht="84.75" customHeight="1" x14ac:dyDescent="0.45">
      <c r="A65" s="3">
        <v>63</v>
      </c>
      <c r="B65" s="19" t="s">
        <v>169</v>
      </c>
      <c r="C65" s="20" t="s">
        <v>170</v>
      </c>
      <c r="D65" s="6" t="s">
        <v>171</v>
      </c>
      <c r="E65" s="6" t="s">
        <v>170</v>
      </c>
      <c r="F65" s="7" t="s">
        <v>176</v>
      </c>
      <c r="G65" s="7" t="s">
        <v>177</v>
      </c>
      <c r="H65" s="6" t="s">
        <v>22</v>
      </c>
      <c r="I65" s="8" t="s">
        <v>23</v>
      </c>
      <c r="J65" s="6" t="s">
        <v>24</v>
      </c>
    </row>
    <row r="66" spans="1:10" ht="84.75" customHeight="1" x14ac:dyDescent="0.45">
      <c r="A66" s="9">
        <v>64</v>
      </c>
      <c r="B66" s="19" t="s">
        <v>169</v>
      </c>
      <c r="C66" s="20" t="s">
        <v>170</v>
      </c>
      <c r="D66" s="10" t="s">
        <v>171</v>
      </c>
      <c r="E66" s="10" t="s">
        <v>170</v>
      </c>
      <c r="F66" s="11" t="s">
        <v>178</v>
      </c>
      <c r="G66" s="11" t="s">
        <v>179</v>
      </c>
      <c r="H66" s="10" t="s">
        <v>36</v>
      </c>
      <c r="I66" s="12" t="s">
        <v>37</v>
      </c>
      <c r="J66" s="10" t="s">
        <v>18</v>
      </c>
    </row>
    <row r="67" spans="1:10" ht="84.75" customHeight="1" x14ac:dyDescent="0.45">
      <c r="A67" s="3">
        <v>65</v>
      </c>
      <c r="B67" s="21" t="s">
        <v>180</v>
      </c>
      <c r="C67" s="22" t="s">
        <v>181</v>
      </c>
      <c r="D67" s="6" t="s">
        <v>182</v>
      </c>
      <c r="E67" s="6" t="s">
        <v>181</v>
      </c>
      <c r="F67" s="7" t="s">
        <v>183</v>
      </c>
      <c r="G67" s="7" t="s">
        <v>184</v>
      </c>
      <c r="H67" s="6" t="s">
        <v>90</v>
      </c>
      <c r="I67" s="8" t="s">
        <v>91</v>
      </c>
      <c r="J67" s="6" t="s">
        <v>92</v>
      </c>
    </row>
    <row r="68" spans="1:10" ht="84.75" customHeight="1" x14ac:dyDescent="0.45">
      <c r="A68" s="9">
        <v>66</v>
      </c>
      <c r="B68" s="21" t="s">
        <v>180</v>
      </c>
      <c r="C68" s="22" t="s">
        <v>185</v>
      </c>
      <c r="D68" s="10" t="s">
        <v>182</v>
      </c>
      <c r="E68" s="10" t="s">
        <v>185</v>
      </c>
      <c r="F68" s="11" t="s">
        <v>186</v>
      </c>
      <c r="G68" s="11" t="s">
        <v>187</v>
      </c>
      <c r="H68" s="10" t="s">
        <v>16</v>
      </c>
      <c r="I68" s="12" t="s">
        <v>17</v>
      </c>
      <c r="J68" s="10" t="s">
        <v>18</v>
      </c>
    </row>
    <row r="69" spans="1:10" ht="84.75" customHeight="1" x14ac:dyDescent="0.45">
      <c r="A69" s="3">
        <v>67</v>
      </c>
      <c r="B69" s="21" t="s">
        <v>180</v>
      </c>
      <c r="C69" s="22" t="s">
        <v>185</v>
      </c>
      <c r="D69" s="6" t="s">
        <v>182</v>
      </c>
      <c r="E69" s="6" t="s">
        <v>185</v>
      </c>
      <c r="F69" s="7" t="s">
        <v>188</v>
      </c>
      <c r="G69" s="7" t="s">
        <v>189</v>
      </c>
      <c r="H69" s="6" t="s">
        <v>36</v>
      </c>
      <c r="I69" s="8" t="s">
        <v>37</v>
      </c>
      <c r="J69" s="6" t="s">
        <v>18</v>
      </c>
    </row>
    <row r="70" spans="1:10" ht="84.75" customHeight="1" x14ac:dyDescent="0.45">
      <c r="A70" s="9">
        <v>68</v>
      </c>
      <c r="B70" s="21" t="s">
        <v>180</v>
      </c>
      <c r="C70" s="22" t="s">
        <v>190</v>
      </c>
      <c r="D70" s="10" t="s">
        <v>182</v>
      </c>
      <c r="E70" s="10" t="s">
        <v>190</v>
      </c>
      <c r="F70" s="11" t="s">
        <v>191</v>
      </c>
      <c r="G70" s="11" t="s">
        <v>192</v>
      </c>
      <c r="H70" s="10" t="s">
        <v>22</v>
      </c>
      <c r="I70" s="12" t="s">
        <v>23</v>
      </c>
      <c r="J70" s="10" t="s">
        <v>24</v>
      </c>
    </row>
  </sheetData>
  <autoFilter ref="A2:J70" xr:uid="{00000000-0009-0000-0000-000000000000}"/>
  <mergeCells count="1">
    <mergeCell ref="A1:J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
  <sheetViews>
    <sheetView zoomScaleNormal="100" workbookViewId="0">
      <pane xSplit="2" ySplit="2" topLeftCell="C3" activePane="bottomRight" state="frozen"/>
      <selection pane="topRight" activeCell="C1" sqref="C1"/>
      <selection pane="bottomLeft" activeCell="A3" sqref="A3"/>
      <selection pane="bottomRight" activeCell="H3" sqref="H3"/>
    </sheetView>
  </sheetViews>
  <sheetFormatPr defaultColWidth="8.6640625" defaultRowHeight="14.25" x14ac:dyDescent="0.45"/>
  <cols>
    <col min="1" max="1" width="10" customWidth="1"/>
    <col min="2" max="2" width="38" customWidth="1"/>
    <col min="3" max="8" width="16" customWidth="1"/>
    <col min="9" max="9" width="10" customWidth="1"/>
  </cols>
  <sheetData>
    <row r="1" spans="1:12" ht="30" customHeight="1" x14ac:dyDescent="0.45">
      <c r="A1" s="1" t="s">
        <v>193</v>
      </c>
      <c r="B1" s="1"/>
      <c r="C1" s="1"/>
      <c r="D1" s="1"/>
      <c r="E1" s="1"/>
      <c r="F1" s="1"/>
      <c r="G1" s="1"/>
      <c r="H1" s="1"/>
      <c r="I1" s="1"/>
    </row>
    <row r="2" spans="1:12" ht="45.75" customHeight="1" x14ac:dyDescent="0.45">
      <c r="A2" s="23" t="s">
        <v>2</v>
      </c>
      <c r="B2" s="23" t="s">
        <v>4</v>
      </c>
      <c r="C2" s="23" t="s">
        <v>90</v>
      </c>
      <c r="D2" s="23" t="s">
        <v>16</v>
      </c>
      <c r="E2" s="23" t="s">
        <v>69</v>
      </c>
      <c r="F2" s="23" t="s">
        <v>36</v>
      </c>
      <c r="G2" s="23" t="s">
        <v>22</v>
      </c>
      <c r="H2" s="23" t="s">
        <v>40</v>
      </c>
      <c r="I2" s="24" t="s">
        <v>194</v>
      </c>
      <c r="K2" s="25" t="s">
        <v>2</v>
      </c>
      <c r="L2" s="25" t="s">
        <v>195</v>
      </c>
    </row>
    <row r="3" spans="1:12" ht="21.75" customHeight="1" x14ac:dyDescent="0.45">
      <c r="A3" s="4" t="s">
        <v>11</v>
      </c>
      <c r="B3" s="5" t="s">
        <v>13</v>
      </c>
      <c r="C3" s="26">
        <f>COUNTIFS('Coded Passages'!$B:$B,$A3,'Coded Passages'!$H:$H,C$2)</f>
        <v>1</v>
      </c>
      <c r="D3" s="26">
        <f>COUNTIFS('Coded Passages'!$B:$B,$A3,'Coded Passages'!$H:$H,D$2)</f>
        <v>10</v>
      </c>
      <c r="E3" s="26">
        <f>COUNTIFS('Coded Passages'!$B:$B,$A3,'Coded Passages'!$H:$H,E$2)</f>
        <v>5</v>
      </c>
      <c r="F3" s="26">
        <f>COUNTIFS('Coded Passages'!$B:$B,$A3,'Coded Passages'!$H:$H,F$2)</f>
        <v>7</v>
      </c>
      <c r="G3" s="26">
        <f>COUNTIFS('Coded Passages'!$B:$B,$A3,'Coded Passages'!$H:$H,G$2)</f>
        <v>5</v>
      </c>
      <c r="H3" s="26">
        <f>COUNTIFS('Coded Passages'!$B:$B,$A3,'Coded Passages'!$H:$H,H$2)</f>
        <v>5</v>
      </c>
      <c r="I3" s="27">
        <f t="shared" ref="I3:I8" si="0">SUM(C3:H3)</f>
        <v>33</v>
      </c>
      <c r="K3" t="s">
        <v>11</v>
      </c>
      <c r="L3">
        <f t="shared" ref="L3:L8" si="1">I3</f>
        <v>33</v>
      </c>
    </row>
    <row r="4" spans="1:12" ht="21.75" customHeight="1" x14ac:dyDescent="0.45">
      <c r="A4" s="13" t="s">
        <v>101</v>
      </c>
      <c r="B4" s="14" t="s">
        <v>103</v>
      </c>
      <c r="C4" s="28">
        <f>COUNTIFS('Coded Passages'!$B:$B,$A4,'Coded Passages'!$H:$H,C$2)</f>
        <v>2</v>
      </c>
      <c r="D4" s="28">
        <f>COUNTIFS('Coded Passages'!$B:$B,$A4,'Coded Passages'!$H:$H,D$2)</f>
        <v>3</v>
      </c>
      <c r="E4" s="28">
        <f>COUNTIFS('Coded Passages'!$B:$B,$A4,'Coded Passages'!$H:$H,E$2)</f>
        <v>1</v>
      </c>
      <c r="F4" s="28">
        <f>COUNTIFS('Coded Passages'!$B:$B,$A4,'Coded Passages'!$H:$H,F$2)</f>
        <v>4</v>
      </c>
      <c r="G4" s="28">
        <f>COUNTIFS('Coded Passages'!$B:$B,$A4,'Coded Passages'!$H:$H,G$2)</f>
        <v>2</v>
      </c>
      <c r="H4" s="28">
        <f>COUNTIFS('Coded Passages'!$B:$B,$A4,'Coded Passages'!$H:$H,H$2)</f>
        <v>0</v>
      </c>
      <c r="I4" s="27">
        <f t="shared" si="0"/>
        <v>12</v>
      </c>
      <c r="K4" t="s">
        <v>101</v>
      </c>
      <c r="L4">
        <f t="shared" si="1"/>
        <v>12</v>
      </c>
    </row>
    <row r="5" spans="1:12" ht="21.75" customHeight="1" x14ac:dyDescent="0.45">
      <c r="A5" s="15" t="s">
        <v>132</v>
      </c>
      <c r="B5" s="16" t="s">
        <v>134</v>
      </c>
      <c r="C5" s="29">
        <f>COUNTIFS('Coded Passages'!$B:$B,$A5,'Coded Passages'!$H:$H,C$2)</f>
        <v>0</v>
      </c>
      <c r="D5" s="29">
        <f>COUNTIFS('Coded Passages'!$B:$B,$A5,'Coded Passages'!$H:$H,D$2)</f>
        <v>3</v>
      </c>
      <c r="E5" s="29">
        <f>COUNTIFS('Coded Passages'!$B:$B,$A5,'Coded Passages'!$H:$H,E$2)</f>
        <v>2</v>
      </c>
      <c r="F5" s="29">
        <f>COUNTIFS('Coded Passages'!$B:$B,$A5,'Coded Passages'!$H:$H,F$2)</f>
        <v>6</v>
      </c>
      <c r="G5" s="29">
        <f>COUNTIFS('Coded Passages'!$B:$B,$A5,'Coded Passages'!$H:$H,G$2)</f>
        <v>1</v>
      </c>
      <c r="H5" s="29">
        <f>COUNTIFS('Coded Passages'!$B:$B,$A5,'Coded Passages'!$H:$H,H$2)</f>
        <v>2</v>
      </c>
      <c r="I5" s="27">
        <f t="shared" si="0"/>
        <v>14</v>
      </c>
      <c r="K5" t="s">
        <v>132</v>
      </c>
      <c r="L5">
        <f t="shared" si="1"/>
        <v>14</v>
      </c>
    </row>
    <row r="6" spans="1:12" ht="21.75" customHeight="1" x14ac:dyDescent="0.45">
      <c r="A6" s="17" t="s">
        <v>164</v>
      </c>
      <c r="B6" s="18" t="s">
        <v>166</v>
      </c>
      <c r="C6" s="30">
        <f>COUNTIFS('Coded Passages'!$B:$B,$A6,'Coded Passages'!$H:$H,C$2)</f>
        <v>0</v>
      </c>
      <c r="D6" s="30">
        <f>COUNTIFS('Coded Passages'!$B:$B,$A6,'Coded Passages'!$H:$H,D$2)</f>
        <v>0</v>
      </c>
      <c r="E6" s="30">
        <f>COUNTIFS('Coded Passages'!$B:$B,$A6,'Coded Passages'!$H:$H,E$2)</f>
        <v>0</v>
      </c>
      <c r="F6" s="30">
        <f>COUNTIFS('Coded Passages'!$B:$B,$A6,'Coded Passages'!$H:$H,F$2)</f>
        <v>0</v>
      </c>
      <c r="G6" s="30">
        <f>COUNTIFS('Coded Passages'!$B:$B,$A6,'Coded Passages'!$H:$H,G$2)</f>
        <v>1</v>
      </c>
      <c r="H6" s="30">
        <f>COUNTIFS('Coded Passages'!$B:$B,$A6,'Coded Passages'!$H:$H,H$2)</f>
        <v>0</v>
      </c>
      <c r="I6" s="27">
        <f t="shared" si="0"/>
        <v>1</v>
      </c>
      <c r="K6" t="s">
        <v>164</v>
      </c>
      <c r="L6">
        <f t="shared" si="1"/>
        <v>1</v>
      </c>
    </row>
    <row r="7" spans="1:12" ht="21.75" customHeight="1" x14ac:dyDescent="0.45">
      <c r="A7" s="19" t="s">
        <v>169</v>
      </c>
      <c r="B7" s="20" t="s">
        <v>171</v>
      </c>
      <c r="C7" s="31">
        <f>COUNTIFS('Coded Passages'!$B:$B,$A7,'Coded Passages'!$H:$H,C$2)</f>
        <v>0</v>
      </c>
      <c r="D7" s="31">
        <f>COUNTIFS('Coded Passages'!$B:$B,$A7,'Coded Passages'!$H:$H,D$2)</f>
        <v>0</v>
      </c>
      <c r="E7" s="31">
        <f>COUNTIFS('Coded Passages'!$B:$B,$A7,'Coded Passages'!$H:$H,E$2)</f>
        <v>1</v>
      </c>
      <c r="F7" s="31">
        <f>COUNTIFS('Coded Passages'!$B:$B,$A7,'Coded Passages'!$H:$H,F$2)</f>
        <v>1</v>
      </c>
      <c r="G7" s="31">
        <f>COUNTIFS('Coded Passages'!$B:$B,$A7,'Coded Passages'!$H:$H,G$2)</f>
        <v>2</v>
      </c>
      <c r="H7" s="31">
        <f>COUNTIFS('Coded Passages'!$B:$B,$A7,'Coded Passages'!$H:$H,H$2)</f>
        <v>0</v>
      </c>
      <c r="I7" s="27">
        <f t="shared" si="0"/>
        <v>4</v>
      </c>
      <c r="K7" t="s">
        <v>169</v>
      </c>
      <c r="L7">
        <f t="shared" si="1"/>
        <v>4</v>
      </c>
    </row>
    <row r="8" spans="1:12" ht="21.75" customHeight="1" x14ac:dyDescent="0.45">
      <c r="A8" s="21" t="s">
        <v>180</v>
      </c>
      <c r="B8" s="22" t="s">
        <v>182</v>
      </c>
      <c r="C8" s="32">
        <f>COUNTIFS('Coded Passages'!$B:$B,$A8,'Coded Passages'!$H:$H,C$2)</f>
        <v>1</v>
      </c>
      <c r="D8" s="32">
        <f>COUNTIFS('Coded Passages'!$B:$B,$A8,'Coded Passages'!$H:$H,D$2)</f>
        <v>1</v>
      </c>
      <c r="E8" s="32">
        <f>COUNTIFS('Coded Passages'!$B:$B,$A8,'Coded Passages'!$H:$H,E$2)</f>
        <v>0</v>
      </c>
      <c r="F8" s="32">
        <f>COUNTIFS('Coded Passages'!$B:$B,$A8,'Coded Passages'!$H:$H,F$2)</f>
        <v>1</v>
      </c>
      <c r="G8" s="32">
        <f>COUNTIFS('Coded Passages'!$B:$B,$A8,'Coded Passages'!$H:$H,G$2)</f>
        <v>1</v>
      </c>
      <c r="H8" s="32">
        <f>COUNTIFS('Coded Passages'!$B:$B,$A8,'Coded Passages'!$H:$H,H$2)</f>
        <v>0</v>
      </c>
      <c r="I8" s="27">
        <f t="shared" si="0"/>
        <v>4</v>
      </c>
      <c r="K8" t="s">
        <v>180</v>
      </c>
      <c r="L8">
        <f t="shared" si="1"/>
        <v>4</v>
      </c>
    </row>
    <row r="9" spans="1:12" ht="21.75" customHeight="1" x14ac:dyDescent="0.45">
      <c r="A9" s="24" t="s">
        <v>194</v>
      </c>
      <c r="B9" s="33" t="s">
        <v>196</v>
      </c>
      <c r="C9" s="24">
        <f t="shared" ref="C9:I9" si="2">SUM(C3:C8)</f>
        <v>4</v>
      </c>
      <c r="D9" s="24">
        <f t="shared" si="2"/>
        <v>17</v>
      </c>
      <c r="E9" s="24">
        <f t="shared" si="2"/>
        <v>9</v>
      </c>
      <c r="F9" s="24">
        <f t="shared" si="2"/>
        <v>19</v>
      </c>
      <c r="G9" s="24">
        <f t="shared" si="2"/>
        <v>12</v>
      </c>
      <c r="H9" s="24">
        <f t="shared" si="2"/>
        <v>7</v>
      </c>
      <c r="I9" s="34">
        <f t="shared" si="2"/>
        <v>68</v>
      </c>
    </row>
  </sheetData>
  <mergeCells count="1">
    <mergeCell ref="A1:I1"/>
  </mergeCells>
  <conditionalFormatting sqref="C3:H8">
    <cfRule type="colorScale" priority="2">
      <colorScale>
        <cfvo type="num" val="0"/>
        <cfvo type="max"/>
        <color rgb="FFFFFFFF"/>
        <color rgb="FF2563EB"/>
      </colorScale>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
  <sheetViews>
    <sheetView zoomScaleNormal="100" workbookViewId="0">
      <pane xSplit="2" ySplit="2" topLeftCell="C3" activePane="bottomRight" state="frozen"/>
      <selection pane="topRight" activeCell="C1" sqref="C1"/>
      <selection pane="bottomLeft" activeCell="A3" sqref="A3"/>
      <selection pane="bottomRight" activeCell="C12" sqref="C12"/>
    </sheetView>
  </sheetViews>
  <sheetFormatPr defaultColWidth="8.6640625" defaultRowHeight="14.25" x14ac:dyDescent="0.45"/>
  <cols>
    <col min="1" max="1" width="10" customWidth="1"/>
    <col min="2" max="2" width="32" customWidth="1"/>
    <col min="3" max="8" width="16" customWidth="1"/>
    <col min="9" max="9" width="10" customWidth="1"/>
  </cols>
  <sheetData>
    <row r="1" spans="1:12" ht="30" customHeight="1" x14ac:dyDescent="0.45">
      <c r="A1" s="1" t="s">
        <v>197</v>
      </c>
      <c r="B1" s="1"/>
      <c r="C1" s="1"/>
      <c r="D1" s="1"/>
      <c r="E1" s="1"/>
      <c r="F1" s="1"/>
      <c r="G1" s="1"/>
      <c r="H1" s="1"/>
      <c r="I1" s="1"/>
    </row>
    <row r="2" spans="1:12" ht="45.75" customHeight="1" x14ac:dyDescent="0.45">
      <c r="A2" s="2" t="s">
        <v>198</v>
      </c>
      <c r="B2" s="35" t="s">
        <v>199</v>
      </c>
      <c r="C2" s="23" t="s">
        <v>90</v>
      </c>
      <c r="D2" s="23" t="s">
        <v>16</v>
      </c>
      <c r="E2" s="23" t="s">
        <v>69</v>
      </c>
      <c r="F2" s="23" t="s">
        <v>36</v>
      </c>
      <c r="G2" s="23" t="s">
        <v>22</v>
      </c>
      <c r="H2" s="23" t="s">
        <v>40</v>
      </c>
      <c r="I2" s="24" t="s">
        <v>194</v>
      </c>
      <c r="K2" s="25" t="s">
        <v>199</v>
      </c>
      <c r="L2" s="25" t="s">
        <v>195</v>
      </c>
    </row>
    <row r="3" spans="1:12" ht="21.75" customHeight="1" x14ac:dyDescent="0.45">
      <c r="A3" s="4" t="s">
        <v>11</v>
      </c>
      <c r="B3" s="5" t="s">
        <v>12</v>
      </c>
      <c r="C3" s="36">
        <f>COUNTIFS('Coded Passages'!$B:$B,$A3,'Coded Passages'!$C:$C,$B3,'Coded Passages'!$H:$H,C$2)</f>
        <v>0</v>
      </c>
      <c r="D3" s="36">
        <f>COUNTIFS('Coded Passages'!$B:$B,$A3,'Coded Passages'!$C:$C,$B3,'Coded Passages'!$H:$H,D$2)</f>
        <v>1</v>
      </c>
      <c r="E3" s="36">
        <f>COUNTIFS('Coded Passages'!$B:$B,$A3,'Coded Passages'!$C:$C,$B3,'Coded Passages'!$H:$H,E$2)</f>
        <v>0</v>
      </c>
      <c r="F3" s="36">
        <f>COUNTIFS('Coded Passages'!$B:$B,$A3,'Coded Passages'!$C:$C,$B3,'Coded Passages'!$H:$H,F$2)</f>
        <v>0</v>
      </c>
      <c r="G3" s="36">
        <f>COUNTIFS('Coded Passages'!$B:$B,$A3,'Coded Passages'!$C:$C,$B3,'Coded Passages'!$H:$H,G$2)</f>
        <v>0</v>
      </c>
      <c r="H3" s="36">
        <f>COUNTIFS('Coded Passages'!$B:$B,$A3,'Coded Passages'!$C:$C,$B3,'Coded Passages'!$H:$H,H$2)</f>
        <v>0</v>
      </c>
      <c r="I3" s="27">
        <f t="shared" ref="I3:I22" si="0">SUM(C3:H3)</f>
        <v>1</v>
      </c>
      <c r="K3" t="s">
        <v>200</v>
      </c>
      <c r="L3">
        <f t="shared" ref="L3:L22" si="1">I3</f>
        <v>1</v>
      </c>
    </row>
    <row r="4" spans="1:12" ht="21.75" customHeight="1" x14ac:dyDescent="0.45">
      <c r="A4" s="4" t="s">
        <v>11</v>
      </c>
      <c r="B4" s="5" t="s">
        <v>19</v>
      </c>
      <c r="C4" s="36">
        <f>COUNTIFS('Coded Passages'!$B:$B,$A4,'Coded Passages'!$C:$C,$B4,'Coded Passages'!$H:$H,C$2)</f>
        <v>0</v>
      </c>
      <c r="D4" s="36">
        <f>COUNTIFS('Coded Passages'!$B:$B,$A4,'Coded Passages'!$C:$C,$B4,'Coded Passages'!$H:$H,D$2)</f>
        <v>1</v>
      </c>
      <c r="E4" s="36">
        <f>COUNTIFS('Coded Passages'!$B:$B,$A4,'Coded Passages'!$C:$C,$B4,'Coded Passages'!$H:$H,E$2)</f>
        <v>0</v>
      </c>
      <c r="F4" s="36">
        <f>COUNTIFS('Coded Passages'!$B:$B,$A4,'Coded Passages'!$C:$C,$B4,'Coded Passages'!$H:$H,F$2)</f>
        <v>0</v>
      </c>
      <c r="G4" s="36">
        <f>COUNTIFS('Coded Passages'!$B:$B,$A4,'Coded Passages'!$C:$C,$B4,'Coded Passages'!$H:$H,G$2)</f>
        <v>1</v>
      </c>
      <c r="H4" s="36">
        <f>COUNTIFS('Coded Passages'!$B:$B,$A4,'Coded Passages'!$C:$C,$B4,'Coded Passages'!$H:$H,H$2)</f>
        <v>0</v>
      </c>
      <c r="I4" s="27">
        <f t="shared" si="0"/>
        <v>2</v>
      </c>
      <c r="K4" t="s">
        <v>201</v>
      </c>
      <c r="L4">
        <f t="shared" si="1"/>
        <v>2</v>
      </c>
    </row>
    <row r="5" spans="1:12" ht="21.75" customHeight="1" x14ac:dyDescent="0.45">
      <c r="A5" s="4" t="s">
        <v>11</v>
      </c>
      <c r="B5" s="5" t="s">
        <v>27</v>
      </c>
      <c r="C5" s="36">
        <f>COUNTIFS('Coded Passages'!$B:$B,$A5,'Coded Passages'!$C:$C,$B5,'Coded Passages'!$H:$H,C$2)</f>
        <v>0</v>
      </c>
      <c r="D5" s="36">
        <f>COUNTIFS('Coded Passages'!$B:$B,$A5,'Coded Passages'!$C:$C,$B5,'Coded Passages'!$H:$H,D$2)</f>
        <v>3</v>
      </c>
      <c r="E5" s="36">
        <f>COUNTIFS('Coded Passages'!$B:$B,$A5,'Coded Passages'!$C:$C,$B5,'Coded Passages'!$H:$H,E$2)</f>
        <v>0</v>
      </c>
      <c r="F5" s="36">
        <f>COUNTIFS('Coded Passages'!$B:$B,$A5,'Coded Passages'!$C:$C,$B5,'Coded Passages'!$H:$H,F$2)</f>
        <v>1</v>
      </c>
      <c r="G5" s="36">
        <f>COUNTIFS('Coded Passages'!$B:$B,$A5,'Coded Passages'!$C:$C,$B5,'Coded Passages'!$H:$H,G$2)</f>
        <v>0</v>
      </c>
      <c r="H5" s="36">
        <f>COUNTIFS('Coded Passages'!$B:$B,$A5,'Coded Passages'!$C:$C,$B5,'Coded Passages'!$H:$H,H$2)</f>
        <v>2</v>
      </c>
      <c r="I5" s="27">
        <f t="shared" si="0"/>
        <v>6</v>
      </c>
      <c r="K5" t="s">
        <v>202</v>
      </c>
      <c r="L5">
        <f t="shared" si="1"/>
        <v>6</v>
      </c>
    </row>
    <row r="6" spans="1:12" ht="21.75" customHeight="1" x14ac:dyDescent="0.45">
      <c r="A6" s="4" t="s">
        <v>11</v>
      </c>
      <c r="B6" s="5" t="s">
        <v>44</v>
      </c>
      <c r="C6" s="36">
        <f>COUNTIFS('Coded Passages'!$B:$B,$A6,'Coded Passages'!$C:$C,$B6,'Coded Passages'!$H:$H,C$2)</f>
        <v>0</v>
      </c>
      <c r="D6" s="36">
        <f>COUNTIFS('Coded Passages'!$B:$B,$A6,'Coded Passages'!$C:$C,$B6,'Coded Passages'!$H:$H,D$2)</f>
        <v>1</v>
      </c>
      <c r="E6" s="36">
        <f>COUNTIFS('Coded Passages'!$B:$B,$A6,'Coded Passages'!$C:$C,$B6,'Coded Passages'!$H:$H,E$2)</f>
        <v>0</v>
      </c>
      <c r="F6" s="36">
        <f>COUNTIFS('Coded Passages'!$B:$B,$A6,'Coded Passages'!$C:$C,$B6,'Coded Passages'!$H:$H,F$2)</f>
        <v>1</v>
      </c>
      <c r="G6" s="36">
        <f>COUNTIFS('Coded Passages'!$B:$B,$A6,'Coded Passages'!$C:$C,$B6,'Coded Passages'!$H:$H,G$2)</f>
        <v>1</v>
      </c>
      <c r="H6" s="36">
        <f>COUNTIFS('Coded Passages'!$B:$B,$A6,'Coded Passages'!$C:$C,$B6,'Coded Passages'!$H:$H,H$2)</f>
        <v>2</v>
      </c>
      <c r="I6" s="27">
        <f t="shared" si="0"/>
        <v>5</v>
      </c>
      <c r="K6" t="s">
        <v>203</v>
      </c>
      <c r="L6">
        <f t="shared" si="1"/>
        <v>5</v>
      </c>
    </row>
    <row r="7" spans="1:12" ht="21.75" customHeight="1" x14ac:dyDescent="0.45">
      <c r="A7" s="4" t="s">
        <v>11</v>
      </c>
      <c r="B7" s="5" t="s">
        <v>55</v>
      </c>
      <c r="C7" s="36">
        <f>COUNTIFS('Coded Passages'!$B:$B,$A7,'Coded Passages'!$C:$C,$B7,'Coded Passages'!$H:$H,C$2)</f>
        <v>0</v>
      </c>
      <c r="D7" s="36">
        <f>COUNTIFS('Coded Passages'!$B:$B,$A7,'Coded Passages'!$C:$C,$B7,'Coded Passages'!$H:$H,D$2)</f>
        <v>3</v>
      </c>
      <c r="E7" s="36">
        <f>COUNTIFS('Coded Passages'!$B:$B,$A7,'Coded Passages'!$C:$C,$B7,'Coded Passages'!$H:$H,E$2)</f>
        <v>0</v>
      </c>
      <c r="F7" s="36">
        <f>COUNTIFS('Coded Passages'!$B:$B,$A7,'Coded Passages'!$C:$C,$B7,'Coded Passages'!$H:$H,F$2)</f>
        <v>1</v>
      </c>
      <c r="G7" s="36">
        <f>COUNTIFS('Coded Passages'!$B:$B,$A7,'Coded Passages'!$C:$C,$B7,'Coded Passages'!$H:$H,G$2)</f>
        <v>0</v>
      </c>
      <c r="H7" s="36">
        <f>COUNTIFS('Coded Passages'!$B:$B,$A7,'Coded Passages'!$C:$C,$B7,'Coded Passages'!$H:$H,H$2)</f>
        <v>1</v>
      </c>
      <c r="I7" s="27">
        <f t="shared" si="0"/>
        <v>5</v>
      </c>
      <c r="K7" t="s">
        <v>204</v>
      </c>
      <c r="L7">
        <f t="shared" si="1"/>
        <v>5</v>
      </c>
    </row>
    <row r="8" spans="1:12" ht="21.75" customHeight="1" x14ac:dyDescent="0.45">
      <c r="A8" s="4" t="s">
        <v>11</v>
      </c>
      <c r="B8" s="5" t="s">
        <v>66</v>
      </c>
      <c r="C8" s="36">
        <f>COUNTIFS('Coded Passages'!$B:$B,$A8,'Coded Passages'!$C:$C,$B8,'Coded Passages'!$H:$H,C$2)</f>
        <v>0</v>
      </c>
      <c r="D8" s="36">
        <f>COUNTIFS('Coded Passages'!$B:$B,$A8,'Coded Passages'!$C:$C,$B8,'Coded Passages'!$H:$H,D$2)</f>
        <v>1</v>
      </c>
      <c r="E8" s="36">
        <f>COUNTIFS('Coded Passages'!$B:$B,$A8,'Coded Passages'!$C:$C,$B8,'Coded Passages'!$H:$H,E$2)</f>
        <v>3</v>
      </c>
      <c r="F8" s="36">
        <f>COUNTIFS('Coded Passages'!$B:$B,$A8,'Coded Passages'!$C:$C,$B8,'Coded Passages'!$H:$H,F$2)</f>
        <v>3</v>
      </c>
      <c r="G8" s="36">
        <f>COUNTIFS('Coded Passages'!$B:$B,$A8,'Coded Passages'!$C:$C,$B8,'Coded Passages'!$H:$H,G$2)</f>
        <v>2</v>
      </c>
      <c r="H8" s="36">
        <f>COUNTIFS('Coded Passages'!$B:$B,$A8,'Coded Passages'!$C:$C,$B8,'Coded Passages'!$H:$H,H$2)</f>
        <v>0</v>
      </c>
      <c r="I8" s="27">
        <f t="shared" si="0"/>
        <v>9</v>
      </c>
      <c r="K8" t="s">
        <v>205</v>
      </c>
      <c r="L8">
        <f t="shared" si="1"/>
        <v>9</v>
      </c>
    </row>
    <row r="9" spans="1:12" ht="21.75" customHeight="1" x14ac:dyDescent="0.45">
      <c r="A9" s="4" t="s">
        <v>11</v>
      </c>
      <c r="B9" s="5" t="s">
        <v>87</v>
      </c>
      <c r="C9" s="36">
        <f>COUNTIFS('Coded Passages'!$B:$B,$A9,'Coded Passages'!$C:$C,$B9,'Coded Passages'!$H:$H,C$2)</f>
        <v>1</v>
      </c>
      <c r="D9" s="36">
        <f>COUNTIFS('Coded Passages'!$B:$B,$A9,'Coded Passages'!$C:$C,$B9,'Coded Passages'!$H:$H,D$2)</f>
        <v>0</v>
      </c>
      <c r="E9" s="36">
        <f>COUNTIFS('Coded Passages'!$B:$B,$A9,'Coded Passages'!$C:$C,$B9,'Coded Passages'!$H:$H,E$2)</f>
        <v>2</v>
      </c>
      <c r="F9" s="36">
        <f>COUNTIFS('Coded Passages'!$B:$B,$A9,'Coded Passages'!$C:$C,$B9,'Coded Passages'!$H:$H,F$2)</f>
        <v>1</v>
      </c>
      <c r="G9" s="36">
        <f>COUNTIFS('Coded Passages'!$B:$B,$A9,'Coded Passages'!$C:$C,$B9,'Coded Passages'!$H:$H,G$2)</f>
        <v>1</v>
      </c>
      <c r="H9" s="36">
        <f>COUNTIFS('Coded Passages'!$B:$B,$A9,'Coded Passages'!$C:$C,$B9,'Coded Passages'!$H:$H,H$2)</f>
        <v>0</v>
      </c>
      <c r="I9" s="27">
        <f t="shared" si="0"/>
        <v>5</v>
      </c>
      <c r="K9" t="s">
        <v>206</v>
      </c>
      <c r="L9">
        <f t="shared" si="1"/>
        <v>5</v>
      </c>
    </row>
    <row r="10" spans="1:12" ht="21.75" customHeight="1" x14ac:dyDescent="0.45">
      <c r="A10" s="13" t="s">
        <v>101</v>
      </c>
      <c r="B10" s="14" t="s">
        <v>102</v>
      </c>
      <c r="C10" s="36">
        <f>COUNTIFS('Coded Passages'!$B:$B,$A10,'Coded Passages'!$C:$C,$B10,'Coded Passages'!$H:$H,C$2)</f>
        <v>1</v>
      </c>
      <c r="D10" s="36">
        <f>COUNTIFS('Coded Passages'!$B:$B,$A10,'Coded Passages'!$C:$C,$B10,'Coded Passages'!$H:$H,D$2)</f>
        <v>1</v>
      </c>
      <c r="E10" s="36">
        <f>COUNTIFS('Coded Passages'!$B:$B,$A10,'Coded Passages'!$C:$C,$B10,'Coded Passages'!$H:$H,E$2)</f>
        <v>1</v>
      </c>
      <c r="F10" s="36">
        <f>COUNTIFS('Coded Passages'!$B:$B,$A10,'Coded Passages'!$C:$C,$B10,'Coded Passages'!$H:$H,F$2)</f>
        <v>0</v>
      </c>
      <c r="G10" s="36">
        <f>COUNTIFS('Coded Passages'!$B:$B,$A10,'Coded Passages'!$C:$C,$B10,'Coded Passages'!$H:$H,G$2)</f>
        <v>2</v>
      </c>
      <c r="H10" s="36">
        <f>COUNTIFS('Coded Passages'!$B:$B,$A10,'Coded Passages'!$C:$C,$B10,'Coded Passages'!$H:$H,H$2)</f>
        <v>0</v>
      </c>
      <c r="I10" s="27">
        <f t="shared" si="0"/>
        <v>5</v>
      </c>
      <c r="K10" t="s">
        <v>207</v>
      </c>
      <c r="L10">
        <f t="shared" si="1"/>
        <v>5</v>
      </c>
    </row>
    <row r="11" spans="1:12" ht="21.75" customHeight="1" x14ac:dyDescent="0.45">
      <c r="A11" s="13" t="s">
        <v>101</v>
      </c>
      <c r="B11" s="14" t="s">
        <v>114</v>
      </c>
      <c r="C11" s="36">
        <f>COUNTIFS('Coded Passages'!$B:$B,$A11,'Coded Passages'!$C:$C,$B11,'Coded Passages'!$H:$H,C$2)</f>
        <v>0</v>
      </c>
      <c r="D11" s="36">
        <f>COUNTIFS('Coded Passages'!$B:$B,$A11,'Coded Passages'!$C:$C,$B11,'Coded Passages'!$H:$H,D$2)</f>
        <v>0</v>
      </c>
      <c r="E11" s="36">
        <f>COUNTIFS('Coded Passages'!$B:$B,$A11,'Coded Passages'!$C:$C,$B11,'Coded Passages'!$H:$H,E$2)</f>
        <v>0</v>
      </c>
      <c r="F11" s="36">
        <f>COUNTIFS('Coded Passages'!$B:$B,$A11,'Coded Passages'!$C:$C,$B11,'Coded Passages'!$H:$H,F$2)</f>
        <v>1</v>
      </c>
      <c r="G11" s="36">
        <f>COUNTIFS('Coded Passages'!$B:$B,$A11,'Coded Passages'!$C:$C,$B11,'Coded Passages'!$H:$H,G$2)</f>
        <v>0</v>
      </c>
      <c r="H11" s="36">
        <f>COUNTIFS('Coded Passages'!$B:$B,$A11,'Coded Passages'!$C:$C,$B11,'Coded Passages'!$H:$H,H$2)</f>
        <v>0</v>
      </c>
      <c r="I11" s="27">
        <f t="shared" si="0"/>
        <v>1</v>
      </c>
      <c r="K11" t="s">
        <v>208</v>
      </c>
      <c r="L11">
        <f t="shared" si="1"/>
        <v>1</v>
      </c>
    </row>
    <row r="12" spans="1:12" ht="21.75" customHeight="1" x14ac:dyDescent="0.45">
      <c r="A12" s="13" t="s">
        <v>101</v>
      </c>
      <c r="B12" s="14" t="s">
        <v>117</v>
      </c>
      <c r="C12" s="36">
        <f>COUNTIFS('Coded Passages'!$B:$B,$A12,'Coded Passages'!$C:$C,$B12,'Coded Passages'!$H:$H,C$2)</f>
        <v>1</v>
      </c>
      <c r="D12" s="36">
        <f>COUNTIFS('Coded Passages'!$B:$B,$A12,'Coded Passages'!$C:$C,$B12,'Coded Passages'!$H:$H,D$2)</f>
        <v>0</v>
      </c>
      <c r="E12" s="36">
        <f>COUNTIFS('Coded Passages'!$B:$B,$A12,'Coded Passages'!$C:$C,$B12,'Coded Passages'!$H:$H,E$2)</f>
        <v>0</v>
      </c>
      <c r="F12" s="36">
        <f>COUNTIFS('Coded Passages'!$B:$B,$A12,'Coded Passages'!$C:$C,$B12,'Coded Passages'!$H:$H,F$2)</f>
        <v>1</v>
      </c>
      <c r="G12" s="36">
        <f>COUNTIFS('Coded Passages'!$B:$B,$A12,'Coded Passages'!$C:$C,$B12,'Coded Passages'!$H:$H,G$2)</f>
        <v>0</v>
      </c>
      <c r="H12" s="36">
        <f>COUNTIFS('Coded Passages'!$B:$B,$A12,'Coded Passages'!$C:$C,$B12,'Coded Passages'!$H:$H,H$2)</f>
        <v>0</v>
      </c>
      <c r="I12" s="27">
        <f t="shared" si="0"/>
        <v>2</v>
      </c>
      <c r="K12" t="s">
        <v>209</v>
      </c>
      <c r="L12">
        <f t="shared" si="1"/>
        <v>2</v>
      </c>
    </row>
    <row r="13" spans="1:12" ht="21.75" customHeight="1" x14ac:dyDescent="0.45">
      <c r="A13" s="13" t="s">
        <v>101</v>
      </c>
      <c r="B13" s="14" t="s">
        <v>122</v>
      </c>
      <c r="C13" s="36">
        <f>COUNTIFS('Coded Passages'!$B:$B,$A13,'Coded Passages'!$C:$C,$B13,'Coded Passages'!$H:$H,C$2)</f>
        <v>0</v>
      </c>
      <c r="D13" s="36">
        <f>COUNTIFS('Coded Passages'!$B:$B,$A13,'Coded Passages'!$C:$C,$B13,'Coded Passages'!$H:$H,D$2)</f>
        <v>2</v>
      </c>
      <c r="E13" s="36">
        <f>COUNTIFS('Coded Passages'!$B:$B,$A13,'Coded Passages'!$C:$C,$B13,'Coded Passages'!$H:$H,E$2)</f>
        <v>0</v>
      </c>
      <c r="F13" s="36">
        <f>COUNTIFS('Coded Passages'!$B:$B,$A13,'Coded Passages'!$C:$C,$B13,'Coded Passages'!$H:$H,F$2)</f>
        <v>1</v>
      </c>
      <c r="G13" s="36">
        <f>COUNTIFS('Coded Passages'!$B:$B,$A13,'Coded Passages'!$C:$C,$B13,'Coded Passages'!$H:$H,G$2)</f>
        <v>0</v>
      </c>
      <c r="H13" s="36">
        <f>COUNTIFS('Coded Passages'!$B:$B,$A13,'Coded Passages'!$C:$C,$B13,'Coded Passages'!$H:$H,H$2)</f>
        <v>0</v>
      </c>
      <c r="I13" s="27">
        <f t="shared" si="0"/>
        <v>3</v>
      </c>
      <c r="K13" t="s">
        <v>210</v>
      </c>
      <c r="L13">
        <f t="shared" si="1"/>
        <v>3</v>
      </c>
    </row>
    <row r="14" spans="1:12" ht="21.75" customHeight="1" x14ac:dyDescent="0.45">
      <c r="A14" s="13" t="s">
        <v>101</v>
      </c>
      <c r="B14" s="14" t="s">
        <v>129</v>
      </c>
      <c r="C14" s="36">
        <f>COUNTIFS('Coded Passages'!$B:$B,$A14,'Coded Passages'!$C:$C,$B14,'Coded Passages'!$H:$H,C$2)</f>
        <v>0</v>
      </c>
      <c r="D14" s="36">
        <f>COUNTIFS('Coded Passages'!$B:$B,$A14,'Coded Passages'!$C:$C,$B14,'Coded Passages'!$H:$H,D$2)</f>
        <v>0</v>
      </c>
      <c r="E14" s="36">
        <f>COUNTIFS('Coded Passages'!$B:$B,$A14,'Coded Passages'!$C:$C,$B14,'Coded Passages'!$H:$H,E$2)</f>
        <v>0</v>
      </c>
      <c r="F14" s="36">
        <f>COUNTIFS('Coded Passages'!$B:$B,$A14,'Coded Passages'!$C:$C,$B14,'Coded Passages'!$H:$H,F$2)</f>
        <v>1</v>
      </c>
      <c r="G14" s="36">
        <f>COUNTIFS('Coded Passages'!$B:$B,$A14,'Coded Passages'!$C:$C,$B14,'Coded Passages'!$H:$H,G$2)</f>
        <v>0</v>
      </c>
      <c r="H14" s="36">
        <f>COUNTIFS('Coded Passages'!$B:$B,$A14,'Coded Passages'!$C:$C,$B14,'Coded Passages'!$H:$H,H$2)</f>
        <v>0</v>
      </c>
      <c r="I14" s="27">
        <f t="shared" si="0"/>
        <v>1</v>
      </c>
      <c r="K14" t="s">
        <v>211</v>
      </c>
      <c r="L14">
        <f t="shared" si="1"/>
        <v>1</v>
      </c>
    </row>
    <row r="15" spans="1:12" ht="21.75" customHeight="1" x14ac:dyDescent="0.45">
      <c r="A15" s="15" t="s">
        <v>132</v>
      </c>
      <c r="B15" s="16" t="s">
        <v>133</v>
      </c>
      <c r="C15" s="36">
        <f>COUNTIFS('Coded Passages'!$B:$B,$A15,'Coded Passages'!$C:$C,$B15,'Coded Passages'!$H:$H,C$2)</f>
        <v>0</v>
      </c>
      <c r="D15" s="36">
        <f>COUNTIFS('Coded Passages'!$B:$B,$A15,'Coded Passages'!$C:$C,$B15,'Coded Passages'!$H:$H,D$2)</f>
        <v>1</v>
      </c>
      <c r="E15" s="36">
        <f>COUNTIFS('Coded Passages'!$B:$B,$A15,'Coded Passages'!$C:$C,$B15,'Coded Passages'!$H:$H,E$2)</f>
        <v>1</v>
      </c>
      <c r="F15" s="36">
        <f>COUNTIFS('Coded Passages'!$B:$B,$A15,'Coded Passages'!$C:$C,$B15,'Coded Passages'!$H:$H,F$2)</f>
        <v>1</v>
      </c>
      <c r="G15" s="36">
        <f>COUNTIFS('Coded Passages'!$B:$B,$A15,'Coded Passages'!$C:$C,$B15,'Coded Passages'!$H:$H,G$2)</f>
        <v>1</v>
      </c>
      <c r="H15" s="36">
        <f>COUNTIFS('Coded Passages'!$B:$B,$A15,'Coded Passages'!$C:$C,$B15,'Coded Passages'!$H:$H,H$2)</f>
        <v>2</v>
      </c>
      <c r="I15" s="27">
        <f t="shared" si="0"/>
        <v>6</v>
      </c>
      <c r="K15" t="s">
        <v>212</v>
      </c>
      <c r="L15">
        <f t="shared" si="1"/>
        <v>6</v>
      </c>
    </row>
    <row r="16" spans="1:12" ht="21.75" customHeight="1" x14ac:dyDescent="0.45">
      <c r="A16" s="15" t="s">
        <v>132</v>
      </c>
      <c r="B16" s="16" t="s">
        <v>147</v>
      </c>
      <c r="C16" s="36">
        <f>COUNTIFS('Coded Passages'!$B:$B,$A16,'Coded Passages'!$C:$C,$B16,'Coded Passages'!$H:$H,C$2)</f>
        <v>0</v>
      </c>
      <c r="D16" s="36">
        <f>COUNTIFS('Coded Passages'!$B:$B,$A16,'Coded Passages'!$C:$C,$B16,'Coded Passages'!$H:$H,D$2)</f>
        <v>1</v>
      </c>
      <c r="E16" s="36">
        <f>COUNTIFS('Coded Passages'!$B:$B,$A16,'Coded Passages'!$C:$C,$B16,'Coded Passages'!$H:$H,E$2)</f>
        <v>0</v>
      </c>
      <c r="F16" s="36">
        <f>COUNTIFS('Coded Passages'!$B:$B,$A16,'Coded Passages'!$C:$C,$B16,'Coded Passages'!$H:$H,F$2)</f>
        <v>3</v>
      </c>
      <c r="G16" s="36">
        <f>COUNTIFS('Coded Passages'!$B:$B,$A16,'Coded Passages'!$C:$C,$B16,'Coded Passages'!$H:$H,G$2)</f>
        <v>0</v>
      </c>
      <c r="H16" s="36">
        <f>COUNTIFS('Coded Passages'!$B:$B,$A16,'Coded Passages'!$C:$C,$B16,'Coded Passages'!$H:$H,H$2)</f>
        <v>0</v>
      </c>
      <c r="I16" s="27">
        <f t="shared" si="0"/>
        <v>4</v>
      </c>
      <c r="K16" t="s">
        <v>213</v>
      </c>
      <c r="L16">
        <f t="shared" si="1"/>
        <v>4</v>
      </c>
    </row>
    <row r="17" spans="1:12" ht="21.75" customHeight="1" x14ac:dyDescent="0.45">
      <c r="A17" s="15" t="s">
        <v>132</v>
      </c>
      <c r="B17" s="16" t="s">
        <v>156</v>
      </c>
      <c r="C17" s="36">
        <f>COUNTIFS('Coded Passages'!$B:$B,$A17,'Coded Passages'!$C:$C,$B17,'Coded Passages'!$H:$H,C$2)</f>
        <v>0</v>
      </c>
      <c r="D17" s="36">
        <f>COUNTIFS('Coded Passages'!$B:$B,$A17,'Coded Passages'!$C:$C,$B17,'Coded Passages'!$H:$H,D$2)</f>
        <v>1</v>
      </c>
      <c r="E17" s="36">
        <f>COUNTIFS('Coded Passages'!$B:$B,$A17,'Coded Passages'!$C:$C,$B17,'Coded Passages'!$H:$H,E$2)</f>
        <v>1</v>
      </c>
      <c r="F17" s="36">
        <f>COUNTIFS('Coded Passages'!$B:$B,$A17,'Coded Passages'!$C:$C,$B17,'Coded Passages'!$H:$H,F$2)</f>
        <v>2</v>
      </c>
      <c r="G17" s="36">
        <f>COUNTIFS('Coded Passages'!$B:$B,$A17,'Coded Passages'!$C:$C,$B17,'Coded Passages'!$H:$H,G$2)</f>
        <v>0</v>
      </c>
      <c r="H17" s="36">
        <f>COUNTIFS('Coded Passages'!$B:$B,$A17,'Coded Passages'!$C:$C,$B17,'Coded Passages'!$H:$H,H$2)</f>
        <v>0</v>
      </c>
      <c r="I17" s="27">
        <f t="shared" si="0"/>
        <v>4</v>
      </c>
      <c r="K17" t="s">
        <v>214</v>
      </c>
      <c r="L17">
        <f t="shared" si="1"/>
        <v>4</v>
      </c>
    </row>
    <row r="18" spans="1:12" ht="21.75" customHeight="1" x14ac:dyDescent="0.45">
      <c r="A18" s="17" t="s">
        <v>164</v>
      </c>
      <c r="B18" s="18" t="s">
        <v>165</v>
      </c>
      <c r="C18" s="36">
        <f>COUNTIFS('Coded Passages'!$B:$B,$A18,'Coded Passages'!$C:$C,$B18,'Coded Passages'!$H:$H,C$2)</f>
        <v>0</v>
      </c>
      <c r="D18" s="36">
        <f>COUNTIFS('Coded Passages'!$B:$B,$A18,'Coded Passages'!$C:$C,$B18,'Coded Passages'!$H:$H,D$2)</f>
        <v>0</v>
      </c>
      <c r="E18" s="36">
        <f>COUNTIFS('Coded Passages'!$B:$B,$A18,'Coded Passages'!$C:$C,$B18,'Coded Passages'!$H:$H,E$2)</f>
        <v>0</v>
      </c>
      <c r="F18" s="36">
        <f>COUNTIFS('Coded Passages'!$B:$B,$A18,'Coded Passages'!$C:$C,$B18,'Coded Passages'!$H:$H,F$2)</f>
        <v>0</v>
      </c>
      <c r="G18" s="36">
        <f>COUNTIFS('Coded Passages'!$B:$B,$A18,'Coded Passages'!$C:$C,$B18,'Coded Passages'!$H:$H,G$2)</f>
        <v>1</v>
      </c>
      <c r="H18" s="36">
        <f>COUNTIFS('Coded Passages'!$B:$B,$A18,'Coded Passages'!$C:$C,$B18,'Coded Passages'!$H:$H,H$2)</f>
        <v>0</v>
      </c>
      <c r="I18" s="27">
        <f t="shared" si="0"/>
        <v>1</v>
      </c>
      <c r="K18" t="s">
        <v>215</v>
      </c>
      <c r="L18">
        <f t="shared" si="1"/>
        <v>1</v>
      </c>
    </row>
    <row r="19" spans="1:12" ht="21.75" customHeight="1" x14ac:dyDescent="0.45">
      <c r="A19" s="19" t="s">
        <v>169</v>
      </c>
      <c r="B19" s="20" t="s">
        <v>170</v>
      </c>
      <c r="C19" s="36">
        <f>COUNTIFS('Coded Passages'!$B:$B,$A19,'Coded Passages'!$C:$C,$B19,'Coded Passages'!$H:$H,C$2)</f>
        <v>0</v>
      </c>
      <c r="D19" s="36">
        <f>COUNTIFS('Coded Passages'!$B:$B,$A19,'Coded Passages'!$C:$C,$B19,'Coded Passages'!$H:$H,D$2)</f>
        <v>0</v>
      </c>
      <c r="E19" s="36">
        <f>COUNTIFS('Coded Passages'!$B:$B,$A19,'Coded Passages'!$C:$C,$B19,'Coded Passages'!$H:$H,E$2)</f>
        <v>1</v>
      </c>
      <c r="F19" s="36">
        <f>COUNTIFS('Coded Passages'!$B:$B,$A19,'Coded Passages'!$C:$C,$B19,'Coded Passages'!$H:$H,F$2)</f>
        <v>1</v>
      </c>
      <c r="G19" s="36">
        <f>COUNTIFS('Coded Passages'!$B:$B,$A19,'Coded Passages'!$C:$C,$B19,'Coded Passages'!$H:$H,G$2)</f>
        <v>2</v>
      </c>
      <c r="H19" s="36">
        <f>COUNTIFS('Coded Passages'!$B:$B,$A19,'Coded Passages'!$C:$C,$B19,'Coded Passages'!$H:$H,H$2)</f>
        <v>0</v>
      </c>
      <c r="I19" s="27">
        <f t="shared" si="0"/>
        <v>4</v>
      </c>
      <c r="K19" t="s">
        <v>216</v>
      </c>
      <c r="L19">
        <f t="shared" si="1"/>
        <v>4</v>
      </c>
    </row>
    <row r="20" spans="1:12" ht="21.75" customHeight="1" x14ac:dyDescent="0.45">
      <c r="A20" s="21" t="s">
        <v>180</v>
      </c>
      <c r="B20" s="22" t="s">
        <v>181</v>
      </c>
      <c r="C20" s="36">
        <f>COUNTIFS('Coded Passages'!$B:$B,$A20,'Coded Passages'!$C:$C,$B20,'Coded Passages'!$H:$H,C$2)</f>
        <v>1</v>
      </c>
      <c r="D20" s="36">
        <f>COUNTIFS('Coded Passages'!$B:$B,$A20,'Coded Passages'!$C:$C,$B20,'Coded Passages'!$H:$H,D$2)</f>
        <v>0</v>
      </c>
      <c r="E20" s="36">
        <f>COUNTIFS('Coded Passages'!$B:$B,$A20,'Coded Passages'!$C:$C,$B20,'Coded Passages'!$H:$H,E$2)</f>
        <v>0</v>
      </c>
      <c r="F20" s="36">
        <f>COUNTIFS('Coded Passages'!$B:$B,$A20,'Coded Passages'!$C:$C,$B20,'Coded Passages'!$H:$H,F$2)</f>
        <v>0</v>
      </c>
      <c r="G20" s="36">
        <f>COUNTIFS('Coded Passages'!$B:$B,$A20,'Coded Passages'!$C:$C,$B20,'Coded Passages'!$H:$H,G$2)</f>
        <v>0</v>
      </c>
      <c r="H20" s="36">
        <f>COUNTIFS('Coded Passages'!$B:$B,$A20,'Coded Passages'!$C:$C,$B20,'Coded Passages'!$H:$H,H$2)</f>
        <v>0</v>
      </c>
      <c r="I20" s="27">
        <f t="shared" si="0"/>
        <v>1</v>
      </c>
      <c r="K20" t="s">
        <v>217</v>
      </c>
      <c r="L20">
        <f t="shared" si="1"/>
        <v>1</v>
      </c>
    </row>
    <row r="21" spans="1:12" ht="21.75" customHeight="1" x14ac:dyDescent="0.45">
      <c r="A21" s="21" t="s">
        <v>180</v>
      </c>
      <c r="B21" s="22" t="s">
        <v>185</v>
      </c>
      <c r="C21" s="36">
        <f>COUNTIFS('Coded Passages'!$B:$B,$A21,'Coded Passages'!$C:$C,$B21,'Coded Passages'!$H:$H,C$2)</f>
        <v>0</v>
      </c>
      <c r="D21" s="36">
        <f>COUNTIFS('Coded Passages'!$B:$B,$A21,'Coded Passages'!$C:$C,$B21,'Coded Passages'!$H:$H,D$2)</f>
        <v>1</v>
      </c>
      <c r="E21" s="36">
        <f>COUNTIFS('Coded Passages'!$B:$B,$A21,'Coded Passages'!$C:$C,$B21,'Coded Passages'!$H:$H,E$2)</f>
        <v>0</v>
      </c>
      <c r="F21" s="36">
        <f>COUNTIFS('Coded Passages'!$B:$B,$A21,'Coded Passages'!$C:$C,$B21,'Coded Passages'!$H:$H,F$2)</f>
        <v>1</v>
      </c>
      <c r="G21" s="36">
        <f>COUNTIFS('Coded Passages'!$B:$B,$A21,'Coded Passages'!$C:$C,$B21,'Coded Passages'!$H:$H,G$2)</f>
        <v>0</v>
      </c>
      <c r="H21" s="36">
        <f>COUNTIFS('Coded Passages'!$B:$B,$A21,'Coded Passages'!$C:$C,$B21,'Coded Passages'!$H:$H,H$2)</f>
        <v>0</v>
      </c>
      <c r="I21" s="27">
        <f t="shared" si="0"/>
        <v>2</v>
      </c>
      <c r="K21" t="s">
        <v>218</v>
      </c>
      <c r="L21">
        <f t="shared" si="1"/>
        <v>2</v>
      </c>
    </row>
    <row r="22" spans="1:12" ht="21.75" customHeight="1" x14ac:dyDescent="0.45">
      <c r="A22" s="21" t="s">
        <v>180</v>
      </c>
      <c r="B22" s="22" t="s">
        <v>190</v>
      </c>
      <c r="C22" s="36">
        <f>COUNTIFS('Coded Passages'!$B:$B,$A22,'Coded Passages'!$C:$C,$B22,'Coded Passages'!$H:$H,C$2)</f>
        <v>0</v>
      </c>
      <c r="D22" s="36">
        <f>COUNTIFS('Coded Passages'!$B:$B,$A22,'Coded Passages'!$C:$C,$B22,'Coded Passages'!$H:$H,D$2)</f>
        <v>0</v>
      </c>
      <c r="E22" s="36">
        <f>COUNTIFS('Coded Passages'!$B:$B,$A22,'Coded Passages'!$C:$C,$B22,'Coded Passages'!$H:$H,E$2)</f>
        <v>0</v>
      </c>
      <c r="F22" s="36">
        <f>COUNTIFS('Coded Passages'!$B:$B,$A22,'Coded Passages'!$C:$C,$B22,'Coded Passages'!$H:$H,F$2)</f>
        <v>0</v>
      </c>
      <c r="G22" s="36">
        <f>COUNTIFS('Coded Passages'!$B:$B,$A22,'Coded Passages'!$C:$C,$B22,'Coded Passages'!$H:$H,G$2)</f>
        <v>1</v>
      </c>
      <c r="H22" s="36">
        <f>COUNTIFS('Coded Passages'!$B:$B,$A22,'Coded Passages'!$C:$C,$B22,'Coded Passages'!$H:$H,H$2)</f>
        <v>0</v>
      </c>
      <c r="I22" s="27">
        <f t="shared" si="0"/>
        <v>1</v>
      </c>
      <c r="K22" t="s">
        <v>219</v>
      </c>
      <c r="L22">
        <f t="shared" si="1"/>
        <v>1</v>
      </c>
    </row>
    <row r="23" spans="1:12" ht="21.75" customHeight="1" x14ac:dyDescent="0.45">
      <c r="A23" s="24" t="s">
        <v>194</v>
      </c>
      <c r="B23" s="33" t="s">
        <v>220</v>
      </c>
      <c r="C23" s="24">
        <f t="shared" ref="C23:I23" si="2">SUM(C3:C22)</f>
        <v>4</v>
      </c>
      <c r="D23" s="24">
        <f t="shared" si="2"/>
        <v>17</v>
      </c>
      <c r="E23" s="24">
        <f t="shared" si="2"/>
        <v>9</v>
      </c>
      <c r="F23" s="24">
        <f t="shared" si="2"/>
        <v>19</v>
      </c>
      <c r="G23" s="24">
        <f t="shared" si="2"/>
        <v>12</v>
      </c>
      <c r="H23" s="24">
        <f t="shared" si="2"/>
        <v>7</v>
      </c>
      <c r="I23" s="34">
        <f t="shared" si="2"/>
        <v>68</v>
      </c>
    </row>
  </sheetData>
  <autoFilter ref="A2:I23" xr:uid="{00000000-0009-0000-0000-000002000000}"/>
  <mergeCells count="1">
    <mergeCell ref="A1:I1"/>
  </mergeCells>
  <conditionalFormatting sqref="C3:H22">
    <cfRule type="colorScale" priority="2">
      <colorScale>
        <cfvo type="num" val="0"/>
        <cfvo type="max"/>
        <color rgb="FFFFFFFF"/>
        <color rgb="FF2563EB"/>
      </colorScale>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zoomScaleNormal="100" workbookViewId="0">
      <pane ySplit="2" topLeftCell="A71" activePane="bottomLeft" state="frozen"/>
      <selection pane="bottomLeft" activeCell="I4" sqref="I4"/>
    </sheetView>
  </sheetViews>
  <sheetFormatPr defaultColWidth="8.6640625" defaultRowHeight="14.25" x14ac:dyDescent="0.45"/>
  <cols>
    <col min="1" max="1" width="30" customWidth="1"/>
    <col min="2" max="2" width="13" customWidth="1"/>
    <col min="3" max="3" width="14" customWidth="1"/>
    <col min="4" max="4" width="10" customWidth="1"/>
    <col min="5" max="7" width="11" customWidth="1"/>
    <col min="8" max="8" width="10" customWidth="1"/>
    <col min="9" max="9" width="13" customWidth="1"/>
  </cols>
  <sheetData>
    <row r="1" spans="1:9" ht="30" customHeight="1" x14ac:dyDescent="0.45">
      <c r="A1" s="1" t="s">
        <v>221</v>
      </c>
      <c r="B1" s="1"/>
      <c r="C1" s="1"/>
      <c r="D1" s="1"/>
      <c r="E1" s="1"/>
      <c r="F1" s="1"/>
      <c r="G1" s="1"/>
      <c r="H1" s="1"/>
      <c r="I1" s="1"/>
    </row>
    <row r="2" spans="1:9" ht="25.5" customHeight="1" x14ac:dyDescent="0.45">
      <c r="A2" s="35" t="s">
        <v>8</v>
      </c>
      <c r="B2" s="2" t="s">
        <v>9</v>
      </c>
      <c r="C2" s="2" t="s">
        <v>222</v>
      </c>
      <c r="D2" s="2" t="s">
        <v>223</v>
      </c>
      <c r="E2" s="2" t="s">
        <v>224</v>
      </c>
      <c r="F2" s="2" t="s">
        <v>225</v>
      </c>
      <c r="G2" s="2" t="s">
        <v>182</v>
      </c>
      <c r="H2" s="2" t="s">
        <v>195</v>
      </c>
      <c r="I2" s="2" t="s">
        <v>226</v>
      </c>
    </row>
    <row r="3" spans="1:9" ht="21.75" customHeight="1" x14ac:dyDescent="0.45">
      <c r="A3" s="37" t="s">
        <v>90</v>
      </c>
      <c r="B3" s="12" t="s">
        <v>91</v>
      </c>
      <c r="C3" s="10" t="s">
        <v>227</v>
      </c>
      <c r="D3" s="12" t="s">
        <v>228</v>
      </c>
      <c r="E3" s="38">
        <f>COUNTIFS('Coded Passages'!$H:$H,$A3,'Coded Passages'!$B:$B,"D1*")</f>
        <v>3</v>
      </c>
      <c r="F3" s="39">
        <f>COUNTIFS('Coded Passages'!$H:$H,$A3,'Coded Passages'!$B:$B,"D2*")</f>
        <v>0</v>
      </c>
      <c r="G3" s="40">
        <f>COUNTIFS('Coded Passages'!$H:$H,$A3,'Coded Passages'!$B:$B,"IND")</f>
        <v>1</v>
      </c>
      <c r="H3" s="41">
        <f t="shared" ref="H3:H8" si="0">E3+F3+G3</f>
        <v>4</v>
      </c>
      <c r="I3" s="42" t="str">
        <f t="shared" ref="I3:I8" si="1">IF(F3&gt;0,"✓  YES","✗  No")</f>
        <v>✗  No</v>
      </c>
    </row>
    <row r="4" spans="1:9" ht="21.75" customHeight="1" x14ac:dyDescent="0.45">
      <c r="A4" s="43" t="s">
        <v>16</v>
      </c>
      <c r="B4" s="8" t="s">
        <v>17</v>
      </c>
      <c r="C4" s="6" t="s">
        <v>229</v>
      </c>
      <c r="D4" s="8" t="s">
        <v>8</v>
      </c>
      <c r="E4" s="38">
        <f>COUNTIFS('Coded Passages'!$H:$H,$A4,'Coded Passages'!$B:$B,"D1*")</f>
        <v>16</v>
      </c>
      <c r="F4" s="39">
        <f>COUNTIFS('Coded Passages'!$H:$H,$A4,'Coded Passages'!$B:$B,"D2*")</f>
        <v>0</v>
      </c>
      <c r="G4" s="40">
        <f>COUNTIFS('Coded Passages'!$H:$H,$A4,'Coded Passages'!$B:$B,"IND")</f>
        <v>1</v>
      </c>
      <c r="H4" s="41">
        <f t="shared" si="0"/>
        <v>17</v>
      </c>
      <c r="I4" s="42" t="str">
        <f t="shared" si="1"/>
        <v>✗  No</v>
      </c>
    </row>
    <row r="5" spans="1:9" ht="21.75" customHeight="1" x14ac:dyDescent="0.45">
      <c r="A5" s="37" t="s">
        <v>69</v>
      </c>
      <c r="B5" s="12" t="s">
        <v>70</v>
      </c>
      <c r="C5" s="10" t="s">
        <v>230</v>
      </c>
      <c r="D5" s="12" t="s">
        <v>8</v>
      </c>
      <c r="E5" s="38">
        <f>COUNTIFS('Coded Passages'!$H:$H,$A5,'Coded Passages'!$B:$B,"D1*")</f>
        <v>8</v>
      </c>
      <c r="F5" s="39">
        <f>COUNTIFS('Coded Passages'!$H:$H,$A5,'Coded Passages'!$B:$B,"D2*")</f>
        <v>1</v>
      </c>
      <c r="G5" s="40">
        <f>COUNTIFS('Coded Passages'!$H:$H,$A5,'Coded Passages'!$B:$B,"IND")</f>
        <v>0</v>
      </c>
      <c r="H5" s="41">
        <f t="shared" si="0"/>
        <v>9</v>
      </c>
      <c r="I5" s="42" t="str">
        <f t="shared" si="1"/>
        <v>✓  YES</v>
      </c>
    </row>
    <row r="6" spans="1:9" ht="21.75" customHeight="1" x14ac:dyDescent="0.45">
      <c r="A6" s="43" t="s">
        <v>36</v>
      </c>
      <c r="B6" s="8" t="s">
        <v>37</v>
      </c>
      <c r="C6" s="6" t="s">
        <v>229</v>
      </c>
      <c r="D6" s="8" t="s">
        <v>8</v>
      </c>
      <c r="E6" s="38">
        <f>COUNTIFS('Coded Passages'!$H:$H,$A6,'Coded Passages'!$B:$B,"D1*")</f>
        <v>17</v>
      </c>
      <c r="F6" s="39">
        <f>COUNTIFS('Coded Passages'!$H:$H,$A6,'Coded Passages'!$B:$B,"D2*")</f>
        <v>1</v>
      </c>
      <c r="G6" s="40">
        <f>COUNTIFS('Coded Passages'!$H:$H,$A6,'Coded Passages'!$B:$B,"IND")</f>
        <v>1</v>
      </c>
      <c r="H6" s="41">
        <f t="shared" si="0"/>
        <v>19</v>
      </c>
      <c r="I6" s="42" t="str">
        <f t="shared" si="1"/>
        <v>✓  YES</v>
      </c>
    </row>
    <row r="7" spans="1:9" ht="21.75" customHeight="1" x14ac:dyDescent="0.45">
      <c r="A7" s="37" t="s">
        <v>22</v>
      </c>
      <c r="B7" s="12" t="s">
        <v>23</v>
      </c>
      <c r="C7" s="10" t="s">
        <v>230</v>
      </c>
      <c r="D7" s="12" t="s">
        <v>8</v>
      </c>
      <c r="E7" s="38">
        <f>COUNTIFS('Coded Passages'!$H:$H,$A7,'Coded Passages'!$B:$B,"D1*")</f>
        <v>8</v>
      </c>
      <c r="F7" s="39">
        <f>COUNTIFS('Coded Passages'!$H:$H,$A7,'Coded Passages'!$B:$B,"D2*")</f>
        <v>3</v>
      </c>
      <c r="G7" s="40">
        <f>COUNTIFS('Coded Passages'!$H:$H,$A7,'Coded Passages'!$B:$B,"IND")</f>
        <v>1</v>
      </c>
      <c r="H7" s="41">
        <f t="shared" si="0"/>
        <v>12</v>
      </c>
      <c r="I7" s="42" t="str">
        <f t="shared" si="1"/>
        <v>✓  YES</v>
      </c>
    </row>
    <row r="8" spans="1:9" ht="21.75" customHeight="1" x14ac:dyDescent="0.45">
      <c r="A8" s="43" t="s">
        <v>40</v>
      </c>
      <c r="B8" s="8" t="s">
        <v>41</v>
      </c>
      <c r="C8" s="6" t="s">
        <v>229</v>
      </c>
      <c r="D8" s="8" t="s">
        <v>8</v>
      </c>
      <c r="E8" s="38">
        <f>COUNTIFS('Coded Passages'!$H:$H,$A8,'Coded Passages'!$B:$B,"D1*")</f>
        <v>7</v>
      </c>
      <c r="F8" s="39">
        <f>COUNTIFS('Coded Passages'!$H:$H,$A8,'Coded Passages'!$B:$B,"D2*")</f>
        <v>0</v>
      </c>
      <c r="G8" s="40">
        <f>COUNTIFS('Coded Passages'!$H:$H,$A8,'Coded Passages'!$B:$B,"IND")</f>
        <v>0</v>
      </c>
      <c r="H8" s="41">
        <f t="shared" si="0"/>
        <v>7</v>
      </c>
      <c r="I8" s="42" t="str">
        <f t="shared" si="1"/>
        <v>✗  No</v>
      </c>
    </row>
    <row r="9" spans="1:9" ht="21.75" customHeight="1" x14ac:dyDescent="0.45">
      <c r="A9" s="33" t="s">
        <v>194</v>
      </c>
      <c r="E9" s="44">
        <f>SUM(E3:E8)</f>
        <v>59</v>
      </c>
      <c r="F9" s="44">
        <f>SUM(F3:F8)</f>
        <v>5</v>
      </c>
      <c r="G9" s="44">
        <f>SUM(G3:G8)</f>
        <v>4</v>
      </c>
      <c r="H9" s="44">
        <f>SUM(H3:H8)</f>
        <v>68</v>
      </c>
    </row>
  </sheetData>
  <mergeCells count="1">
    <mergeCell ref="A1:I1"/>
  </mergeCells>
  <conditionalFormatting sqref="I3:I8">
    <cfRule type="expression" dxfId="1" priority="2">
      <formula>LEFT(I3,1)="✓"</formula>
    </cfRule>
    <cfRule type="expression" dxfId="0" priority="3">
      <formula>LEFT(I3,1)="✗"</formula>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Coded Passages</vt:lpstr>
      <vt:lpstr>Freq — By Dimension</vt:lpstr>
      <vt:lpstr>Freq — By Sub-code</vt:lpstr>
      <vt:lpstr>Speech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Juan Ignacio Arroyo</cp:lastModifiedBy>
  <cp:revision>1</cp:revision>
  <dcterms:created xsi:type="dcterms:W3CDTF">2026-06-03T22:33:57Z</dcterms:created>
  <dcterms:modified xsi:type="dcterms:W3CDTF">2026-06-03T22:57:56Z</dcterms:modified>
  <dc:language>en-US</dc:language>
</cp:coreProperties>
</file>