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 Passages" sheetId="1" state="visible" r:id="rId1"/>
    <sheet xmlns:r="http://schemas.openxmlformats.org/officeDocument/2006/relationships" name="Freq — By Dimension" sheetId="2" state="visible" r:id="rId2"/>
    <sheet xmlns:r="http://schemas.openxmlformats.org/officeDocument/2006/relationships" name="Freq — By Sub-code" sheetId="3" state="visible" r:id="rId3"/>
    <sheet xmlns:r="http://schemas.openxmlformats.org/officeDocument/2006/relationships" name="Speech Overview"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11827"/>
      <sz val="12"/>
    </font>
    <font>
      <name val="Calibri"/>
      <b val="1"/>
      <color rgb="00FFFFFF"/>
      <sz val="10"/>
    </font>
    <font>
      <name val="Calibri"/>
      <sz val="10"/>
    </font>
    <font>
      <b val="1"/>
      <sz val="11"/>
    </font>
    <font>
      <b val="1"/>
    </font>
  </fonts>
  <fills count="8">
    <fill>
      <patternFill/>
    </fill>
    <fill>
      <patternFill patternType="gray125"/>
    </fill>
    <fill>
      <patternFill patternType="solid">
        <fgColor rgb="00E0F2FE"/>
      </patternFill>
    </fill>
    <fill>
      <patternFill patternType="solid">
        <fgColor rgb="001E3A5F"/>
      </patternFill>
    </fill>
    <fill>
      <patternFill patternType="solid">
        <fgColor rgb="B4530922"/>
      </patternFill>
    </fill>
    <fill>
      <patternFill patternType="solid">
        <fgColor rgb="1E40AF22"/>
      </patternFill>
    </fill>
    <fill>
      <patternFill patternType="solid">
        <fgColor rgb="37415122"/>
      </patternFill>
    </fill>
    <fill>
      <patternFill patternType="solid">
        <fgColor rgb="991B1B22"/>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0" fontId="3" fillId="4" borderId="0"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4" fillId="2" borderId="0" pivotButton="0" quotePrefix="0" xfId="0"/>
    <xf numFmtId="0" fontId="5"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0" customWidth="1" min="3" max="3"/>
    <col width="34" customWidth="1" min="4" max="4"/>
    <col width="34" customWidth="1" min="5" max="5"/>
    <col width="55" customWidth="1" min="6" max="6"/>
    <col width="60" customWidth="1" min="7" max="7"/>
    <col width="25" customWidth="1" min="8" max="8"/>
    <col width="12" customWidth="1" min="9" max="9"/>
    <col width="18" customWidth="1" min="10" max="10"/>
  </cols>
  <sheetData>
    <row r="1" ht="22" customHeight="1">
      <c r="A1" s="1" t="inlineStr">
        <is>
          <t>Milei Climate Narratives — v3 Coded Passages  ·  Data source for all summary sheets</t>
        </is>
      </c>
    </row>
    <row r="2" ht="16" customHeight="1">
      <c r="A2" s="2" t="inlineStr">
        <is>
          <t>#</t>
        </is>
      </c>
      <c r="B2" s="2" t="inlineStr">
        <is>
          <t>Dimension</t>
        </is>
      </c>
      <c r="C2" s="2" t="inlineStr">
        <is>
          <t>Sub-dimension</t>
        </is>
      </c>
      <c r="D2" s="2" t="inlineStr">
        <is>
          <t>Dimension (Full)</t>
        </is>
      </c>
      <c r="E2" s="2" t="inlineStr">
        <is>
          <t>Sub-code (Full)</t>
        </is>
      </c>
      <c r="F2" s="2" t="inlineStr">
        <is>
          <t>Quoted Passage</t>
        </is>
      </c>
      <c r="G2" s="2" t="inlineStr">
        <is>
          <t>Analytical Memo</t>
        </is>
      </c>
      <c r="H2" s="2" t="inlineStr">
        <is>
          <t>Speech</t>
        </is>
      </c>
      <c r="I2" s="2" t="inlineStr">
        <is>
          <t>Date</t>
        </is>
      </c>
      <c r="J2" s="2" t="inlineStr">
        <is>
          <t>Venue / Type</t>
        </is>
      </c>
    </row>
    <row r="3" ht="60" customHeight="1">
      <c r="A3" s="3" t="n">
        <v>1</v>
      </c>
      <c r="B3" s="3" t="inlineStr">
        <is>
          <t>D1.2</t>
        </is>
      </c>
      <c r="C3" s="4" t="inlineStr">
        <is>
          <t>Climate Skepticism or Dismissal</t>
        </is>
      </c>
      <c r="D3" s="4" t="inlineStr">
        <is>
          <t>D1.2 — Public Science &amp; Expertise</t>
        </is>
      </c>
      <c r="E3" s="4" t="inlineStr">
        <is>
          <t>Climate Skepticism or Dismissal</t>
        </is>
      </c>
      <c r="F3" s="4" t="inlineStr">
        <is>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3" s="4" t="inlineStr">
        <is>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is>
      </c>
      <c r="H3" s="4" t="inlineStr">
        <is>
          <t>Debate Presidencial 2023</t>
        </is>
      </c>
      <c r="I3" s="4" t="inlineStr">
        <is>
          <t>2023-10-08</t>
        </is>
      </c>
      <c r="J3" s="4" t="inlineStr">
        <is>
          <t>Buenos Aires · Debate</t>
        </is>
      </c>
    </row>
    <row r="4" ht="60" customHeight="1">
      <c r="A4" s="5" t="n">
        <v>2</v>
      </c>
      <c r="B4" s="5" t="inlineStr">
        <is>
          <t>D1.1</t>
        </is>
      </c>
      <c r="C4" s="4" t="inlineStr">
        <is>
          <t>Sustainability as Ideological or Harmful</t>
        </is>
      </c>
      <c r="D4" s="4" t="inlineStr">
        <is>
          <t>D1.1 — State Intervention &amp; Governance</t>
        </is>
      </c>
      <c r="E4" s="4" t="inlineStr">
        <is>
          <t>Sustainability as Ideological or Harmful</t>
        </is>
      </c>
      <c r="F4" s="4" t="inlineStr">
        <is>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4" s="4" t="inlineStr">
        <is>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is>
      </c>
      <c r="H4" s="4" t="inlineStr">
        <is>
          <t>Debate Presidencial 2023</t>
        </is>
      </c>
      <c r="I4" s="4" t="inlineStr">
        <is>
          <t>2023-10-08</t>
        </is>
      </c>
      <c r="J4" s="4" t="inlineStr">
        <is>
          <t>Buenos Aires · Debate</t>
        </is>
      </c>
    </row>
    <row r="5" ht="60" customHeight="1">
      <c r="A5" s="3" t="n">
        <v>3</v>
      </c>
      <c r="B5" s="3" t="inlineStr">
        <is>
          <t>D1.2</t>
        </is>
      </c>
      <c r="C5" s="4" t="inlineStr">
        <is>
          <t>Attack on Experts &amp; Technocrats</t>
        </is>
      </c>
      <c r="D5" s="4" t="inlineStr">
        <is>
          <t>D1.2 — Public Science &amp; Expertise</t>
        </is>
      </c>
      <c r="E5" s="4" t="inlineStr">
        <is>
          <t>Attack on Experts &amp; Technocrats</t>
        </is>
      </c>
      <c r="F5" s="4" t="inlineStr">
        <is>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5" s="4" t="inlineStr">
        <is>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is>
      </c>
      <c r="H5" s="4" t="inlineStr">
        <is>
          <t>Debate Presidencial 2023</t>
        </is>
      </c>
      <c r="I5" s="4" t="inlineStr">
        <is>
          <t>2023-10-08</t>
        </is>
      </c>
      <c r="J5" s="4" t="inlineStr">
        <is>
          <t>Buenos Aires · Debate</t>
        </is>
      </c>
    </row>
    <row r="6" ht="60" customHeight="1">
      <c r="A6" s="6" t="n">
        <v>4</v>
      </c>
      <c r="B6" s="6" t="inlineStr">
        <is>
          <t>IND</t>
        </is>
      </c>
      <c r="C6" s="4" t="inlineStr">
        <is>
          <t>Reported Denial</t>
        </is>
      </c>
      <c r="D6" s="4" t="inlineStr">
        <is>
          <t>Inductive</t>
        </is>
      </c>
      <c r="E6" s="4" t="inlineStr">
        <is>
          <t>Reported Denial</t>
        </is>
      </c>
      <c r="F6" s="4" t="inlineStr">
        <is>
          <t>[BREGMAN — Réplica]: la destrucción del Planeta es una de las muestras más claras de la irracionalidad de este sistema capitalista... pero [Milei] defiende la libertad de las empresas para contaminar hasta los ríos y llegó a decir que el cambio climático es del socialismo.</t>
        </is>
      </c>
      <c r="G6" s="4" t="inlineStr">
        <is>
          <t>Bregman's reported-speech paraphrase ("llegó a decir que el cambio climático es del socialismo") functions as inter-discursive corroboration: a nationally televised opponent accurately summarizing a Milei position confirms the claim circulates publicly and is understood as politically legible. The paraphrase maps directly onto D1.3 &gt; Neo_Marxism — framing climate change as caused by or synonymous with socialism. Not primary Milei discourse; coded here for contextual and confirmatory purposes only.</t>
        </is>
      </c>
      <c r="H6" s="4" t="inlineStr">
        <is>
          <t>Debate Presidencial 2023</t>
        </is>
      </c>
      <c r="I6" s="4" t="inlineStr">
        <is>
          <t>2023-10-08</t>
        </is>
      </c>
      <c r="J6" s="4" t="inlineStr">
        <is>
          <t>Buenos Aires · Debate</t>
        </is>
      </c>
    </row>
    <row r="7" ht="60" customHeight="1">
      <c r="A7" s="7" t="n">
        <v>5</v>
      </c>
      <c r="B7" s="7" t="inlineStr">
        <is>
          <t>D1.3</t>
        </is>
      </c>
      <c r="C7" s="4" t="inlineStr">
        <is>
          <t>Civilizational Defense</t>
        </is>
      </c>
      <c r="D7" s="4" t="inlineStr">
        <is>
          <t>D1.3 — Cultural Backlash</t>
        </is>
      </c>
      <c r="E7" s="4" t="inlineStr">
        <is>
          <t>Civilizational Defense</t>
        </is>
      </c>
      <c r="F7" s="4" t="inlineStr">
        <is>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is>
      </c>
      <c r="G7" s="4" t="inlineStr">
        <is>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is>
      </c>
      <c r="H7" s="4" t="inlineStr">
        <is>
          <t>WEF Davos 2024</t>
        </is>
      </c>
      <c r="I7" s="4" t="inlineStr">
        <is>
          <t>2024-01-17</t>
        </is>
      </c>
      <c r="J7" s="4" t="inlineStr">
        <is>
          <t>Davos · Speech</t>
        </is>
      </c>
    </row>
    <row r="8" ht="60" customHeight="1">
      <c r="A8" s="5" t="n">
        <v>6</v>
      </c>
      <c r="B8" s="5" t="inlineStr">
        <is>
          <t>D1.1</t>
        </is>
      </c>
      <c r="C8" s="4" t="inlineStr">
        <is>
          <t>Anti-Casta (Elite Frame)</t>
        </is>
      </c>
      <c r="D8" s="4" t="inlineStr">
        <is>
          <t>D1.1 — State Intervention &amp; Governance</t>
        </is>
      </c>
      <c r="E8" s="4" t="inlineStr">
        <is>
          <t>Anti-Casta (Elite Frame)</t>
        </is>
      </c>
      <c r="F8" s="4" t="inlineStr">
        <is>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is>
      </c>
      <c r="G8" s="4" t="inlineStr">
        <is>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is>
      </c>
      <c r="H8" s="4" t="inlineStr">
        <is>
          <t>WEF Davos 2024</t>
        </is>
      </c>
      <c r="I8" s="4" t="inlineStr">
        <is>
          <t>2024-01-17</t>
        </is>
      </c>
      <c r="J8" s="4" t="inlineStr">
        <is>
          <t>Davos · Speech</t>
        </is>
      </c>
    </row>
    <row r="9" ht="60" customHeight="1">
      <c r="A9" s="5" t="n">
        <v>7</v>
      </c>
      <c r="B9" s="5" t="inlineStr">
        <is>
          <t>D1.1</t>
        </is>
      </c>
      <c r="C9" s="4" t="inlineStr">
        <is>
          <t>Market Primacy</t>
        </is>
      </c>
      <c r="D9" s="4" t="inlineStr">
        <is>
          <t>D1.1 — State Intervention &amp; Governance</t>
        </is>
      </c>
      <c r="E9" s="4" t="inlineStr">
        <is>
          <t>Market Primacy</t>
        </is>
      </c>
      <c r="F9" s="4" t="inlineStr">
        <is>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is>
      </c>
      <c r="G9" s="4" t="inlineStr">
        <is>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is>
      </c>
      <c r="H9" s="4" t="inlineStr">
        <is>
          <t>WEF Davos 2024</t>
        </is>
      </c>
      <c r="I9" s="4" t="inlineStr">
        <is>
          <t>2024-01-17</t>
        </is>
      </c>
      <c r="J9" s="4" t="inlineStr">
        <is>
          <t>Davos · Speech</t>
        </is>
      </c>
    </row>
    <row r="10" ht="60" customHeight="1">
      <c r="A10" s="6" t="n">
        <v>8</v>
      </c>
      <c r="B10" s="6" t="inlineStr">
        <is>
          <t>IND</t>
        </is>
      </c>
      <c r="C10" s="4" t="inlineStr">
        <is>
          <t>Selective Empiricism</t>
        </is>
      </c>
      <c r="D10" s="4" t="inlineStr">
        <is>
          <t>Inductive</t>
        </is>
      </c>
      <c r="E10" s="4" t="inlineStr">
        <is>
          <t>Selective Empiricism</t>
        </is>
      </c>
      <c r="F10" s="4" t="inlineStr">
        <is>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is>
      </c>
      <c r="G10" s="4" t="inlineStr">
        <is>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is>
      </c>
      <c r="H10" s="4" t="inlineStr">
        <is>
          <t>WEF Davos 2024</t>
        </is>
      </c>
      <c r="I10" s="4" t="inlineStr">
        <is>
          <t>2024-01-17</t>
        </is>
      </c>
      <c r="J10" s="4" t="inlineStr">
        <is>
          <t>Davos · Speech</t>
        </is>
      </c>
    </row>
    <row r="11" ht="60" customHeight="1">
      <c r="A11" s="5" t="n">
        <v>9</v>
      </c>
      <c r="B11" s="5" t="inlineStr">
        <is>
          <t>D1.1</t>
        </is>
      </c>
      <c r="C11" s="4" t="inlineStr">
        <is>
          <t>Market Primacy</t>
        </is>
      </c>
      <c r="D11" s="4" t="inlineStr">
        <is>
          <t>D1.1 — State Intervention &amp; Governance</t>
        </is>
      </c>
      <c r="E11" s="4" t="inlineStr">
        <is>
          <t>Market Primacy</t>
        </is>
      </c>
      <c r="F11" s="4" t="inlineStr">
        <is>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is>
      </c>
      <c r="G11" s="4" t="inlineStr">
        <is>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is>
      </c>
      <c r="H11" s="4" t="inlineStr">
        <is>
          <t>WEF Davos 2024</t>
        </is>
      </c>
      <c r="I11" s="4" t="inlineStr">
        <is>
          <t>2024-01-17</t>
        </is>
      </c>
      <c r="J11" s="4" t="inlineStr">
        <is>
          <t>Davos · Speech</t>
        </is>
      </c>
    </row>
    <row r="12" ht="60" customHeight="1">
      <c r="A12" s="3" t="n">
        <v>10</v>
      </c>
      <c r="B12" s="3" t="inlineStr">
        <is>
          <t>D1.2</t>
        </is>
      </c>
      <c r="C12" s="4" t="inlineStr">
        <is>
          <t>Attack on Experts &amp; Technocrats</t>
        </is>
      </c>
      <c r="D12" s="4" t="inlineStr">
        <is>
          <t>D1.2 — Public Science &amp; Expertise</t>
        </is>
      </c>
      <c r="E12" s="4" t="inlineStr">
        <is>
          <t>Attack on Experts &amp; Technocrats</t>
        </is>
      </c>
      <c r="F12" s="4" t="inlineStr">
        <is>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is>
      </c>
      <c r="G12" s="4" t="inlineStr">
        <is>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is>
      </c>
      <c r="H12" s="4" t="inlineStr">
        <is>
          <t>WEF Davos 2024</t>
        </is>
      </c>
      <c r="I12" s="4" t="inlineStr">
        <is>
          <t>2024-01-17</t>
        </is>
      </c>
      <c r="J12" s="4" t="inlineStr">
        <is>
          <t>Davos · Speech</t>
        </is>
      </c>
    </row>
    <row r="13" ht="60" customHeight="1">
      <c r="A13" s="3" t="n">
        <v>11</v>
      </c>
      <c r="B13" s="3" t="inlineStr">
        <is>
          <t>D1.2</t>
        </is>
      </c>
      <c r="C13" s="4" t="inlineStr">
        <is>
          <t>Pseudo-Science / Ideological Science</t>
        </is>
      </c>
      <c r="D13" s="4" t="inlineStr">
        <is>
          <t>D1.2 — Public Science &amp; Expertise</t>
        </is>
      </c>
      <c r="E13" s="4" t="inlineStr">
        <is>
          <t>Pseudo-Science / Ideological Science</t>
        </is>
      </c>
      <c r="F13" s="4" t="inlineStr">
        <is>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is>
      </c>
      <c r="G13" s="4" t="inlineStr">
        <is>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is>
      </c>
      <c r="H13" s="4" t="inlineStr">
        <is>
          <t>WEF Davos 2024</t>
        </is>
      </c>
      <c r="I13" s="4" t="inlineStr">
        <is>
          <t>2024-01-17</t>
        </is>
      </c>
      <c r="J13" s="4" t="inlineStr">
        <is>
          <t>Davos · Speech</t>
        </is>
      </c>
    </row>
    <row r="14" ht="60" customHeight="1">
      <c r="A14" s="5" t="n">
        <v>12</v>
      </c>
      <c r="B14" s="5" t="inlineStr">
        <is>
          <t>D1.1</t>
        </is>
      </c>
      <c r="C14" s="4" t="inlineStr">
        <is>
          <t>Delegitimization of Regulation</t>
        </is>
      </c>
      <c r="D14" s="4" t="inlineStr">
        <is>
          <t>D1.1 — State Intervention &amp; Governance</t>
        </is>
      </c>
      <c r="E14" s="4" t="inlineStr">
        <is>
          <t>Delegitimization of Regulation</t>
        </is>
      </c>
      <c r="F14" s="4" t="inlineStr">
        <is>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is>
      </c>
      <c r="G14" s="4" t="inlineStr">
        <is>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is>
      </c>
      <c r="H14" s="4" t="inlineStr">
        <is>
          <t>WEF Davos 2024</t>
        </is>
      </c>
      <c r="I14" s="4" t="inlineStr">
        <is>
          <t>2024-01-17</t>
        </is>
      </c>
      <c r="J14" s="4" t="inlineStr">
        <is>
          <t>Davos · Speech</t>
        </is>
      </c>
    </row>
    <row r="15" ht="60" customHeight="1">
      <c r="A15" s="5" t="n">
        <v>13</v>
      </c>
      <c r="B15" s="5" t="inlineStr">
        <is>
          <t>D1.1</t>
        </is>
      </c>
      <c r="C15" s="4" t="inlineStr">
        <is>
          <t>Deregulation Benefits</t>
        </is>
      </c>
      <c r="D15" s="4" t="inlineStr">
        <is>
          <t>D1.1 — State Intervention &amp; Governance</t>
        </is>
      </c>
      <c r="E15" s="4" t="inlineStr">
        <is>
          <t>Deregulation Benefits</t>
        </is>
      </c>
      <c r="F15" s="4" t="inlineStr">
        <is>
          <t>El pretexto de un supuesto fallo de mercado se introducen regulaciones que lo único que generan es distorsiones en el sistema de precios, que impiden el cálculo económico, y en consecuencia el ahorro, la inversión y el crecimiento.</t>
        </is>
      </c>
      <c r="G15" s="4" t="inlineStr">
        <is>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is>
      </c>
      <c r="H15" s="4" t="inlineStr">
        <is>
          <t>WEF Davos 2024</t>
        </is>
      </c>
      <c r="I15" s="4" t="inlineStr">
        <is>
          <t>2024-01-17</t>
        </is>
      </c>
      <c r="J15" s="4" t="inlineStr">
        <is>
          <t>Davos · Speech</t>
        </is>
      </c>
    </row>
    <row r="16" ht="60" customHeight="1">
      <c r="A16" s="5" t="n">
        <v>14</v>
      </c>
      <c r="B16" s="5" t="inlineStr">
        <is>
          <t>D1.1</t>
        </is>
      </c>
      <c r="C16" s="4" t="inlineStr">
        <is>
          <t>Market Primacy</t>
        </is>
      </c>
      <c r="D16" s="4" t="inlineStr">
        <is>
          <t>D1.1 — State Intervention &amp; Governance</t>
        </is>
      </c>
      <c r="E16" s="4" t="inlineStr">
        <is>
          <t>Market Primacy</t>
        </is>
      </c>
      <c r="F16" s="4" t="inlineStr">
        <is>
          <t>Si las transacciones son voluntarias, el único contexto en el que puede haber un fallo de mercado es si hay coacción. Y el único con la capacidad de coaccionar de manera generalizada es el estado que tiene el monopolio de la violencia. Los fallos de mercado no existen.</t>
        </is>
      </c>
      <c r="G16" s="4" t="inlineStr">
        <is>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is>
      </c>
      <c r="H16" s="4" t="inlineStr">
        <is>
          <t>WEF Davos 2024</t>
        </is>
      </c>
      <c r="I16" s="4" t="inlineStr">
        <is>
          <t>2024-01-17</t>
        </is>
      </c>
      <c r="J16" s="4" t="inlineStr">
        <is>
          <t>Davos · Speech</t>
        </is>
      </c>
    </row>
    <row r="17" ht="60" customHeight="1">
      <c r="A17" s="5" t="n">
        <v>15</v>
      </c>
      <c r="B17" s="5" t="inlineStr">
        <is>
          <t>D1.1</t>
        </is>
      </c>
      <c r="C17" s="4" t="inlineStr">
        <is>
          <t>Delegitimization of Regulation</t>
        </is>
      </c>
      <c r="D17" s="4" t="inlineStr">
        <is>
          <t>D1.1 — State Intervention &amp; Governance</t>
        </is>
      </c>
      <c r="E17" s="4" t="inlineStr">
        <is>
          <t>Delegitimization of Regulation</t>
        </is>
      </c>
      <c r="F17" s="4" t="inlineStr">
        <is>
          <t>Si las transacciones son voluntarias, el único contexto en el que puede haber un fallo de mercado es si hay coacción. Y el único con la capacidad de coaccionar de manera generalizada es el estado que tiene el monopolio de la violencia. Los fallos de mercado no existen.</t>
        </is>
      </c>
      <c r="G17" s="4" t="inlineStr">
        <is>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is>
      </c>
      <c r="H17" s="4" t="inlineStr">
        <is>
          <t>WEF Davos 2024</t>
        </is>
      </c>
      <c r="I17" s="4" t="inlineStr">
        <is>
          <t>2024-01-17</t>
        </is>
      </c>
      <c r="J17" s="4" t="inlineStr">
        <is>
          <t>Davos · Speech</t>
        </is>
      </c>
    </row>
    <row r="18" ht="60" customHeight="1">
      <c r="A18" s="5" t="n">
        <v>16</v>
      </c>
      <c r="B18" s="5" t="inlineStr">
        <is>
          <t>D1.1</t>
        </is>
      </c>
      <c r="C18" s="4" t="inlineStr">
        <is>
          <t>Anti-State / Anti-Bureaucratic</t>
        </is>
      </c>
      <c r="D18" s="4" t="inlineStr">
        <is>
          <t>D1.1 — State Intervention &amp; Governance</t>
        </is>
      </c>
      <c r="E18" s="4" t="inlineStr">
        <is>
          <t>Anti-State / Anti-Bureaucratic</t>
        </is>
      </c>
      <c r="F18" s="4" t="inlineStr">
        <is>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is>
      </c>
      <c r="G18" s="4" t="inlineStr">
        <is>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is>
      </c>
      <c r="H18" s="4" t="inlineStr">
        <is>
          <t>WEF Davos 2024</t>
        </is>
      </c>
      <c r="I18" s="4" t="inlineStr">
        <is>
          <t>2024-01-17</t>
        </is>
      </c>
      <c r="J18" s="4" t="inlineStr">
        <is>
          <t>Davos · Speech</t>
        </is>
      </c>
    </row>
    <row r="19" ht="60" customHeight="1">
      <c r="A19" s="5" t="n">
        <v>17</v>
      </c>
      <c r="B19" s="5" t="inlineStr">
        <is>
          <t>D1.1</t>
        </is>
      </c>
      <c r="C19" s="4" t="inlineStr">
        <is>
          <t>Deregulation Benefits</t>
        </is>
      </c>
      <c r="D19" s="4" t="inlineStr">
        <is>
          <t>D1.1 — State Intervention &amp; Governance</t>
        </is>
      </c>
      <c r="E19" s="4" t="inlineStr">
        <is>
          <t>Deregulation Benefits</t>
        </is>
      </c>
      <c r="F19" s="4" t="inlineStr">
        <is>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is>
      </c>
      <c r="G19" s="4" t="inlineStr">
        <is>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is>
      </c>
      <c r="H19" s="4" t="inlineStr">
        <is>
          <t>WEF Davos 2024</t>
        </is>
      </c>
      <c r="I19" s="4" t="inlineStr">
        <is>
          <t>2024-01-17</t>
        </is>
      </c>
      <c r="J19" s="4" t="inlineStr">
        <is>
          <t>Davos · Speech</t>
        </is>
      </c>
    </row>
    <row r="20" ht="60" customHeight="1">
      <c r="A20" s="7" t="n">
        <v>18</v>
      </c>
      <c r="B20" s="7" t="inlineStr">
        <is>
          <t>D1.3</t>
        </is>
      </c>
      <c r="C20" s="4" t="inlineStr">
        <is>
          <t>Neo-Marxism</t>
        </is>
      </c>
      <c r="D20" s="4" t="inlineStr">
        <is>
          <t>D1.3 — Cultural Backlash</t>
        </is>
      </c>
      <c r="E20" s="4" t="inlineStr">
        <is>
          <t>Neo-Marxism</t>
        </is>
      </c>
      <c r="F20" s="4" t="inlineStr">
        <is>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is>
      </c>
      <c r="G20" s="4" t="inlineStr">
        <is>
          <t>Environmentalism enters explicitly as the second front in the socialist "new agenda" after gender — "el conflicto del hombre contra la naturaleza." This is Neo_Marxism's core formulation in the corpus: the green agenda is a tactical repositioning by socialists who abandoned classical class struggle. Placement as structurally equivalent to feminism as a manufactured "conflict" denies both its empirical basis and its autonomous political legitimacy.</t>
        </is>
      </c>
      <c r="H20" s="4" t="inlineStr">
        <is>
          <t>WEF Davos 2024</t>
        </is>
      </c>
      <c r="I20" s="4" t="inlineStr">
        <is>
          <t>2024-01-17</t>
        </is>
      </c>
      <c r="J20" s="4" t="inlineStr">
        <is>
          <t>Davos · Speech</t>
        </is>
      </c>
    </row>
    <row r="21" ht="60" customHeight="1">
      <c r="A21" s="7" t="n">
        <v>19</v>
      </c>
      <c r="B21" s="7" t="inlineStr">
        <is>
          <t>D1.3</t>
        </is>
      </c>
      <c r="C21" s="4" t="inlineStr">
        <is>
          <t>Woke Bundling</t>
        </is>
      </c>
      <c r="D21" s="4" t="inlineStr">
        <is>
          <t>D1.3 — Cultural Backlash</t>
        </is>
      </c>
      <c r="E21" s="4" t="inlineStr">
        <is>
          <t>Woke Bundling</t>
        </is>
      </c>
      <c r="F21" s="4" t="inlineStr">
        <is>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is>
      </c>
      <c r="G21" s="4" t="inlineStr">
        <is>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is>
      </c>
      <c r="H21" s="4" t="inlineStr">
        <is>
          <t>WEF Davos 2024</t>
        </is>
      </c>
      <c r="I21" s="4" t="inlineStr">
        <is>
          <t>2024-01-17</t>
        </is>
      </c>
      <c r="J21" s="4" t="inlineStr">
        <is>
          <t>Davos · Speech</t>
        </is>
      </c>
    </row>
    <row r="22" ht="60" customHeight="1">
      <c r="A22" s="3" t="n">
        <v>20</v>
      </c>
      <c r="B22" s="3" t="inlineStr">
        <is>
          <t>D1.2</t>
        </is>
      </c>
      <c r="C22" s="4" t="inlineStr">
        <is>
          <t>Pseudo-Science / Ideological Science</t>
        </is>
      </c>
      <c r="D22" s="4" t="inlineStr">
        <is>
          <t>D1.2 — Public Science &amp; Expertise</t>
        </is>
      </c>
      <c r="E22" s="4" t="inlineStr">
        <is>
          <t>Pseudo-Science / Ideological Science</t>
        </is>
      </c>
      <c r="F22" s="4" t="inlineStr">
        <is>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is>
      </c>
      <c r="G22" s="4" t="inlineStr">
        <is>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is>
      </c>
      <c r="H22" s="4" t="inlineStr">
        <is>
          <t>WEF Davos 2024</t>
        </is>
      </c>
      <c r="I22" s="4" t="inlineStr">
        <is>
          <t>2024-01-17</t>
        </is>
      </c>
      <c r="J22" s="4" t="inlineStr">
        <is>
          <t>Davos · Speech</t>
        </is>
      </c>
    </row>
    <row r="23" ht="60" customHeight="1">
      <c r="A23" s="5" t="n">
        <v>21</v>
      </c>
      <c r="B23" s="5" t="inlineStr">
        <is>
          <t>D1.1</t>
        </is>
      </c>
      <c r="C23" s="4" t="inlineStr">
        <is>
          <t>Rejection of Multilateral Governance</t>
        </is>
      </c>
      <c r="D23" s="4" t="inlineStr">
        <is>
          <t>D1.1 — State Intervention &amp; Governance</t>
        </is>
      </c>
      <c r="E23" s="4" t="inlineStr">
        <is>
          <t>Rejection of Multilateral Governance</t>
        </is>
      </c>
      <c r="F23" s="4" t="inlineStr">
        <is>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is>
      </c>
      <c r="G23" s="4" t="inlineStr">
        <is>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is>
      </c>
      <c r="H23" s="4" t="inlineStr">
        <is>
          <t>WEF Davos 2024</t>
        </is>
      </c>
      <c r="I23" s="4" t="inlineStr">
        <is>
          <t>2024-01-17</t>
        </is>
      </c>
      <c r="J23" s="4" t="inlineStr">
        <is>
          <t>Davos · Speech</t>
        </is>
      </c>
    </row>
    <row r="24" ht="60" customHeight="1">
      <c r="A24" s="5" t="n">
        <v>22</v>
      </c>
      <c r="B24" s="5" t="inlineStr">
        <is>
          <t>D1.1</t>
        </is>
      </c>
      <c r="C24" s="4" t="inlineStr">
        <is>
          <t>Delegitimization of Regulation</t>
        </is>
      </c>
      <c r="D24" s="4" t="inlineStr">
        <is>
          <t>D1.1 — State Intervention &amp; Governance</t>
        </is>
      </c>
      <c r="E24" s="4" t="inlineStr">
        <is>
          <t>Delegitimization of Regulation</t>
        </is>
      </c>
      <c r="F24" s="4" t="inlineStr">
        <is>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is>
      </c>
      <c r="G24" s="4" t="inlineStr">
        <is>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is>
      </c>
      <c r="H24" s="4" t="inlineStr">
        <is>
          <t>WEF Davos 2024</t>
        </is>
      </c>
      <c r="I24" s="4" t="inlineStr">
        <is>
          <t>2024-01-17</t>
        </is>
      </c>
      <c r="J24" s="4" t="inlineStr">
        <is>
          <t>Davos · Speech</t>
        </is>
      </c>
    </row>
    <row r="25" ht="60" customHeight="1">
      <c r="A25" s="5" t="n">
        <v>23</v>
      </c>
      <c r="B25" s="5" t="inlineStr">
        <is>
          <t>D1.1</t>
        </is>
      </c>
      <c r="C25" s="4" t="inlineStr">
        <is>
          <t>Delegitimization of Regulation</t>
        </is>
      </c>
      <c r="D25" s="4" t="inlineStr">
        <is>
          <t>D1.1 — State Intervention &amp; Governance</t>
        </is>
      </c>
      <c r="E25" s="4" t="inlineStr">
        <is>
          <t>Delegitimization of Regulation</t>
        </is>
      </c>
      <c r="F25" s="4" t="inlineStr">
        <is>
          <t>Con herramientas como la emisión monetaria, el endeudamiento, los subsidios, el control de la tasa de interés, los controles de precios y las regulaciones para corregir los supuestos "fallos de mercado", pueden controlar los destinos de millones de seres humanos.</t>
        </is>
      </c>
      <c r="G25" s="4" t="inlineStr">
        <is>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is>
      </c>
      <c r="H25" s="4" t="inlineStr">
        <is>
          <t>WEF Davos 2024</t>
        </is>
      </c>
      <c r="I25" s="4" t="inlineStr">
        <is>
          <t>2024-01-17</t>
        </is>
      </c>
      <c r="J25" s="4" t="inlineStr">
        <is>
          <t>Davos · Speech</t>
        </is>
      </c>
    </row>
    <row r="26" ht="60" customHeight="1">
      <c r="A26" s="5" t="n">
        <v>24</v>
      </c>
      <c r="B26" s="5" t="inlineStr">
        <is>
          <t>D1.1</t>
        </is>
      </c>
      <c r="C26" s="4" t="inlineStr">
        <is>
          <t>Anti-Casta (Elite Frame)</t>
        </is>
      </c>
      <c r="D26" s="4" t="inlineStr">
        <is>
          <t>D1.1 — State Intervention &amp; Governance</t>
        </is>
      </c>
      <c r="E26" s="4" t="inlineStr">
        <is>
          <t>Anti-Casta (Elite Frame)</t>
        </is>
      </c>
      <c r="F26" s="4" t="inlineStr">
        <is>
          <t>Para finalizar, quiero dejarle un mensaje a todos los empresarios: no se dejen amedrentar ni por la casta política ni por los parásitos que viven del estado.</t>
        </is>
      </c>
      <c r="G26" s="4" t="inlineStr">
        <is>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is>
      </c>
      <c r="H26" s="4" t="inlineStr">
        <is>
          <t>WEF Davos 2024</t>
        </is>
      </c>
      <c r="I26" s="4" t="inlineStr">
        <is>
          <t>2024-01-17</t>
        </is>
      </c>
      <c r="J26" s="4" t="inlineStr">
        <is>
          <t>Davos · Speech</t>
        </is>
      </c>
    </row>
    <row r="27" ht="60" customHeight="1">
      <c r="A27" s="3" t="n">
        <v>25</v>
      </c>
      <c r="B27" s="3" t="inlineStr">
        <is>
          <t>D1.2</t>
        </is>
      </c>
      <c r="C27" s="4" t="inlineStr">
        <is>
          <t>Attack on Universities</t>
        </is>
      </c>
      <c r="D27" s="4" t="inlineStr">
        <is>
          <t>D1.2 — Public Science &amp; Expertise</t>
        </is>
      </c>
      <c r="E27" s="4" t="inlineStr">
        <is>
          <t>Attack on Universities</t>
        </is>
      </c>
      <c r="F27" s="4" t="inlineStr">
        <is>
          <t>En el plano de la Educación Superior, la creación de universidades se ha convertido en un negocio más de la política y en los profesorados e institutos de formación inicial de docentes se imparte, cada vez más, adoctrinamiento político, en lugar de educación.</t>
        </is>
      </c>
      <c r="G27" s="4" t="inlineStr">
        <is>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is>
      </c>
      <c r="H27" s="4" t="inlineStr">
        <is>
          <t>Apertura Sesiones Ordinarias 2024 (142°)</t>
        </is>
      </c>
      <c r="I27" s="4" t="inlineStr">
        <is>
          <t>2024-03-01</t>
        </is>
      </c>
      <c r="J27" s="4" t="inlineStr">
        <is>
          <t>Buenos Aires · Speech</t>
        </is>
      </c>
    </row>
    <row r="28" ht="60" customHeight="1">
      <c r="A28" s="5" t="n">
        <v>26</v>
      </c>
      <c r="B28" s="5" t="inlineStr">
        <is>
          <t>D1.1</t>
        </is>
      </c>
      <c r="C28" s="4" t="inlineStr">
        <is>
          <t>Anti-Casta (Elite Frame)</t>
        </is>
      </c>
      <c r="D28" s="4" t="inlineStr">
        <is>
          <t>D1.1 — State Intervention &amp; Governance</t>
        </is>
      </c>
      <c r="E28" s="4" t="inlineStr">
        <is>
          <t>Anti-Casta (Elite Frame)</t>
        </is>
      </c>
      <c r="F28" s="4" t="inlineStr">
        <is>
          <t>Tras haber visto con mis propios ojos y en detalle la vulgaridad del despilfarro con el que la política se acostumbró a vivir, ratifico una vez más que la casta política es lo peor que le puede pasar a un país como el nuestro.</t>
        </is>
      </c>
      <c r="G28" s="4" t="inlineStr">
        <is>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is>
      </c>
      <c r="H28" s="4" t="inlineStr">
        <is>
          <t>Apertura Sesiones Ordinarias 2024 (142°)</t>
        </is>
      </c>
      <c r="I28" s="4" t="inlineStr">
        <is>
          <t>2024-03-01</t>
        </is>
      </c>
      <c r="J28" s="4" t="inlineStr">
        <is>
          <t>Buenos Aires · Speech</t>
        </is>
      </c>
    </row>
    <row r="29" ht="60" customHeight="1">
      <c r="A29" s="5" t="n">
        <v>27</v>
      </c>
      <c r="B29" s="5" t="inlineStr">
        <is>
          <t>D1.1</t>
        </is>
      </c>
      <c r="C29" s="4" t="inlineStr">
        <is>
          <t>Deregulation Benefits</t>
        </is>
      </c>
      <c r="D29" s="4" t="inlineStr">
        <is>
          <t>D1.1 — State Intervention &amp; Governance</t>
        </is>
      </c>
      <c r="E29" s="4" t="inlineStr">
        <is>
          <t>Deregulation Benefits</t>
        </is>
      </c>
      <c r="F29" s="4" t="inlineStr">
        <is>
          <t>Por último, también firmamos un mega Decreto de Necesidad y Urgencia para, por primera vez en décadas, devolverles la libertad a los argentinos en vez de quitárselas con regulaciones sin sentido.</t>
        </is>
      </c>
      <c r="G29" s="4" t="inlineStr">
        <is>
          <t>The DNU 70/23 — framed here as "returning freedom" to Argentines — included the derogation of dozens of environmental and land-use regulations, alongside broader economic deregulation. By presenting the entire deregulatory package as "freedom from senseless regulations," Milei establishes the foundational rhetorical move that makes environmental regulation categorically illegitimate: not harmful to growth per se, but a deprivation of liberty. The positive framing ("returning freedom") is analytically central — it doesn't argue against regulations on techno-economic grounds but on moral-liberty grounds.</t>
        </is>
      </c>
      <c r="H29" s="4" t="inlineStr">
        <is>
          <t>Apertura Sesiones Ordinarias 2024 (142°)</t>
        </is>
      </c>
      <c r="I29" s="4" t="inlineStr">
        <is>
          <t>2024-03-01</t>
        </is>
      </c>
      <c r="J29" s="4" t="inlineStr">
        <is>
          <t>Buenos Aires · Speech</t>
        </is>
      </c>
    </row>
    <row r="30" ht="60" customHeight="1">
      <c r="A30" s="5" t="n">
        <v>28</v>
      </c>
      <c r="B30" s="5" t="inlineStr">
        <is>
          <t>D1.1</t>
        </is>
      </c>
      <c r="C30" s="4" t="inlineStr">
        <is>
          <t>Delegitimization of Regulation</t>
        </is>
      </c>
      <c r="D30" s="4" t="inlineStr">
        <is>
          <t>D1.1 — State Intervention &amp; Governance</t>
        </is>
      </c>
      <c r="E30" s="4" t="inlineStr">
        <is>
          <t>Delegitimization of Regulation</t>
        </is>
      </c>
      <c r="F30" s="4" t="inlineStr">
        <is>
          <t>Por último, también firmamos un mega Decreto de Necesidad y Urgencia para, por primera vez en décadas, devolverles la libertad a los argentinos en vez de quitárselas con regulaciones sin sentido.</t>
        </is>
      </c>
      <c r="G30" s="4" t="inlineStr">
        <is>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is>
      </c>
      <c r="H30" s="4" t="inlineStr">
        <is>
          <t>Apertura Sesiones Ordinarias 2024 (142°)</t>
        </is>
      </c>
      <c r="I30" s="4" t="inlineStr">
        <is>
          <t>2024-03-01</t>
        </is>
      </c>
      <c r="J30" s="4" t="inlineStr">
        <is>
          <t>Buenos Aires · Speech</t>
        </is>
      </c>
    </row>
    <row r="31" ht="60" customHeight="1">
      <c r="A31" s="5" t="n">
        <v>29</v>
      </c>
      <c r="B31" s="5" t="inlineStr">
        <is>
          <t>D1.1</t>
        </is>
      </c>
      <c r="C31" s="4" t="inlineStr">
        <is>
          <t>Rejection of Multilateral Governance</t>
        </is>
      </c>
      <c r="D31" s="4" t="inlineStr">
        <is>
          <t>D1.1 — State Intervention &amp; Governance</t>
        </is>
      </c>
      <c r="E31" s="4" t="inlineStr">
        <is>
          <t>Rejection of Multilateral Governance</t>
        </is>
      </c>
      <c r="F31" s="4"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31" s="4" t="inlineStr">
        <is>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is>
      </c>
      <c r="H31" s="4" t="inlineStr">
        <is>
          <t>UN General Assembly 79th</t>
        </is>
      </c>
      <c r="I31" s="4" t="inlineStr">
        <is>
          <t>2024-09-24</t>
        </is>
      </c>
      <c r="J31" s="4" t="inlineStr">
        <is>
          <t>New York · Speech</t>
        </is>
      </c>
    </row>
    <row r="32" ht="60" customHeight="1">
      <c r="A32" s="5" t="n">
        <v>30</v>
      </c>
      <c r="B32" s="5" t="inlineStr">
        <is>
          <t>D1.1</t>
        </is>
      </c>
      <c r="C32" s="4" t="inlineStr">
        <is>
          <t>Sustainability as Ideological or Harmful</t>
        </is>
      </c>
      <c r="D32" s="4" t="inlineStr">
        <is>
          <t>D1.1 — State Intervention &amp; Governance</t>
        </is>
      </c>
      <c r="E32" s="4" t="inlineStr">
        <is>
          <t>Sustainability as Ideological or Harmful</t>
        </is>
      </c>
      <c r="F32" s="4"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32" s="4" t="inlineStr">
        <is>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is>
      </c>
      <c r="H32" s="4" t="inlineStr">
        <is>
          <t>UN General Assembly 79th</t>
        </is>
      </c>
      <c r="I32" s="4" t="inlineStr">
        <is>
          <t>2024-09-24</t>
        </is>
      </c>
      <c r="J32" s="4" t="inlineStr">
        <is>
          <t>New York · Speech</t>
        </is>
      </c>
    </row>
    <row r="33" ht="60" customHeight="1">
      <c r="A33" s="7" t="n">
        <v>31</v>
      </c>
      <c r="B33" s="7" t="inlineStr">
        <is>
          <t>D1.3</t>
        </is>
      </c>
      <c r="C33" s="4" t="inlineStr">
        <is>
          <t>Civilizational Defense</t>
        </is>
      </c>
      <c r="D33" s="4" t="inlineStr">
        <is>
          <t>D1.3 — Cultural Backlash</t>
        </is>
      </c>
      <c r="E33" s="4" t="inlineStr">
        <is>
          <t>Civilizational Defense</t>
        </is>
      </c>
      <c r="F33" s="4"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33" s="4" t="inlineStr">
        <is>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is>
      </c>
      <c r="H33" s="4" t="inlineStr">
        <is>
          <t>UN General Assembly 79th</t>
        </is>
      </c>
      <c r="I33" s="4" t="inlineStr">
        <is>
          <t>2024-09-24</t>
        </is>
      </c>
      <c r="J33" s="4" t="inlineStr">
        <is>
          <t>New York · Speech</t>
        </is>
      </c>
    </row>
    <row r="34" ht="60" customHeight="1">
      <c r="A34" s="3" t="n">
        <v>32</v>
      </c>
      <c r="B34" s="3" t="inlineStr">
        <is>
          <t>D1.2</t>
        </is>
      </c>
      <c r="C34" s="4" t="inlineStr">
        <is>
          <t>Attack on Experts &amp; Technocrats</t>
        </is>
      </c>
      <c r="D34" s="4" t="inlineStr">
        <is>
          <t>D1.2 — Public Science &amp; Expertise</t>
        </is>
      </c>
      <c r="E34" s="4" t="inlineStr">
        <is>
          <t>Attack on Experts &amp; Technocrats</t>
        </is>
      </c>
      <c r="F34" s="4" t="inlineStr">
        <is>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is>
      </c>
      <c r="G34" s="4" t="inlineStr">
        <is>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is>
      </c>
      <c r="H34" s="4" t="inlineStr">
        <is>
          <t>UN General Assembly 79th</t>
        </is>
      </c>
      <c r="I34" s="4" t="inlineStr">
        <is>
          <t>2024-09-24</t>
        </is>
      </c>
      <c r="J34" s="4" t="inlineStr">
        <is>
          <t>New York · Speech</t>
        </is>
      </c>
    </row>
    <row r="35" ht="60" customHeight="1">
      <c r="A35" s="5" t="n">
        <v>33</v>
      </c>
      <c r="B35" s="5" t="inlineStr">
        <is>
          <t>D1.1</t>
        </is>
      </c>
      <c r="C35" s="4" t="inlineStr">
        <is>
          <t>Rejection of Multilateral Governance</t>
        </is>
      </c>
      <c r="D35" s="4" t="inlineStr">
        <is>
          <t>D1.1 — State Intervention &amp; Governance</t>
        </is>
      </c>
      <c r="E35" s="4" t="inlineStr">
        <is>
          <t>Rejection of Multilateral Governance</t>
        </is>
      </c>
      <c r="F35" s="4" t="inlineStr">
        <is>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is>
      </c>
      <c r="G35" s="4" t="inlineStr">
        <is>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is>
      </c>
      <c r="H35" s="4" t="inlineStr">
        <is>
          <t>UN General Assembly 79th</t>
        </is>
      </c>
      <c r="I35" s="4" t="inlineStr">
        <is>
          <t>2024-09-24</t>
        </is>
      </c>
      <c r="J35" s="4" t="inlineStr">
        <is>
          <t>New York · Speech</t>
        </is>
      </c>
    </row>
    <row r="36" ht="60" customHeight="1">
      <c r="A36" s="5" t="n">
        <v>34</v>
      </c>
      <c r="B36" s="5" t="inlineStr">
        <is>
          <t>D1.1</t>
        </is>
      </c>
      <c r="C36" s="4" t="inlineStr">
        <is>
          <t>Sustainability as Ideological or Harmful</t>
        </is>
      </c>
      <c r="D36" s="4" t="inlineStr">
        <is>
          <t>D1.1 — State Intervention &amp; Governance</t>
        </is>
      </c>
      <c r="E36" s="4" t="inlineStr">
        <is>
          <t>Sustainability as Ideological or Harmful</t>
        </is>
      </c>
      <c r="F36" s="4" t="inlineStr">
        <is>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is>
      </c>
      <c r="G36" s="4" t="inlineStr">
        <is>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is>
      </c>
      <c r="H36" s="4" t="inlineStr">
        <is>
          <t>UN General Assembly 79th</t>
        </is>
      </c>
      <c r="I36" s="4" t="inlineStr">
        <is>
          <t>2024-09-24</t>
        </is>
      </c>
      <c r="J36" s="4" t="inlineStr">
        <is>
          <t>New York · Speech</t>
        </is>
      </c>
    </row>
    <row r="37" ht="60" customHeight="1">
      <c r="A37" s="5" t="n">
        <v>35</v>
      </c>
      <c r="B37" s="5" t="inlineStr">
        <is>
          <t>D1.1</t>
        </is>
      </c>
      <c r="C37" s="4" t="inlineStr">
        <is>
          <t>Sustainability as Ideological or Harmful</t>
        </is>
      </c>
      <c r="D37" s="4" t="inlineStr">
        <is>
          <t>D1.1 — State Intervention &amp; Governance</t>
        </is>
      </c>
      <c r="E37" s="4" t="inlineStr">
        <is>
          <t>Sustainability as Ideological or Harmful</t>
        </is>
      </c>
      <c r="F37" s="4" t="inlineStr">
        <is>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is>
      </c>
      <c r="G37" s="4" t="inlineStr">
        <is>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is>
      </c>
      <c r="H37" s="4" t="inlineStr">
        <is>
          <t>UN General Assembly 79th</t>
        </is>
      </c>
      <c r="I37" s="4" t="inlineStr">
        <is>
          <t>2024-09-24</t>
        </is>
      </c>
      <c r="J37" s="4" t="inlineStr">
        <is>
          <t>New York · Speech</t>
        </is>
      </c>
    </row>
    <row r="38" ht="60" customHeight="1">
      <c r="A38" s="7" t="n">
        <v>36</v>
      </c>
      <c r="B38" s="7" t="inlineStr">
        <is>
          <t>D1.3</t>
        </is>
      </c>
      <c r="C38" s="4" t="inlineStr">
        <is>
          <t>Woke Bundling</t>
        </is>
      </c>
      <c r="D38" s="4" t="inlineStr">
        <is>
          <t>D1.3 — Cultural Backlash</t>
        </is>
      </c>
      <c r="E38" s="4" t="inlineStr">
        <is>
          <t>Woke Bundling</t>
        </is>
      </c>
      <c r="F38" s="4" t="inlineStr">
        <is>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is>
      </c>
      <c r="G38" s="4" t="inlineStr">
        <is>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is>
      </c>
      <c r="H38" s="4" t="inlineStr">
        <is>
          <t>UN General Assembly 79th</t>
        </is>
      </c>
      <c r="I38" s="4" t="inlineStr">
        <is>
          <t>2024-09-24</t>
        </is>
      </c>
      <c r="J38" s="4" t="inlineStr">
        <is>
          <t>New York · Speech</t>
        </is>
      </c>
    </row>
    <row r="39" ht="60" customHeight="1">
      <c r="A39" s="5" t="n">
        <v>37</v>
      </c>
      <c r="B39" s="5" t="inlineStr">
        <is>
          <t>D1.1</t>
        </is>
      </c>
      <c r="C39" s="4" t="inlineStr">
        <is>
          <t>Rejection of Multilateral Governance</t>
        </is>
      </c>
      <c r="D39" s="4" t="inlineStr">
        <is>
          <t>D1.1 — State Intervention &amp; Governance</t>
        </is>
      </c>
      <c r="E39" s="4" t="inlineStr">
        <is>
          <t>Rejection of Multilateral Governance</t>
        </is>
      </c>
      <c r="F39" s="4" t="inlineStr">
        <is>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is>
      </c>
      <c r="G39" s="4" t="inlineStr">
        <is>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is>
      </c>
      <c r="H39" s="4" t="inlineStr">
        <is>
          <t>UN General Assembly 79th</t>
        </is>
      </c>
      <c r="I39" s="4" t="inlineStr">
        <is>
          <t>2024-09-24</t>
        </is>
      </c>
      <c r="J39" s="4" t="inlineStr">
        <is>
          <t>New York · Speech</t>
        </is>
      </c>
    </row>
    <row r="40" ht="60" customHeight="1">
      <c r="A40" s="7" t="n">
        <v>38</v>
      </c>
      <c r="B40" s="7" t="inlineStr">
        <is>
          <t>D1.3</t>
        </is>
      </c>
      <c r="C40" s="4" t="inlineStr">
        <is>
          <t>Woke Bundling</t>
        </is>
      </c>
      <c r="D40" s="4" t="inlineStr">
        <is>
          <t>D1.3 — Cultural Backlash</t>
        </is>
      </c>
      <c r="E40" s="4" t="inlineStr">
        <is>
          <t>Woke Bundling</t>
        </is>
      </c>
      <c r="F40" s="4" t="inlineStr">
        <is>
          <t>Therefore, I would like to issue a warning: we are at the end of a cycle. Collectivism and moral posturing, of the woke agenda, have collided with reality and no longer have credible solutions to offer to the world's real problems.</t>
        </is>
      </c>
      <c r="G40" s="4" t="inlineStr">
        <is>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is>
      </c>
      <c r="H40" s="4" t="inlineStr">
        <is>
          <t>UN General Assembly 79th</t>
        </is>
      </c>
      <c r="I40" s="4" t="inlineStr">
        <is>
          <t>2024-09-24</t>
        </is>
      </c>
      <c r="J40" s="4" t="inlineStr">
        <is>
          <t>New York · Speech</t>
        </is>
      </c>
    </row>
    <row r="41" ht="60" customHeight="1">
      <c r="A41" s="5" t="n">
        <v>39</v>
      </c>
      <c r="B41" s="5" t="inlineStr">
        <is>
          <t>D1.1</t>
        </is>
      </c>
      <c r="C41" s="4" t="inlineStr">
        <is>
          <t>Rejection of Multilateral Governance</t>
        </is>
      </c>
      <c r="D41" s="4" t="inlineStr">
        <is>
          <t>D1.1 — State Intervention &amp; Governance</t>
        </is>
      </c>
      <c r="E41" s="4" t="inlineStr">
        <is>
          <t>Rejection of Multilateral Governance</t>
        </is>
      </c>
      <c r="F41" s="4" t="inlineStr">
        <is>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is>
      </c>
      <c r="G41" s="4" t="inlineStr">
        <is>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is>
      </c>
      <c r="H41" s="4" t="inlineStr">
        <is>
          <t>UN General Assembly 79th</t>
        </is>
      </c>
      <c r="I41" s="4" t="inlineStr">
        <is>
          <t>2024-09-24</t>
        </is>
      </c>
      <c r="J41" s="4" t="inlineStr">
        <is>
          <t>New York · Speech</t>
        </is>
      </c>
    </row>
    <row r="42" ht="60" customHeight="1">
      <c r="A42" s="5" t="n">
        <v>40</v>
      </c>
      <c r="B42" s="5" t="inlineStr">
        <is>
          <t>D1.1</t>
        </is>
      </c>
      <c r="C42" s="4" t="inlineStr">
        <is>
          <t>Rejection of Multilateral Governance</t>
        </is>
      </c>
      <c r="D42" s="4" t="inlineStr">
        <is>
          <t>D1.1 — State Intervention &amp; Governance</t>
        </is>
      </c>
      <c r="E42" s="4" t="inlineStr">
        <is>
          <t>Rejection of Multilateral Governance</t>
        </is>
      </c>
      <c r="F42" s="4" t="inlineStr">
        <is>
          <t>From this day on, know that the Argentine Republic will abandon the position of historical neutrality and will be at the forefront of the struggle in defense of freedom.</t>
        </is>
      </c>
      <c r="G42" s="4" t="inlineStr">
        <is>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is>
      </c>
      <c r="H42" s="4" t="inlineStr">
        <is>
          <t>UN General Assembly 79th</t>
        </is>
      </c>
      <c r="I42" s="4" t="inlineStr">
        <is>
          <t>2024-09-24</t>
        </is>
      </c>
      <c r="J42" s="4" t="inlineStr">
        <is>
          <t>New York · Speech</t>
        </is>
      </c>
    </row>
    <row r="43" ht="60" customHeight="1">
      <c r="A43" s="7" t="n">
        <v>41</v>
      </c>
      <c r="B43" s="7" t="inlineStr">
        <is>
          <t>D1.3</t>
        </is>
      </c>
      <c r="C43" s="4" t="inlineStr">
        <is>
          <t>Civilizational Defense</t>
        </is>
      </c>
      <c r="D43" s="4" t="inlineStr">
        <is>
          <t>D1.3 — Cultural Backlash</t>
        </is>
      </c>
      <c r="E43" s="4" t="inlineStr">
        <is>
          <t>Civilizational Defense</t>
        </is>
      </c>
      <c r="F43" s="4" t="inlineStr">
        <is>
          <t>From this day on, know that the Argentine Republic will abandon the position of historical neutrality and will be at the forefront of the struggle in defense of freedom.</t>
        </is>
      </c>
      <c r="G43" s="4" t="inlineStr">
        <is>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is>
      </c>
      <c r="H43" s="4" t="inlineStr">
        <is>
          <t>UN General Assembly 79th</t>
        </is>
      </c>
      <c r="I43" s="4" t="inlineStr">
        <is>
          <t>2024-09-24</t>
        </is>
      </c>
      <c r="J43" s="4" t="inlineStr">
        <is>
          <t>New York · Speech</t>
        </is>
      </c>
    </row>
    <row r="44" ht="60" customHeight="1">
      <c r="A44" s="5" t="n">
        <v>42</v>
      </c>
      <c r="B44" s="5" t="inlineStr">
        <is>
          <t>D1.1</t>
        </is>
      </c>
      <c r="C44" s="4" t="inlineStr">
        <is>
          <t>Rejection of Multilateral Governance</t>
        </is>
      </c>
      <c r="D44" s="4" t="inlineStr">
        <is>
          <t>D1.1 — State Intervention &amp; Governance</t>
        </is>
      </c>
      <c r="E44" s="4" t="inlineStr">
        <is>
          <t>Rejection of Multilateral Governance</t>
        </is>
      </c>
      <c r="F44" s="4" t="inlineStr">
        <is>
          <t>Because I must say that forums like this one have been protagonists and promoters of the sinister agenda of wokeism that is doing so much damage to the Western world.</t>
        </is>
      </c>
      <c r="G44" s="4" t="inlineStr">
        <is>
          <t>WEF is named a "protagonist and promoter" of a "sinister agenda" — the institution that convenes global climate governance (the Davos Consensus, net-zero pledges, green capitalism frameworks) is delegitimized as ideologically captured before any specific climate argument is made. This is meta-level Rejection_of_Multilateral_Governance: not objecting to a specific commitment but delegitimizing the entire governance institution, meaning everything it produces — climate targets, ESG standards, green investment pledges — is tainted at source.</t>
        </is>
      </c>
      <c r="H44" s="4" t="inlineStr">
        <is>
          <t>WEF Davos 2025</t>
        </is>
      </c>
      <c r="I44" s="4" t="inlineStr">
        <is>
          <t>2025-01-23</t>
        </is>
      </c>
      <c r="J44" s="4" t="inlineStr">
        <is>
          <t>Davos · Speech</t>
        </is>
      </c>
    </row>
    <row r="45" ht="60" customHeight="1">
      <c r="A45" s="3" t="n">
        <v>43</v>
      </c>
      <c r="B45" s="3" t="inlineStr">
        <is>
          <t>D1.2</t>
        </is>
      </c>
      <c r="C45" s="4" t="inlineStr">
        <is>
          <t>Attack on Universities</t>
        </is>
      </c>
      <c r="D45" s="4" t="inlineStr">
        <is>
          <t>D1.2 — Public Science &amp; Expertise</t>
        </is>
      </c>
      <c r="E45" s="4" t="inlineStr">
        <is>
          <t>Attack on Universities</t>
        </is>
      </c>
      <c r="F45" s="4" t="inlineStr">
        <is>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is>
      </c>
      <c r="G45" s="4" t="inlineStr">
        <is>
          <t>Universities appear in the list of colonized institutions alongside global governance organizations and media. Universities are the primary sites where climate scientists are trained, climate research is produced, and the expert community underpinning IPCC assessment reports is formed. By framing universities as ideologically colonized, Milei delegitimizes the climate knowledge-production chain at its origin point.</t>
        </is>
      </c>
      <c r="H45" s="4" t="inlineStr">
        <is>
          <t>WEF Davos 2025</t>
        </is>
      </c>
      <c r="I45" s="4" t="inlineStr">
        <is>
          <t>2025-01-23</t>
        </is>
      </c>
      <c r="J45" s="4" t="inlineStr">
        <is>
          <t>Davos · Speech</t>
        </is>
      </c>
    </row>
    <row r="46" ht="60" customHeight="1">
      <c r="A46" s="3" t="n">
        <v>44</v>
      </c>
      <c r="B46" s="3" t="inlineStr">
        <is>
          <t>D1.2</t>
        </is>
      </c>
      <c r="C46" s="4" t="inlineStr">
        <is>
          <t>Rejection of Expert Mediation</t>
        </is>
      </c>
      <c r="D46" s="4" t="inlineStr">
        <is>
          <t>D1.2 — Public Science &amp; Expertise</t>
        </is>
      </c>
      <c r="E46" s="4" t="inlineStr">
        <is>
          <t>Rejection of Expert Mediation</t>
        </is>
      </c>
      <c r="F46" s="4" t="inlineStr">
        <is>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is>
      </c>
      <c r="G46" s="4" t="inlineStr">
        <is>
          <t>The enumeration of captured institutions — political parties, global governance organizations, NGOs, universities, media — covers the entire infrastructure of expert mediation in public policy: the channels through which scientific knowledge reaches and legitimizes policy decisions. Claiming all are colonized by a single ideology denies any possibility of legitimate expert mediation in climate governance.</t>
        </is>
      </c>
      <c r="H46" s="4" t="inlineStr">
        <is>
          <t>WEF Davos 2025</t>
        </is>
      </c>
      <c r="I46" s="4" t="inlineStr">
        <is>
          <t>2025-01-23</t>
        </is>
      </c>
      <c r="J46" s="4" t="inlineStr">
        <is>
          <t>Davos · Speech</t>
        </is>
      </c>
    </row>
    <row r="47" ht="60" customHeight="1">
      <c r="A47" s="7" t="n">
        <v>45</v>
      </c>
      <c r="B47" s="7" t="inlineStr">
        <is>
          <t>D1.3</t>
        </is>
      </c>
      <c r="C47" s="4" t="inlineStr">
        <is>
          <t>Neo-Marxism</t>
        </is>
      </c>
      <c r="D47" s="4" t="inlineStr">
        <is>
          <t>D1.3 — Cultural Backlash</t>
        </is>
      </c>
      <c r="E47" s="4" t="inlineStr">
        <is>
          <t>Neo-Marxism</t>
        </is>
      </c>
      <c r="F47" s="4" t="inlineStr">
        <is>
          <t>These are all various heads of the same beast aimed at justifying the state's expansion through the appropriation and distortion of noble causes.</t>
        </is>
      </c>
      <c r="G47" s="4" t="inlineStr">
        <is>
          <t>Environmentalism is listed (alongside feminism, gender ideology, and immigration) as one of several "heads of the same beast aimed at justifying the state's expansion." Neo_Marxism's core formulation: these causes are strategic tools for state expansion, not genuine moral concerns. Carbon taxes, green industrial policy, and emissions regulation are Trojan horses for socialist state growth — not environmental management.</t>
        </is>
      </c>
      <c r="H47" s="4" t="inlineStr">
        <is>
          <t>WEF Davos 2025</t>
        </is>
      </c>
      <c r="I47" s="4" t="inlineStr">
        <is>
          <t>2025-01-23</t>
        </is>
      </c>
      <c r="J47" s="4" t="inlineStr">
        <is>
          <t>Davos · Speech</t>
        </is>
      </c>
    </row>
    <row r="48" ht="60" customHeight="1">
      <c r="A48" s="7" t="n">
        <v>46</v>
      </c>
      <c r="B48" s="7" t="inlineStr">
        <is>
          <t>D1.3</t>
        </is>
      </c>
      <c r="C48" s="4" t="inlineStr">
        <is>
          <t>Woke Bundling</t>
        </is>
      </c>
      <c r="D48" s="4" t="inlineStr">
        <is>
          <t>D1.3 — Cultural Backlash</t>
        </is>
      </c>
      <c r="E48" s="4" t="inlineStr">
        <is>
          <t>Woke Bundling</t>
        </is>
      </c>
      <c r="F48" s="4" t="inlineStr">
        <is>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is>
      </c>
      <c r="G48" s="4" t="inlineStr">
        <is>
          <t>The pivot from feminism to environmentalism using "Wokism also manifests in..." is the formal Woke_Bundling move: climate governance is positioned as another chapter in the same ideological story, governed by the same analytical template applied to feminism. The concession-then-perversion structure ("a matter of common sense" → "perverted") is more sophisticated than Davos 2024 — acknowledging legitimacy before delegitimizing, making the attack harder to characterize as reactionary denial.</t>
        </is>
      </c>
      <c r="H48" s="4" t="inlineStr">
        <is>
          <t>WEF Davos 2025</t>
        </is>
      </c>
      <c r="I48" s="4" t="inlineStr">
        <is>
          <t>2025-01-23</t>
        </is>
      </c>
      <c r="J48" s="4" t="inlineStr">
        <is>
          <t>Davos · Speech</t>
        </is>
      </c>
    </row>
    <row r="49" ht="60" customHeight="1">
      <c r="A49" s="7" t="n">
        <v>47</v>
      </c>
      <c r="B49" s="7" t="inlineStr">
        <is>
          <t>D1.3</t>
        </is>
      </c>
      <c r="C49" s="4" t="inlineStr">
        <is>
          <t>Neo-Marxism</t>
        </is>
      </c>
      <c r="D49" s="4" t="inlineStr">
        <is>
          <t>D1.3 — Cultural Backlash</t>
        </is>
      </c>
      <c r="E49" s="4" t="inlineStr">
        <is>
          <t>Neo-Marxism</t>
        </is>
      </c>
      <c r="F49" s="4" t="inlineStr">
        <is>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is>
      </c>
      <c r="G49" s="4" t="inlineStr">
        <is>
          <t>"Economic development is considered little more than a crime against nature" frames climate regulation as anti-civilization and anti-progress ideology. The "cancer" metaphor is analytically notable: Milei applies "cancer" both to woke ideology (which must be cured) and to how environmentalists supposedly view humanity — a double inversion equating climate advocates with those who dehumanize people.</t>
        </is>
      </c>
      <c r="H49" s="4" t="inlineStr">
        <is>
          <t>WEF Davos 2025</t>
        </is>
      </c>
      <c r="I49" s="4" t="inlineStr">
        <is>
          <t>2025-01-23</t>
        </is>
      </c>
      <c r="J49" s="4" t="inlineStr">
        <is>
          <t>Davos · Speech</t>
        </is>
      </c>
    </row>
    <row r="50" ht="60" customHeight="1">
      <c r="A50" s="5" t="n">
        <v>48</v>
      </c>
      <c r="B50" s="5" t="inlineStr">
        <is>
          <t>D1.1</t>
        </is>
      </c>
      <c r="C50" s="4" t="inlineStr">
        <is>
          <t>Sustainability as Ideological or Harmful</t>
        </is>
      </c>
      <c r="D50" s="4" t="inlineStr">
        <is>
          <t>D1.1 — State Intervention &amp; Governance</t>
        </is>
      </c>
      <c r="E50" s="4" t="inlineStr">
        <is>
          <t>Sustainability as Ideological or Harmful</t>
        </is>
      </c>
      <c r="F50" s="4" t="inlineStr">
        <is>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is>
      </c>
      <c r="G50" s="4" t="inlineStr">
        <is>
          <t>"Economic development is considered a crime against nature" reframes climate regulation as anti-development ideology. Particularly effective for the Global South dimension: if climate governance criminalizes development, it condemns poor countries to permanent underdevelopment in the name of ideology.</t>
        </is>
      </c>
      <c r="H50" s="4" t="inlineStr">
        <is>
          <t>WEF Davos 2025</t>
        </is>
      </c>
      <c r="I50" s="4" t="inlineStr">
        <is>
          <t>2025-01-23</t>
        </is>
      </c>
      <c r="J50" s="4" t="inlineStr">
        <is>
          <t>Davos · Speech</t>
        </is>
      </c>
    </row>
    <row r="51" ht="60" customHeight="1">
      <c r="A51" s="3" t="n">
        <v>49</v>
      </c>
      <c r="B51" s="3" t="inlineStr">
        <is>
          <t>D1.2</t>
        </is>
      </c>
      <c r="C51" s="4" t="inlineStr">
        <is>
          <t>Climate Skepticism or Dismissal</t>
        </is>
      </c>
      <c r="D51" s="4" t="inlineStr">
        <is>
          <t>D1.2 — Public Science &amp; Expertise</t>
        </is>
      </c>
      <c r="E51" s="4" t="inlineStr">
        <is>
          <t>Climate Skepticism or Dismissal</t>
        </is>
      </c>
      <c r="F51" s="4" t="inlineStr">
        <is>
          <t>And yet, when we argue that the Earth has already gone through five abrupt temperature change cycles, and that during four of those men was not even around, we are called 'Flat Earthers' in order to discredit our ideas, even though science and the data are on our side.</t>
        </is>
      </c>
      <c r="G51" s="4" t="inlineStr">
        <is>
          <t>The five-cycles argument — Earth has undergone abrupt temperature changes without human presence — is the natural cycles denialist claim deployed as a counter to anthropogenic attribution. This is the clearest direct climate science denial in the corpus. The logical structure ("this happened before without humans, therefore humans are not causing it now") elides attribution science, which isolates the anthropogenic signal from natural variability.</t>
        </is>
      </c>
      <c r="H51" s="4" t="inlineStr">
        <is>
          <t>WEF Davos 2025</t>
        </is>
      </c>
      <c r="I51" s="4" t="inlineStr">
        <is>
          <t>2025-01-23</t>
        </is>
      </c>
      <c r="J51" s="4" t="inlineStr">
        <is>
          <t>Davos · Speech</t>
        </is>
      </c>
    </row>
    <row r="52" ht="60" customHeight="1">
      <c r="A52" s="3" t="n">
        <v>50</v>
      </c>
      <c r="B52" s="3" t="inlineStr">
        <is>
          <t>D1.2</t>
        </is>
      </c>
      <c r="C52" s="4" t="inlineStr">
        <is>
          <t>Pseudo-Science / Ideological Science</t>
        </is>
      </c>
      <c r="D52" s="4" t="inlineStr">
        <is>
          <t>D1.2 — Public Science &amp; Expertise</t>
        </is>
      </c>
      <c r="E52" s="4" t="inlineStr">
        <is>
          <t>Pseudo-Science / Ideological Science</t>
        </is>
      </c>
      <c r="F52" s="4" t="inlineStr">
        <is>
          <t>And yet, when we argue that the Earth has already gone through five abrupt temperature change cycles, and that during four of those men was not even around, we are called 'Flat Earthers' in order to discredit our ideas, even though science and the data are on our side.</t>
        </is>
      </c>
      <c r="G52" s="4" t="inlineStr">
        <is>
          <t>"Science and the data are on our side" directly appropriates scientific authority for the denialist position. The "Flat Earthers" label is framed as a delegitimation tactic rather than a substantive critique. The epistemic authority reversal: consensus scientists become dogmatists silencing dissent, while the climate skeptic becomes the true empiricist. The move engages with no actual scientific arguments.</t>
        </is>
      </c>
      <c r="H52" s="4" t="inlineStr">
        <is>
          <t>WEF Davos 2025</t>
        </is>
      </c>
      <c r="I52" s="4" t="inlineStr">
        <is>
          <t>2025-01-23</t>
        </is>
      </c>
      <c r="J52" s="4" t="inlineStr">
        <is>
          <t>Davos · Speech</t>
        </is>
      </c>
    </row>
    <row r="53" ht="60" customHeight="1">
      <c r="A53" s="6" t="n">
        <v>51</v>
      </c>
      <c r="B53" s="6" t="inlineStr">
        <is>
          <t>IND</t>
        </is>
      </c>
      <c r="C53" s="4" t="inlineStr">
        <is>
          <t>Selective Empiricism</t>
        </is>
      </c>
      <c r="D53" s="4" t="inlineStr">
        <is>
          <t>Inductive</t>
        </is>
      </c>
      <c r="E53" s="4" t="inlineStr">
        <is>
          <t>Selective Empiricism</t>
        </is>
      </c>
      <c r="F53" s="4" t="inlineStr">
        <is>
          <t>And yet, when we argue that the Earth has already gone through five abrupt temperature change cycles, and that during four of those men was not even around, we are called 'Flat Earthers' in order to discredit our ideas, even though science and the data are on our side.</t>
        </is>
      </c>
      <c r="G53" s="4" t="inlineStr">
        <is>
          <t>Clearest corpus instance of Selective_Empiricism: "science and data are on our side" legitimates the natural-cycles claim while framing the institutional scientific community's response as ideological silencing. The dual move — appropriating empiricism for the denialist side while denying it to the consensus side — is the defining feature of this pattern.</t>
        </is>
      </c>
      <c r="H53" s="4" t="inlineStr">
        <is>
          <t>WEF Davos 2025</t>
        </is>
      </c>
      <c r="I53" s="4" t="inlineStr">
        <is>
          <t>2025-01-23</t>
        </is>
      </c>
      <c r="J53" s="4" t="inlineStr">
        <is>
          <t>Davos · Speech</t>
        </is>
      </c>
    </row>
    <row r="54" ht="60" customHeight="1">
      <c r="A54" s="7" t="n">
        <v>52</v>
      </c>
      <c r="B54" s="7" t="inlineStr">
        <is>
          <t>D1.3</t>
        </is>
      </c>
      <c r="C54" s="4" t="inlineStr">
        <is>
          <t>Woke Bundling</t>
        </is>
      </c>
      <c r="D54" s="4" t="inlineStr">
        <is>
          <t>D1.3 — Cultural Backlash</t>
        </is>
      </c>
      <c r="E54" s="4" t="inlineStr">
        <is>
          <t>Woke Bundling</t>
        </is>
      </c>
      <c r="F54" s="4" t="inlineStr">
        <is>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is>
      </c>
      <c r="G54" s="4" t="inlineStr">
        <is>
          <t>The Malthus-abortion-climate chain is an intensified Woke_Bundling move: climate advocates and abortion advocates are revealed to share a common ideological foundation (Malthusianism = overpopulation as the root threat). "It is no coincidence" signals conspiratorial reasoning. Maximal contamination: climate cause associated with "bloody, murderous" abortion agenda for Milei's audience.</t>
        </is>
      </c>
      <c r="H54" s="4" t="inlineStr">
        <is>
          <t>WEF Davos 2025</t>
        </is>
      </c>
      <c r="I54" s="4" t="inlineStr">
        <is>
          <t>2025-01-23</t>
        </is>
      </c>
      <c r="J54" s="4" t="inlineStr">
        <is>
          <t>Davos · Speech</t>
        </is>
      </c>
    </row>
    <row r="55" ht="60" customHeight="1">
      <c r="A55" s="7" t="n">
        <v>53</v>
      </c>
      <c r="B55" s="7" t="inlineStr">
        <is>
          <t>D1.3</t>
        </is>
      </c>
      <c r="C55" s="4" t="inlineStr">
        <is>
          <t>Neo-Marxism</t>
        </is>
      </c>
      <c r="D55" s="4" t="inlineStr">
        <is>
          <t>D1.3 — Cultural Backlash</t>
        </is>
      </c>
      <c r="E55" s="4" t="inlineStr">
        <is>
          <t>Neo-Marxism</t>
        </is>
      </c>
      <c r="F55" s="4" t="inlineStr">
        <is>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is>
      </c>
      <c r="G55" s="4" t="inlineStr">
        <is>
          <t>The Malthusian framing codes environmentalism as anti-human-development: its real goal is population reduction through abortion promotion. The Neo_Marxism thesis: the green agenda is a power-accumulation project in disguise. The explicit causal chain (Malthus → overpopulation fear → abortion → population control) provides theoretical lineage, making it appear as a coherent intellectual tradition rather than a rhetorical association.</t>
        </is>
      </c>
      <c r="H55" s="4" t="inlineStr">
        <is>
          <t>WEF Davos 2025</t>
        </is>
      </c>
      <c r="I55" s="4" t="inlineStr">
        <is>
          <t>2025-01-23</t>
        </is>
      </c>
      <c r="J55" s="4" t="inlineStr">
        <is>
          <t>Davos · Speech</t>
        </is>
      </c>
    </row>
    <row r="56" ht="60" customHeight="1">
      <c r="A56" s="3" t="n">
        <v>54</v>
      </c>
      <c r="B56" s="3" t="inlineStr">
        <is>
          <t>D1.2</t>
        </is>
      </c>
      <c r="C56" s="4" t="inlineStr">
        <is>
          <t>Attack on Universities</t>
        </is>
      </c>
      <c r="D56" s="4" t="inlineStr">
        <is>
          <t>D1.2 — Public Science &amp; Expertise</t>
        </is>
      </c>
      <c r="E56" s="4" t="inlineStr">
        <is>
          <t>Attack on Universities</t>
        </is>
      </c>
      <c r="F56" s="4" t="inlineStr">
        <is>
          <t>And wokeism also seeks to hijack our future because by dominating the faculties of the world's most prestigious universities, it is shaping the elites of our countries to reject and deny the culture, ideas and values that made us great.</t>
        </is>
      </c>
      <c r="G56" s="4" t="inlineStr">
        <is>
          <t>The university attack reappears in a futurity register: universities are not just producing bad knowledge now but "shaping the elites" who will govern and make policy in the future. For climate governance, this extends the delegitimation forward in time: the next generation of policymakers, business leaders, and public intellectuals is being trained to accept the climate-governance framework as legitimate — a long-term institutional threat.</t>
        </is>
      </c>
      <c r="H56" s="4" t="inlineStr">
        <is>
          <t>WEF Davos 2025</t>
        </is>
      </c>
      <c r="I56" s="4" t="inlineStr">
        <is>
          <t>2025-01-23</t>
        </is>
      </c>
      <c r="J56" s="4" t="inlineStr">
        <is>
          <t>Davos · Speech</t>
        </is>
      </c>
    </row>
    <row r="57" ht="60" customHeight="1">
      <c r="A57" s="5" t="n">
        <v>55</v>
      </c>
      <c r="B57" s="5" t="inlineStr">
        <is>
          <t>D1.1</t>
        </is>
      </c>
      <c r="C57" s="4" t="inlineStr">
        <is>
          <t>Rejection of Multilateral Governance</t>
        </is>
      </c>
      <c r="D57" s="4" t="inlineStr">
        <is>
          <t>D1.1 — State Intervention &amp; Governance</t>
        </is>
      </c>
      <c r="E57" s="4" t="inlineStr">
        <is>
          <t>Rejection of Multilateral Governance</t>
        </is>
      </c>
      <c r="F57" s="4" t="inlineStr">
        <is>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is>
      </c>
      <c r="G57" s="4" t="inlineStr">
        <is>
          <t>WEF, "the most influential supranational bodies," multilateral lending organizations, and the EU are collectively framed as "ideologues of barbarity" and "instruments of extortion." These are precisely the institutions that implement and finance climate policy globally. Framing them as a malevolent totalizing project — not misguided but malevolent — closes off any possibility of engagement with the multilateral climate governance system.</t>
        </is>
      </c>
      <c r="H57" s="4" t="inlineStr">
        <is>
          <t>WEF Davos 2025</t>
        </is>
      </c>
      <c r="I57" s="4" t="inlineStr">
        <is>
          <t>2025-01-23</t>
        </is>
      </c>
      <c r="J57" s="4" t="inlineStr">
        <is>
          <t>Davos · Speech</t>
        </is>
      </c>
    </row>
    <row r="58" ht="60" customHeight="1">
      <c r="A58" s="7" t="n">
        <v>56</v>
      </c>
      <c r="B58" s="7" t="inlineStr">
        <is>
          <t>D1.3</t>
        </is>
      </c>
      <c r="C58" s="4" t="inlineStr">
        <is>
          <t>Civilizational Defense</t>
        </is>
      </c>
      <c r="D58" s="4" t="inlineStr">
        <is>
          <t>D1.3 — Cultural Backlash</t>
        </is>
      </c>
      <c r="E58" s="4" t="inlineStr">
        <is>
          <t>Civilizational Defense</t>
        </is>
      </c>
      <c r="F58" s="4" t="inlineStr">
        <is>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is>
      </c>
      <c r="G58" s="4" t="inlineStr">
        <is>
          <t>"Worship of a sinister and murderous ideology, as if it were a golden calf" elevates the stakes to civilizational-religious dimensions. The WEF-led governance consensus — including its climate architecture — is not an error but an idolatry that must be dismantled to save Western civilization. Civilizational_Defense at maximum intensity.</t>
        </is>
      </c>
      <c r="H58" s="4" t="inlineStr">
        <is>
          <t>WEF Davos 2025</t>
        </is>
      </c>
      <c r="I58" s="4" t="inlineStr">
        <is>
          <t>2025-01-23</t>
        </is>
      </c>
      <c r="J58" s="4" t="inlineStr">
        <is>
          <t>Davos · Speech</t>
        </is>
      </c>
    </row>
    <row r="59" ht="60" customHeight="1">
      <c r="A59" s="5" t="n">
        <v>57</v>
      </c>
      <c r="B59" s="5" t="inlineStr">
        <is>
          <t>D1.1</t>
        </is>
      </c>
      <c r="C59" s="4" t="inlineStr">
        <is>
          <t>Market Primacy</t>
        </is>
      </c>
      <c r="D59" s="4" t="inlineStr">
        <is>
          <t>D1.1 — State Intervention &amp; Governance</t>
        </is>
      </c>
      <c r="E59" s="4" t="inlineStr">
        <is>
          <t>Market Primacy</t>
        </is>
      </c>
      <c r="F59" s="4" t="inlineStr">
        <is>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is>
      </c>
      <c r="G59" s="4" t="inlineStr">
        <is>
          <t>The denial of market failures restated verbatim from Davos 2024, now anchored to European climate regulation as the exemplary case of "abhorrent regulations that kill economic growth." The EU's climate regulatory architecture (ETS, CBAM, Fit for 55) is the world's most ambitious; naming it as evidence for the No_Market_Failures thesis directly targets the leading model of climate governance as proof that climate regulation causes poverty.</t>
        </is>
      </c>
      <c r="H59" s="4" t="inlineStr">
        <is>
          <t>WEF Davos 2025</t>
        </is>
      </c>
      <c r="I59" s="4" t="inlineStr">
        <is>
          <t>2025-01-23</t>
        </is>
      </c>
      <c r="J59" s="4" t="inlineStr">
        <is>
          <t>Davos · Speech</t>
        </is>
      </c>
    </row>
    <row r="60" ht="60" customHeight="1">
      <c r="A60" s="5" t="n">
        <v>58</v>
      </c>
      <c r="B60" s="5" t="inlineStr">
        <is>
          <t>D1.1</t>
        </is>
      </c>
      <c r="C60" s="4" t="inlineStr">
        <is>
          <t>Deregulation Benefits</t>
        </is>
      </c>
      <c r="D60" s="4" t="inlineStr">
        <is>
          <t>D1.1 — State Intervention &amp; Governance</t>
        </is>
      </c>
      <c r="E60" s="4" t="inlineStr">
        <is>
          <t>Deregulation Benefits</t>
        </is>
      </c>
      <c r="F60" s="4" t="inlineStr">
        <is>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is>
      </c>
      <c r="G60" s="4" t="inlineStr">
        <is>
          <t>The positive deregulation argument paired with the Europe case: removing climate regulation restores economic calculation, investment, and growth. "Such as is the case in Europe, which kills economic growth" — Deregulation_Benefits applied to climate regulation specifically, with the EU's climate architecture as empirical evidence.</t>
        </is>
      </c>
      <c r="H60" s="4" t="inlineStr">
        <is>
          <t>WEF Davos 2025</t>
        </is>
      </c>
      <c r="I60" s="4" t="inlineStr">
        <is>
          <t>2025-01-23</t>
        </is>
      </c>
      <c r="J60" s="4" t="inlineStr">
        <is>
          <t>Davos · Speech</t>
        </is>
      </c>
    </row>
    <row r="61" ht="60" customHeight="1">
      <c r="A61" s="5" t="n">
        <v>59</v>
      </c>
      <c r="B61" s="5" t="inlineStr">
        <is>
          <t>D1.1</t>
        </is>
      </c>
      <c r="C61" s="4" t="inlineStr">
        <is>
          <t>Rejection of Multilateral Governance</t>
        </is>
      </c>
      <c r="D61" s="4" t="inlineStr">
        <is>
          <t>D1.1 — State Intervention &amp; Governance</t>
        </is>
      </c>
      <c r="E61" s="4" t="inlineStr">
        <is>
          <t>Rejection of Multilateral Governance</t>
        </is>
      </c>
      <c r="F61" s="4" t="inlineStr">
        <is>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is>
      </c>
      <c r="G61" s="4" t="inlineStr">
        <is>
          <t>[V3 re-code — was D2.3 in v2] "Drastic reduction of all supranational organizations" and "draining its resources" — this passage is here coded D1.1 &gt; Rejection_of_Multilateral_Governance because the speech is performing a rhetorical act: declaring a policy prescription and framing it as ideologically necessary. The actual institutional actions (funding reductions, withdrawal from bodies, defunding climate funds) are D2 evidence to be found in Corpus B. The prescriptive force of the passage does not change its discursive nature.</t>
        </is>
      </c>
      <c r="H61" s="4" t="inlineStr">
        <is>
          <t>WEF Davos 2025</t>
        </is>
      </c>
      <c r="I61" s="4" t="inlineStr">
        <is>
          <t>2025-01-23</t>
        </is>
      </c>
      <c r="J61" s="4" t="inlineStr">
        <is>
          <t>Davos · Speech</t>
        </is>
      </c>
    </row>
    <row r="62" ht="60" customHeight="1">
      <c r="A62" s="7" t="n">
        <v>60</v>
      </c>
      <c r="B62" s="7" t="inlineStr">
        <is>
          <t>D1.3</t>
        </is>
      </c>
      <c r="C62" s="4" t="inlineStr">
        <is>
          <t>Neo-Marxism</t>
        </is>
      </c>
      <c r="D62" s="4" t="inlineStr">
        <is>
          <t>D1.3 — Cultural Backlash</t>
        </is>
      </c>
      <c r="E62" s="4" t="inlineStr">
        <is>
          <t>Neo-Marxism</t>
        </is>
      </c>
      <c r="F62" s="4" t="inlineStr">
        <is>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is>
      </c>
      <c r="G62" s="4" t="inlineStr">
        <is>
          <t>"Wokism is nothing more than a systematic plan by the party of the state to justify state intervention" explicitly articulates the Neo_Marxism thesis for the entire woke project — including its environmental dimension: the climate agenda is a state-expansion pretext. The logical consequent is direct: drastic state reduction (including of climate institutions) is the necessary response.</t>
        </is>
      </c>
      <c r="H62" s="4" t="inlineStr">
        <is>
          <t>WEF Davos 2025</t>
        </is>
      </c>
      <c r="I62" s="4" t="inlineStr">
        <is>
          <t>2025-01-23</t>
        </is>
      </c>
      <c r="J62" s="4" t="inlineStr">
        <is>
          <t>Davos · Speech</t>
        </is>
      </c>
    </row>
    <row r="63" ht="60" customHeight="1">
      <c r="A63" s="5" t="n">
        <v>61</v>
      </c>
      <c r="B63" s="5" t="inlineStr">
        <is>
          <t>D1.1</t>
        </is>
      </c>
      <c r="C63" s="4" t="inlineStr">
        <is>
          <t>Delegitimization of Regulation</t>
        </is>
      </c>
      <c r="D63" s="4" t="inlineStr">
        <is>
          <t>D1.1 — State Intervention &amp; Governance</t>
        </is>
      </c>
      <c r="E63" s="4" t="inlineStr">
        <is>
          <t>Delegitimization of Regulation</t>
        </is>
      </c>
      <c r="F63" s="4" t="inlineStr">
        <is>
          <t>The functions of the state must once again be limited to defending the right to life, liberty and property. Any other function the state assumes will come at the expense of its fundamental role and will inevitably lead to the 'omnipresent Leviathan' that we all suffer under today.</t>
        </is>
      </c>
      <c r="G63" s="4" t="inlineStr">
        <is>
          <t>The minimal-state prescriptive principle categorically excludes environmental regulation as a legitimate state function. Climate policy in all its forms — carbon pricing, emissions regulation, environmental ministries, adaptation planning, clean energy mandates — falls outside life, liberty, and property, making it constitutionally illegitimate regardless of empirical merits. This is Delegitimization_of_Regulation stated as a first-principles categorical exclusion.</t>
        </is>
      </c>
      <c r="H63" s="4" t="inlineStr">
        <is>
          <t>WEF Davos 2025</t>
        </is>
      </c>
      <c r="I63" s="4" t="inlineStr">
        <is>
          <t>2025-01-23</t>
        </is>
      </c>
      <c r="J63" s="4" t="inlineStr">
        <is>
          <t>Davos · Speech</t>
        </is>
      </c>
    </row>
    <row r="64" ht="60" customHeight="1">
      <c r="A64" s="5" t="n">
        <v>62</v>
      </c>
      <c r="B64" s="5" t="inlineStr">
        <is>
          <t>D1.1</t>
        </is>
      </c>
      <c r="C64" s="4" t="inlineStr">
        <is>
          <t>Anti-State / Anti-Bureaucratic</t>
        </is>
      </c>
      <c r="D64" s="4" t="inlineStr">
        <is>
          <t>D1.1 — State Intervention &amp; Governance</t>
        </is>
      </c>
      <c r="E64" s="4" t="inlineStr">
        <is>
          <t>Anti-State / Anti-Bureaucratic</t>
        </is>
      </c>
      <c r="F64" s="4" t="inlineStr">
        <is>
          <t>También eliminamos decenas de fondos fiduciarios que la política usaba discrecionalmente a su antojo. Eliminamos cajas de militancia como el INCAA, el INADI, el Ministerio de la Mujer y Télam y volvimos superavitarias empresas emblemáticas de la militancia deficitaria, como Aerolíneas Argentinas, AySA, Intercargo y ENARSA, entre otras, mientras empezamos a dar los primeros pasos para la privatización de todas las empresas públicas, porque entendemos que el Estado no está para reemplazar al empresario.</t>
        </is>
      </c>
      <c r="G64" s="4" t="inlineStr">
        <is>
          <t>The explicit grouping of INCAA, INADI, and the Ministerio de la Mujer as "cajas de militancia" is analytically significant because it establishes the rhetorical pattern of labeling progressive-adjacent state institutions as corrupt political patronage rather than legitimate public functions. INADI (anti-discrimination) and the women's ministry represent precisely the kind of social-regulatory institutions that also administer environmental and sustainability policy: agencies whose authority rests on normative social science rather than market metrics. Categorizing them as inherently militant/patronage-driven pre-emptively applies the same frame to environmental agencies.</t>
        </is>
      </c>
      <c r="H64" s="4" t="inlineStr">
        <is>
          <t>Apertura Sesiones Ordinarias 2025 (143°)</t>
        </is>
      </c>
      <c r="I64" s="4" t="inlineStr">
        <is>
          <t>2025-03-01</t>
        </is>
      </c>
      <c r="J64" s="4" t="inlineStr">
        <is>
          <t>Buenos Aires · Speech</t>
        </is>
      </c>
    </row>
    <row r="65" ht="60" customHeight="1">
      <c r="A65" s="5" t="n">
        <v>63</v>
      </c>
      <c r="B65" s="5" t="inlineStr">
        <is>
          <t>D1.1</t>
        </is>
      </c>
      <c r="C65" s="4" t="inlineStr">
        <is>
          <t>Market Primacy</t>
        </is>
      </c>
      <c r="D65" s="4" t="inlineStr">
        <is>
          <t>D1.1 — State Intervention &amp; Governance</t>
        </is>
      </c>
      <c r="E65" s="4" t="inlineStr">
        <is>
          <t>Market Primacy</t>
        </is>
      </c>
      <c r="F65" s="4" t="inlineStr">
        <is>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is>
      </c>
      <c r="G65" s="4" t="inlineStr">
        <is>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is>
      </c>
      <c r="H65" s="4" t="inlineStr">
        <is>
          <t>Apertura Sesiones Ordinarias 2025 (143°)</t>
        </is>
      </c>
      <c r="I65" s="4" t="inlineStr">
        <is>
          <t>2025-03-01</t>
        </is>
      </c>
      <c r="J65" s="4" t="inlineStr">
        <is>
          <t>Buenos Aires · Speech</t>
        </is>
      </c>
    </row>
    <row r="66" ht="60" customHeight="1">
      <c r="A66" s="5" t="n">
        <v>64</v>
      </c>
      <c r="B66" s="5" t="inlineStr">
        <is>
          <t>D1.1</t>
        </is>
      </c>
      <c r="C66" s="4" t="inlineStr">
        <is>
          <t>Deregulation Benefits</t>
        </is>
      </c>
      <c r="D66" s="4" t="inlineStr">
        <is>
          <t>D1.1 — State Intervention &amp; Governance</t>
        </is>
      </c>
      <c r="E66" s="4" t="inlineStr">
        <is>
          <t>Deregulation Benefits</t>
        </is>
      </c>
      <c r="F66" s="4" t="inlineStr">
        <is>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is>
      </c>
      <c r="G66" s="4" t="inlineStr">
        <is>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is>
      </c>
      <c r="H66" s="4" t="inlineStr">
        <is>
          <t>Apertura Sesiones Ordinarias 2025 (143°)</t>
        </is>
      </c>
      <c r="I66" s="4" t="inlineStr">
        <is>
          <t>2025-03-01</t>
        </is>
      </c>
      <c r="J66" s="4" t="inlineStr">
        <is>
          <t>Buenos Aires · Speech</t>
        </is>
      </c>
    </row>
    <row r="67" ht="60" customHeight="1">
      <c r="A67" s="5" t="n">
        <v>65</v>
      </c>
      <c r="B67" s="5" t="inlineStr">
        <is>
          <t>D1.1</t>
        </is>
      </c>
      <c r="C67" s="4" t="inlineStr">
        <is>
          <t>Deregulation Benefits</t>
        </is>
      </c>
      <c r="D67" s="4" t="inlineStr">
        <is>
          <t>D1.1 — State Intervention &amp; Governance</t>
        </is>
      </c>
      <c r="E67" s="4" t="inlineStr">
        <is>
          <t>Deregulation Benefits</t>
        </is>
      </c>
      <c r="F67" s="4" t="inlineStr">
        <is>
          <t>No es menor lo de Elon con la motosierra. La motosierra, hoy, es un símbolo de cambio de época y el inicio de una nueva era dorada para la humanidad, pero esta vez, en vez de ir a contramano del mundo, Argentina está a la vanguardia del mundo.</t>
        </is>
      </c>
      <c r="G67" s="4" t="inlineStr">
        <is>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is>
      </c>
      <c r="H67" s="4" t="inlineStr">
        <is>
          <t>Apertura Sesiones Ordinarias 2025 (143°)</t>
        </is>
      </c>
      <c r="I67" s="4" t="inlineStr">
        <is>
          <t>2025-03-01</t>
        </is>
      </c>
      <c r="J67" s="4" t="inlineStr">
        <is>
          <t>Buenos Aires · Speech</t>
        </is>
      </c>
    </row>
    <row r="68" ht="60" customHeight="1">
      <c r="A68" s="5" t="n">
        <v>66</v>
      </c>
      <c r="B68" s="5" t="inlineStr">
        <is>
          <t>D1.1</t>
        </is>
      </c>
      <c r="C68" s="4" t="inlineStr">
        <is>
          <t>Rejection of Multilateral Governance</t>
        </is>
      </c>
      <c r="D68" s="4" t="inlineStr">
        <is>
          <t>D1.1 — State Intervention &amp; Governance</t>
        </is>
      </c>
      <c r="E68" s="4" t="inlineStr">
        <is>
          <t>Rejection of Multilateral Governance</t>
        </is>
      </c>
      <c r="F68" s="4" t="inlineStr">
        <is>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is>
      </c>
      <c r="G68" s="4" t="inlineStr">
        <is>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is>
      </c>
      <c r="H68" s="4" t="inlineStr">
        <is>
          <t>Apertura Sesiones Ordinarias 2025 (143°)</t>
        </is>
      </c>
      <c r="I68" s="4" t="inlineStr">
        <is>
          <t>2025-03-01</t>
        </is>
      </c>
      <c r="J68" s="4" t="inlineStr">
        <is>
          <t>Buenos Aires · Speech</t>
        </is>
      </c>
    </row>
    <row r="69" ht="60" customHeight="1">
      <c r="A69" s="7" t="n">
        <v>67</v>
      </c>
      <c r="B69" s="7" t="inlineStr">
        <is>
          <t>D1.3</t>
        </is>
      </c>
      <c r="C69" s="4" t="inlineStr">
        <is>
          <t>Woke Bundling</t>
        </is>
      </c>
      <c r="D69" s="4" t="inlineStr">
        <is>
          <t>D1.3 — Cultural Backlash</t>
        </is>
      </c>
      <c r="E69" s="4" t="inlineStr">
        <is>
          <t>Woke Bundling</t>
        </is>
      </c>
      <c r="F69" s="4" t="inlineStr">
        <is>
          <t>Por otra parte, tenemos que recuperar el imperio de la igualdad ante la ley, terminando con este sistema de cupos de distinto tipo que impone desde a quién emplear hasta a quién votar. Hemos llegado al punto en el que hay cupos hasta para emplear gente en medios de comunicación o para la programación de artistas en un festival. Con la supuesta justificación de proteger a ciertos grupos percibidos como oprimidos, hemos perjudicado injustamente a los demás, vulnerando la igualdad ante la ley que consagra nuestra Constitución.</t>
        </is>
      </c>
      <c r="G69" s="4" t="inlineStr">
        <is>
          <t>The grouping of employment quotas (gender, diversity), media programming quotas, and electoral quotas under a single "equality-before-the-law" critique performs ideological bundling: it treats affirmative representation mechanisms as a unified progressive excess, making equality norms themselves appear as privilege rather than correction. The phrase "ciertos grupos percibidos como oprimidos" explicitly frames identity-based policy as based on perception rather than material reality — the same epistemic move used to frame climate science as perception-based rather than empirically grounded. The anti-quota framing extends the anti-"woke" frame into public institutions, preparing the terrain for applying the same logic to environmental quotas, emissions targets, and international reporting obligations.</t>
        </is>
      </c>
      <c r="H69" s="4" t="inlineStr">
        <is>
          <t>Apertura Sesiones Ordinarias 2025 (143°)</t>
        </is>
      </c>
      <c r="I69" s="4" t="inlineStr">
        <is>
          <t>2025-03-01</t>
        </is>
      </c>
      <c r="J69" s="4" t="inlineStr">
        <is>
          <t>Buenos Aires · Speech</t>
        </is>
      </c>
    </row>
    <row r="70" ht="60" customHeight="1">
      <c r="A70" s="5" t="n">
        <v>68</v>
      </c>
      <c r="B70" s="5" t="inlineStr">
        <is>
          <t>D1.1</t>
        </is>
      </c>
      <c r="C70" s="4" t="inlineStr">
        <is>
          <t>Rejection of Multilateral Governance</t>
        </is>
      </c>
      <c r="D70" s="4" t="inlineStr">
        <is>
          <t>D1.1 — State Intervention &amp; Governance</t>
        </is>
      </c>
      <c r="E70" s="4" t="inlineStr">
        <is>
          <t>Rejection of Multilateral Governance</t>
        </is>
      </c>
      <c r="F70" s="4" t="inlineStr">
        <is>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is>
      </c>
      <c r="G70" s="4" t="inlineStr">
        <is>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t>
        </is>
      </c>
      <c r="H70" s="4" t="inlineStr">
        <is>
          <t>UN General Assembly 80th</t>
        </is>
      </c>
      <c r="I70" s="4" t="inlineStr">
        <is>
          <t>2025-09-24</t>
        </is>
      </c>
      <c r="J70" s="4" t="inlineStr">
        <is>
          <t>New York · Speech</t>
        </is>
      </c>
    </row>
    <row r="71" ht="60" customHeight="1">
      <c r="A71" s="3" t="n">
        <v>69</v>
      </c>
      <c r="B71" s="3" t="inlineStr">
        <is>
          <t>D1.2</t>
        </is>
      </c>
      <c r="C71" s="4" t="inlineStr">
        <is>
          <t>Attack on Experts &amp; Technocrats</t>
        </is>
      </c>
      <c r="D71" s="4" t="inlineStr">
        <is>
          <t>D1.2 — Public Science &amp; Expertise</t>
        </is>
      </c>
      <c r="E71" s="4" t="inlineStr">
        <is>
          <t>Attack on Experts &amp; Technocrats</t>
        </is>
      </c>
      <c r="F71" s="4" t="inlineStr">
        <is>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is>
      </c>
      <c r="G71" s="4" t="inlineStr">
        <is>
          <t>"Burócratas internacionales" is the recurring personification of international governance expertise: UN climate secretariat staff, IPCC working group members, and sustainability agency personnel are "bureaucrats who impose rather than advise," denied legitimacy as technical mediators and recast as political actors pursuing their own agenda.</t>
        </is>
      </c>
      <c r="H71" s="4" t="inlineStr">
        <is>
          <t>UN General Assembly 80th</t>
        </is>
      </c>
      <c r="I71" s="4" t="inlineStr">
        <is>
          <t>2025-09-24</t>
        </is>
      </c>
      <c r="J71" s="4" t="inlineStr">
        <is>
          <t>New York · Speech</t>
        </is>
      </c>
    </row>
    <row r="72" ht="60" customHeight="1">
      <c r="A72" s="5" t="n">
        <v>70</v>
      </c>
      <c r="B72" s="5" t="inlineStr">
        <is>
          <t>D1.1</t>
        </is>
      </c>
      <c r="C72" s="4" t="inlineStr">
        <is>
          <t>Rejection of Multilateral Governance</t>
        </is>
      </c>
      <c r="D72" s="4" t="inlineStr">
        <is>
          <t>D1.1 — State Intervention &amp; Governance</t>
        </is>
      </c>
      <c r="E72" s="4" t="inlineStr">
        <is>
          <t>Rejection of Multilateral Governance</t>
        </is>
      </c>
      <c r="F72" s="4" t="inlineStr">
        <is>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is>
      </c>
      <c r="G72" s="4" t="inlineStr">
        <is>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is>
      </c>
      <c r="H72" s="4" t="inlineStr">
        <is>
          <t>UN General Assembly 80th</t>
        </is>
      </c>
      <c r="I72" s="4" t="inlineStr">
        <is>
          <t>2025-09-24</t>
        </is>
      </c>
      <c r="J72" s="4" t="inlineStr">
        <is>
          <t>New York · Speech</t>
        </is>
      </c>
    </row>
    <row r="73" ht="60" customHeight="1">
      <c r="A73" s="6" t="n">
        <v>71</v>
      </c>
      <c r="B73" s="6" t="inlineStr">
        <is>
          <t>IND</t>
        </is>
      </c>
      <c r="C73" s="4" t="inlineStr">
        <is>
          <t>Temporal Appropriation</t>
        </is>
      </c>
      <c r="D73" s="4" t="inlineStr">
        <is>
          <t>Inductive</t>
        </is>
      </c>
      <c r="E73" s="4" t="inlineStr">
        <is>
          <t>Temporal Appropriation</t>
        </is>
      </c>
      <c r="F73" s="4" t="inlineStr">
        <is>
          <t>Así, los Estados contemporáneos han entrado en una dinámica donde el interés del político siempre será sacrificar el futuro en el altar del presente porque consumir el capital acumulado genera bienestar momentáneo y ese bienestar momentáneo genera votos.</t>
        </is>
      </c>
      <c r="G73" s="4" t="inlineStr">
        <is>
          <t>"Incendian el futuro para mantener caliente el presente" is the central rhetorical move of the entire speech: intergenerational responsibility language — the moral foundation of sustainability discourse — is co-opted and directed against the 2030 Agenda and the multilateral governance apparatus. Milei appropriates the sustainability regime's own vocabulary (futurity, sacrifice-of-present, protecting future generations) and turns it against sustainability governance itself: the bureaucrats and agencies of the 2030 Agenda are the ones sacrificing the future for present bureaucratic comfort. This is the clearest and most fully developed Temporal_Appropriation instance in the corpus.</t>
        </is>
      </c>
      <c r="H73" s="4" t="inlineStr">
        <is>
          <t>UN General Assembly 80th</t>
        </is>
      </c>
      <c r="I73" s="4" t="inlineStr">
        <is>
          <t>2025-09-24</t>
        </is>
      </c>
      <c r="J73" s="4" t="inlineStr">
        <is>
          <t>New York · Speech</t>
        </is>
      </c>
    </row>
    <row r="74" ht="60" customHeight="1">
      <c r="A74" s="3" t="n">
        <v>72</v>
      </c>
      <c r="B74" s="3" t="inlineStr">
        <is>
          <t>D1.2</t>
        </is>
      </c>
      <c r="C74" s="4" t="inlineStr">
        <is>
          <t>Attack on Experts &amp; Technocrats</t>
        </is>
      </c>
      <c r="D74" s="4" t="inlineStr">
        <is>
          <t>D1.2 — Public Science &amp; Expertise</t>
        </is>
      </c>
      <c r="E74" s="4" t="inlineStr">
        <is>
          <t>Attack on Experts &amp; Technocrats</t>
        </is>
      </c>
      <c r="F74" s="4" t="inlineStr">
        <is>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is>
      </c>
      <c r="G74" s="4" t="inlineStr">
        <is>
          <t>"Hipertrofia de administraciones que son poco efectivas" characterizes the proliferation of UN agencies and programs as bureaucratic bloat producing poor results. UNEP, UNFCCC secretariat, IPCC, and SDG-linked programs are implicitly included in the indictment. If the agencies fail despite growing resources, the experts guiding them are not competent.</t>
        </is>
      </c>
      <c r="H74" s="4" t="inlineStr">
        <is>
          <t>UN General Assembly 80th</t>
        </is>
      </c>
      <c r="I74" s="4" t="inlineStr">
        <is>
          <t>2025-09-24</t>
        </is>
      </c>
      <c r="J74" s="4" t="inlineStr">
        <is>
          <t>New York · Speech</t>
        </is>
      </c>
    </row>
    <row r="75" ht="60" customHeight="1">
      <c r="A75" s="5" t="n">
        <v>73</v>
      </c>
      <c r="B75" s="5" t="inlineStr">
        <is>
          <t>D1.1</t>
        </is>
      </c>
      <c r="C75" s="4" t="inlineStr">
        <is>
          <t>Anti-State / Anti-Bureaucratic</t>
        </is>
      </c>
      <c r="D75" s="4" t="inlineStr">
        <is>
          <t>D1.1 — State Intervention &amp; Governance</t>
        </is>
      </c>
      <c r="E75" s="4" t="inlineStr">
        <is>
          <t>Anti-State / Anti-Bureaucratic</t>
        </is>
      </c>
      <c r="F75" s="4" t="inlineStr">
        <is>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is>
      </c>
      <c r="G75" s="4" t="inlineStr">
        <is>
          <t>"Capas sobre capa de organismos, agencias y programas"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 not political hostility to climate governance but consistent application of anti-bureaucratic logic.</t>
        </is>
      </c>
      <c r="H75" s="4" t="inlineStr">
        <is>
          <t>UN General Assembly 80th</t>
        </is>
      </c>
      <c r="I75" s="4" t="inlineStr">
        <is>
          <t>2025-09-24</t>
        </is>
      </c>
      <c r="J75" s="4" t="inlineStr">
        <is>
          <t>New York · Speech</t>
        </is>
      </c>
    </row>
    <row r="76" ht="60" customHeight="1">
      <c r="A76" s="5" t="n">
        <v>74</v>
      </c>
      <c r="B76" s="5" t="inlineStr">
        <is>
          <t>D1.1</t>
        </is>
      </c>
      <c r="C76" s="4" t="inlineStr">
        <is>
          <t>Sustainability as Ideological or Harmful</t>
        </is>
      </c>
      <c r="D76" s="4" t="inlineStr">
        <is>
          <t>D1.1 — State Intervention &amp; Governance</t>
        </is>
      </c>
      <c r="E76" s="4" t="inlineStr">
        <is>
          <t>Sustainability as Ideological or Harmful</t>
        </is>
      </c>
      <c r="F76" s="4"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76" s="4" t="inlineStr">
        <is>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is>
      </c>
      <c r="H76" s="4" t="inlineStr">
        <is>
          <t>UN General Assembly 80th</t>
        </is>
      </c>
      <c r="I76" s="4" t="inlineStr">
        <is>
          <t>2025-09-24</t>
        </is>
      </c>
      <c r="J76" s="4" t="inlineStr">
        <is>
          <t>New York · Speech</t>
        </is>
      </c>
    </row>
    <row r="77" ht="60" customHeight="1">
      <c r="A77" s="5" t="n">
        <v>75</v>
      </c>
      <c r="B77" s="5" t="inlineStr">
        <is>
          <t>D1.1</t>
        </is>
      </c>
      <c r="C77" s="4" t="inlineStr">
        <is>
          <t>Rejection of Multilateral Governance</t>
        </is>
      </c>
      <c r="D77" s="4" t="inlineStr">
        <is>
          <t>D1.1 — State Intervention &amp; Governance</t>
        </is>
      </c>
      <c r="E77" s="4" t="inlineStr">
        <is>
          <t>Rejection of Multilateral Governance</t>
        </is>
      </c>
      <c r="F77" s="4"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77" s="4" t="inlineStr">
        <is>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is>
      </c>
      <c r="H77" s="4" t="inlineStr">
        <is>
          <t>UN General Assembly 80th</t>
        </is>
      </c>
      <c r="I77" s="4" t="inlineStr">
        <is>
          <t>2025-09-24</t>
        </is>
      </c>
      <c r="J77" s="4" t="inlineStr">
        <is>
          <t>New York · Speech</t>
        </is>
      </c>
    </row>
    <row r="78" ht="60" customHeight="1">
      <c r="A78" s="6" t="n">
        <v>76</v>
      </c>
      <c r="B78" s="6" t="inlineStr">
        <is>
          <t>IND</t>
        </is>
      </c>
      <c r="C78" s="4" t="inlineStr">
        <is>
          <t>Temporal Appropriation</t>
        </is>
      </c>
      <c r="D78" s="4" t="inlineStr">
        <is>
          <t>Inductive</t>
        </is>
      </c>
      <c r="E78" s="4" t="inlineStr">
        <is>
          <t>Temporal Appropriation</t>
        </is>
      </c>
      <c r="F78" s="4"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78" s="4" t="inlineStr">
        <is>
          <t>"Un mal gasto de recursos escasos" used to justify exiting the 2030 Agenda completes the Temporal_Appropriation move: the framework tasked with protecting future generations is reframed as the actor wasting the scarce resources that future generations will need. The same intergenerational moral vocabulary that launched the speech ("incendian el futuro") is now applied to delegitimize the 2030 Agenda as itself guilty of sacrificing future welfare.</t>
        </is>
      </c>
      <c r="H78" s="4" t="inlineStr">
        <is>
          <t>UN General Assembly 80th</t>
        </is>
      </c>
      <c r="I78" s="4" t="inlineStr">
        <is>
          <t>2025-09-24</t>
        </is>
      </c>
      <c r="J78" s="4" t="inlineStr">
        <is>
          <t>New York · Speech</t>
        </is>
      </c>
    </row>
    <row r="79" ht="60" customHeight="1">
      <c r="A79" s="7" t="n">
        <v>77</v>
      </c>
      <c r="B79" s="7" t="inlineStr">
        <is>
          <t>D1.3</t>
        </is>
      </c>
      <c r="C79" s="4" t="inlineStr">
        <is>
          <t>Civilizational Defense</t>
        </is>
      </c>
      <c r="D79" s="4" t="inlineStr">
        <is>
          <t>D1.3 — Cultural Backlash</t>
        </is>
      </c>
      <c r="E79" s="4" t="inlineStr">
        <is>
          <t>Civilizational Defense</t>
        </is>
      </c>
      <c r="F79" s="4" t="inlineStr">
        <is>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is>
      </c>
      <c r="G79" s="4" t="inlineStr">
        <is>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is>
      </c>
      <c r="H79" s="4" t="inlineStr">
        <is>
          <t>UN General Assembly 80th</t>
        </is>
      </c>
      <c r="I79" s="4" t="inlineStr">
        <is>
          <t>2025-09-24</t>
        </is>
      </c>
      <c r="J79" s="4" t="inlineStr">
        <is>
          <t>New York · Speech</t>
        </is>
      </c>
    </row>
    <row r="80" ht="60" customHeight="1">
      <c r="A80" s="5" t="n">
        <v>78</v>
      </c>
      <c r="B80" s="5" t="inlineStr">
        <is>
          <t>D1.1</t>
        </is>
      </c>
      <c r="C80" s="4" t="inlineStr">
        <is>
          <t>Rejection of Multilateral Governance</t>
        </is>
      </c>
      <c r="D80" s="4" t="inlineStr">
        <is>
          <t>D1.1 — State Intervention &amp; Governance</t>
        </is>
      </c>
      <c r="E80" s="4" t="inlineStr">
        <is>
          <t>Rejection of Multilateral Governance</t>
        </is>
      </c>
      <c r="F80" s="4"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80" s="4" t="inlineStr">
        <is>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is>
      </c>
      <c r="H80" s="4" t="inlineStr">
        <is>
          <t>UN General Assembly 80th</t>
        </is>
      </c>
      <c r="I80" s="4" t="inlineStr">
        <is>
          <t>2025-09-24</t>
        </is>
      </c>
      <c r="J80" s="4" t="inlineStr">
        <is>
          <t>New York · Speech</t>
        </is>
      </c>
    </row>
    <row r="81" ht="60" customHeight="1">
      <c r="A81" s="5" t="n">
        <v>79</v>
      </c>
      <c r="B81" s="5" t="inlineStr">
        <is>
          <t>D1.1</t>
        </is>
      </c>
      <c r="C81" s="4" t="inlineStr">
        <is>
          <t>Deregulation Benefits</t>
        </is>
      </c>
      <c r="D81" s="4" t="inlineStr">
        <is>
          <t>D1.1 — State Intervention &amp; Governance</t>
        </is>
      </c>
      <c r="E81" s="4" t="inlineStr">
        <is>
          <t>Deregulation Benefits</t>
        </is>
      </c>
      <c r="F81" s="4"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81" s="4" t="inlineStr">
        <is>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is>
      </c>
      <c r="H81" s="4" t="inlineStr">
        <is>
          <t>UN General Assembly 80th</t>
        </is>
      </c>
      <c r="I81" s="4" t="inlineStr">
        <is>
          <t>2025-09-24</t>
        </is>
      </c>
      <c r="J81" s="4" t="inlineStr">
        <is>
          <t>New York · Speech</t>
        </is>
      </c>
    </row>
    <row r="82" ht="60" customHeight="1">
      <c r="A82" s="5" t="n">
        <v>80</v>
      </c>
      <c r="B82" s="5" t="inlineStr">
        <is>
          <t>D1.1</t>
        </is>
      </c>
      <c r="C82" s="4" t="inlineStr">
        <is>
          <t>Anti-State / Anti-Bureaucratic</t>
        </is>
      </c>
      <c r="D82" s="4" t="inlineStr">
        <is>
          <t>D1.1 — State Intervention &amp; Governance</t>
        </is>
      </c>
      <c r="E82" s="4" t="inlineStr">
        <is>
          <t>Anti-State / Anti-Bureaucratic</t>
        </is>
      </c>
      <c r="F82" s="4"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82" s="4" t="inlineStr">
        <is>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is>
      </c>
      <c r="H82" s="4" t="inlineStr">
        <is>
          <t>UN General Assembly 80th</t>
        </is>
      </c>
      <c r="I82" s="4" t="inlineStr">
        <is>
          <t>2025-09-24</t>
        </is>
      </c>
      <c r="J82" s="4" t="inlineStr">
        <is>
          <t>New York · Speech</t>
        </is>
      </c>
    </row>
    <row r="83" ht="60" customHeight="1">
      <c r="A83" s="5" t="n">
        <v>81</v>
      </c>
      <c r="B83" s="5" t="inlineStr">
        <is>
          <t>D1.1</t>
        </is>
      </c>
      <c r="C83" s="4" t="inlineStr">
        <is>
          <t>Market Primacy</t>
        </is>
      </c>
      <c r="D83" s="4" t="inlineStr">
        <is>
          <t>D1.1 — State Intervention &amp; Governance</t>
        </is>
      </c>
      <c r="E83" s="4" t="inlineStr">
        <is>
          <t>Market Primacy</t>
        </is>
      </c>
      <c r="F83" s="4" t="inlineStr">
        <is>
          <t>Therefore, the opposition between the dimensions of efficiency and justice is false and erroneous. That is to say, what is just can't be inefficient, nor can what is efficient be unjust. Actually, from the standpoint of dynamic analysis, justice and efficiency are two sides of the same coin.</t>
        </is>
      </c>
      <c r="G83" s="4" t="inlineStr">
        <is>
          <t>The Huerta de Soto dynamic efficiency argument performs a foundational move for Market_Primacy: it collapses the efficiency-justice distinction that underpins much environmental economics. In standard welfare economics, a carbon tax may be efficient (correcting an externality) while raising distributional concerns (justice). Milei's framework eliminates this tradeoff by definitional fiat: what is just (private property, voluntary exchange) is by definition efficient, and what is efficient cannot be unjust. This forecloses the standard case for environmental regulation — that a market failure produces an outcome both inefficient and unjust that state intervention can improve.</t>
        </is>
      </c>
      <c r="H83" s="4" t="inlineStr">
        <is>
          <t>WEF Davos 2026</t>
        </is>
      </c>
      <c r="I83" s="4" t="inlineStr">
        <is>
          <t>2026-01-22</t>
        </is>
      </c>
      <c r="J83" s="4" t="inlineStr">
        <is>
          <t>Davos · Speech</t>
        </is>
      </c>
    </row>
    <row r="84" ht="60" customHeight="1">
      <c r="A84" s="5" t="n">
        <v>82</v>
      </c>
      <c r="B84" s="5" t="inlineStr">
        <is>
          <t>D1.1</t>
        </is>
      </c>
      <c r="C84" s="4" t="inlineStr">
        <is>
          <t>Delegitimization of Regulation</t>
        </is>
      </c>
      <c r="D84" s="4" t="inlineStr">
        <is>
          <t>D1.1 — State Intervention &amp; Governance</t>
        </is>
      </c>
      <c r="E84" s="4" t="inlineStr">
        <is>
          <t>Delegitimization of Regulation</t>
        </is>
      </c>
      <c r="F84" s="4" t="inlineStr">
        <is>
          <t>However, this required embracing a mathematical structure that left the door open to state intervention under the well-intentioned goal of correcting market failures, which, from my perspective, do not really exist. To address this, the proof developed by Hans-Hermann Hoppe, based on property rights in line with Locke's principle of original appropriation together with the non-aggression principle, not only proves satisfactory in establishing optimality, but also leaves no room for intervention.</t>
        </is>
      </c>
      <c r="G84" s="4" t="inlineStr">
        <is>
          <t>The Hoppe property-rights proof is invoked to argue that the neoclassical framework "leaves the door open to state intervention" through the market failure concept, and that the correct theoretical framework (Lockean property rights + non-aggression principle) "leaves no room for intervention." For climate governance, this is the most philosophically grounded version of the Delegitimization_of_Regulation argument: the entire framework justifying carbon pricing and emissions regulation is replaced by a rival framework in which intervention is not merely inadvisable but logically prohibited by natural law.</t>
        </is>
      </c>
      <c r="H84" s="4" t="inlineStr">
        <is>
          <t>WEF Davos 2026</t>
        </is>
      </c>
      <c r="I84" s="4" t="inlineStr">
        <is>
          <t>2026-01-22</t>
        </is>
      </c>
      <c r="J84" s="4" t="inlineStr">
        <is>
          <t>Davos · Speech</t>
        </is>
      </c>
    </row>
    <row r="85" ht="60" customHeight="1">
      <c r="A85" s="7" t="n">
        <v>83</v>
      </c>
      <c r="B85" s="7" t="inlineStr">
        <is>
          <t>D1.3</t>
        </is>
      </c>
      <c r="C85" s="4" t="inlineStr">
        <is>
          <t>Civilizational Defense</t>
        </is>
      </c>
      <c r="D85" s="4" t="inlineStr">
        <is>
          <t>D1.3 — Cultural Backlash</t>
        </is>
      </c>
      <c r="E85" s="4" t="inlineStr">
        <is>
          <t>Civilizational Defense</t>
        </is>
      </c>
      <c r="F85" s="4" t="inlineStr">
        <is>
          <t>In turn, in 2025, I explained the mental parasites sown by the left in humanity. Therefore, today more than ever, in the face of the ethical and moral degradation afflicting the West as a result of embracing the new socialist agenda, it is necessary to once again promote the ideas of freedom.</t>
        </is>
      </c>
      <c r="G85" s="4" t="inlineStr">
        <is>
          <t>"Ethical and moral degradation afflicting the West as a result of embracing the new socialist agenda" restates the Civilizational_Defense master frame from Davos 2024 and 2025, condensed to a single sentence. The reference to "mental parasites sown by the left" (2025 speech) — which explicitly enumerated radical environmentalism — links this speech's philosophical argument directly to the prior year's attack on climate governance. The current speech does not need to repeat the climate-specific argument; the philosophical foundation presented here is the theoretical grounding for it.</t>
        </is>
      </c>
      <c r="H85" s="4" t="inlineStr">
        <is>
          <t>WEF Davos 2026</t>
        </is>
      </c>
      <c r="I85" s="4" t="inlineStr">
        <is>
          <t>2026-01-22</t>
        </is>
      </c>
      <c r="J85" s="4" t="inlineStr">
        <is>
          <t>Davos · Speech</t>
        </is>
      </c>
    </row>
    <row r="86" ht="60" customHeight="1">
      <c r="A86" s="5" t="n">
        <v>84</v>
      </c>
      <c r="B86" s="5" t="inlineStr">
        <is>
          <t>D1.1</t>
        </is>
      </c>
      <c r="C86" s="4" t="inlineStr">
        <is>
          <t>Delegitimization of Regulation</t>
        </is>
      </c>
      <c r="D86" s="4" t="inlineStr">
        <is>
          <t>D1.1 — State Intervention &amp; Governance</t>
        </is>
      </c>
      <c r="E86" s="4" t="inlineStr">
        <is>
          <t>Delegitimization of Regulation</t>
        </is>
      </c>
      <c r="F86" s="4" t="inlineStr">
        <is>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is>
      </c>
      <c r="G86" s="4" t="inlineStr">
        <is>
          <t>"Intervention and regulation are dynamically inefficient because they are violent and therefore unjust" is the most compressed and philosophically grounded Delegitimization_of_Regulation in the corpus. The argument flows from natural law (non-aggression principle) through property rights theory to a categorical moral-and-efficiency condemnation. Environmental regulation — carbon taxes, emissions standards, green mandates — violates property rights, punishes profits, and is therefore both unjust and dynamically inefficient. The dual characterization (violent + unjust) is more comprehensive than prior formulations, which typically argued only that regulation was harmful.</t>
        </is>
      </c>
      <c r="H86" s="4" t="inlineStr">
        <is>
          <t>WEF Davos 2026</t>
        </is>
      </c>
      <c r="I86" s="4" t="inlineStr">
        <is>
          <t>2026-01-22</t>
        </is>
      </c>
      <c r="J86" s="4" t="inlineStr">
        <is>
          <t>Davos · Speech</t>
        </is>
      </c>
    </row>
    <row r="87" ht="60" customHeight="1">
      <c r="A87" s="5" t="n">
        <v>85</v>
      </c>
      <c r="B87" s="5" t="inlineStr">
        <is>
          <t>D1.1</t>
        </is>
      </c>
      <c r="C87" s="4" t="inlineStr">
        <is>
          <t>Deregulation Benefits</t>
        </is>
      </c>
      <c r="D87" s="4" t="inlineStr">
        <is>
          <t>D1.1 — State Intervention &amp; Governance</t>
        </is>
      </c>
      <c r="E87" s="4" t="inlineStr">
        <is>
          <t>Deregulation Benefits</t>
        </is>
      </c>
      <c r="F87" s="4" t="inlineStr">
        <is>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is>
      </c>
      <c r="G87" s="4" t="inlineStr">
        <is>
          <t>The positive case is structurally present: if regulation is violent and inefficient, then removing it restores both justice and efficiency simultaneously. "Economy's potential growth declines when profits are punished" — removing environmental regulations restores profit incentives, increases investment, and raises growth. Deregulation_Benefits at the level of foundational political economy: not just that deregulation produces better outcomes, but that it is what justice requires.</t>
        </is>
      </c>
      <c r="H87" s="4" t="inlineStr">
        <is>
          <t>WEF Davos 2026</t>
        </is>
      </c>
      <c r="I87" s="4" t="inlineStr">
        <is>
          <t>2026-01-22</t>
        </is>
      </c>
      <c r="J87" s="4" t="inlineStr">
        <is>
          <t>Davos · Speech</t>
        </is>
      </c>
    </row>
    <row r="88" ht="60" customHeight="1">
      <c r="A88" s="5" t="n">
        <v>86</v>
      </c>
      <c r="B88" s="5" t="inlineStr">
        <is>
          <t>D1.1</t>
        </is>
      </c>
      <c r="C88" s="4" t="inlineStr">
        <is>
          <t>Deregulation Benefits</t>
        </is>
      </c>
      <c r="D88" s="4" t="inlineStr">
        <is>
          <t>D1.1 — State Intervention &amp; Governance</t>
        </is>
      </c>
      <c r="E88" s="4" t="inlineStr">
        <is>
          <t>Deregulation Benefits</t>
        </is>
      </c>
      <c r="F88" s="4" t="inlineStr">
        <is>
          <t>Note that along the same lines, we can also address the issue of artificial intelligence. Therefore, the most responsible thing states can do regarding this issue is to stop pestering those who are creating a better world.</t>
        </is>
      </c>
      <c r="G88" s="4" t="inlineStr">
        <is>
          <t>"The most responsible thing states can do is to stop pestering those who are creating a better world" — deregulation prescription applied to AI, but the logic is explicitly general and applies identically to climate technology (clean energy, carbon capture, EVs). The "pestering" metaphor diminishes regulatory intervention as petty harassment of innovators rather than legitimate public policy, pre-empting any case for green industrial mandates, technology standards, or innovation requirements.</t>
        </is>
      </c>
      <c r="H88" s="4" t="inlineStr">
        <is>
          <t>WEF Davos 2026</t>
        </is>
      </c>
      <c r="I88" s="4" t="inlineStr">
        <is>
          <t>2026-01-22</t>
        </is>
      </c>
      <c r="J88" s="4" t="inlineStr">
        <is>
          <t>Davos · Speech</t>
        </is>
      </c>
    </row>
    <row r="89" ht="60" customHeight="1">
      <c r="A89" s="7" t="n">
        <v>87</v>
      </c>
      <c r="B89" s="7" t="inlineStr">
        <is>
          <t>D1.3</t>
        </is>
      </c>
      <c r="C89" s="4" t="inlineStr">
        <is>
          <t>Civilizational Defense</t>
        </is>
      </c>
      <c r="D89" s="4" t="inlineStr">
        <is>
          <t>D1.3 — Cultural Backlash</t>
        </is>
      </c>
      <c r="E89" s="4" t="inlineStr">
        <is>
          <t>Civilizational Defense</t>
        </is>
      </c>
      <c r="F89" s="4" t="inlineStr">
        <is>
          <t>However, 2026 is the year in which I bring you good news. The world has begun to awaken. The best proof of this is what is happening in the Americas with the rebirth of the ideas of liberty. Therefore, the Americas will be the beacon of light that will once again illuminate the entire West, thereby repaying the civilizational debt with expressions of gratitude towards the foundations in Greek philosophy, Roman law and Judeo-Christian values.</t>
        </is>
      </c>
      <c r="G89" s="4" t="inlineStr">
        <is>
          <t>The three-year Davos arc (2024: West in danger; 2025: battle not yet won; 2026: world awakening) is consolidated into a progressive civilizational recovery narrative. Climate governance — previously identified with "wokeism in its most hypocritical form" — is implicitly receding along with the broader woke project. The "Americas as beacon of light" framing positions the U.S.-Argentina axis (both having defected from multilateral climate commitments) as the civilizational vanguard, normalizing climate obstruction as the leading edge of Western renewal. The Judeo-Christian values reference grounds the civilization in religious tradition, raising the moral stakes beyond policy disagreement.</t>
        </is>
      </c>
      <c r="H89" s="4" t="inlineStr">
        <is>
          <t>WEF Davos 2026</t>
        </is>
      </c>
      <c r="I89" s="4" t="inlineStr">
        <is>
          <t>2026-01-22</t>
        </is>
      </c>
      <c r="J89" s="4" t="inlineStr">
        <is>
          <t>Davos · Speech</t>
        </is>
      </c>
    </row>
    <row r="90" ht="60" customHeight="1">
      <c r="A90" s="7" t="n">
        <v>88</v>
      </c>
      <c r="B90" s="7" t="inlineStr">
        <is>
          <t>D1.3</t>
        </is>
      </c>
      <c r="C90" s="4" t="inlineStr">
        <is>
          <t>Civilizational Defense</t>
        </is>
      </c>
      <c r="D90" s="4" t="inlineStr">
        <is>
          <t>D1.3 — Cultural Backlash</t>
        </is>
      </c>
      <c r="E90" s="4" t="inlineStr">
        <is>
          <t>Civilizational Defense</t>
        </is>
      </c>
      <c r="F90" s="4" t="inlineStr">
        <is>
          <t>En segundo lugar, ubicamos la eficiencia económica. En segundo lugar, ubicamos la eficiencia económica. Y, por último, en tercer lugar, el utilitarismo político. En este sentido, cuando una política es justa, estos tres elementos estarán alineados; mientras que cuando estén en tensión, eso será una muestra de que dicha política es injusta.</t>
        </is>
      </c>
      <c r="G90" s="4" t="inlineStr">
        <is>
          <t>The explicit ordering of moral values — Western ethics/morality first, economic efficiency second, political utilitarianism third — establishes a normative hierarchy in which "Occidente" (Greek philosophy, Roman law, Judeo-Christian values) is the foundational reference for all legitimate policy. This is the most philosophically developed version of the civilizational frame in the corpus: it doesn't just invoke Western civilization as a rhetorical flourish but constructs it as a formal policy criterion. Sustainability governance and environmental science, which often invoke collective/intergenerational obligations that cut across individual rights, are implicitly subordinate to this Western-individual-rights framework. Climate policy that invokes the 2030 Agenda or IPCC consensus falls outside the "moral" primary category by definition — it would be classified as "utilitarismo político" at best.</t>
        </is>
      </c>
      <c r="H90" s="4" t="inlineStr">
        <is>
          <t>Apertura Sesiones Ordinarias 2026 (144°)</t>
        </is>
      </c>
      <c r="I90" s="4" t="inlineStr">
        <is>
          <t>2026-03-01</t>
        </is>
      </c>
      <c r="J90" s="4" t="inlineStr">
        <is>
          <t>Buenos Aires · Speech</t>
        </is>
      </c>
    </row>
    <row r="91" ht="60" customHeight="1">
      <c r="A91" s="5" t="n">
        <v>89</v>
      </c>
      <c r="B91" s="5" t="inlineStr">
        <is>
          <t>D1.1</t>
        </is>
      </c>
      <c r="C91" s="4" t="inlineStr">
        <is>
          <t>Deregulation Benefits</t>
        </is>
      </c>
      <c r="D91" s="4" t="inlineStr">
        <is>
          <t>D1.1 — State Intervention &amp; Governance</t>
        </is>
      </c>
      <c r="E91" s="4" t="inlineStr">
        <is>
          <t>Deregulation Benefits</t>
        </is>
      </c>
      <c r="F91" s="4" t="inlineStr">
        <is>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is>
      </c>
      <c r="G91" s="4" t="inlineStr">
        <is>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is>
      </c>
      <c r="H91" s="4" t="inlineStr">
        <is>
          <t>Apertura Sesiones Ordinarias 2026 (144°)</t>
        </is>
      </c>
      <c r="I91" s="4" t="inlineStr">
        <is>
          <t>2026-03-01</t>
        </is>
      </c>
      <c r="J91" s="4" t="inlineStr">
        <is>
          <t>Buenos Aires · Speech</t>
        </is>
      </c>
    </row>
    <row r="92" ht="60" customHeight="1">
      <c r="A92" s="7" t="n">
        <v>90</v>
      </c>
      <c r="B92" s="7" t="inlineStr">
        <is>
          <t>D1.3</t>
        </is>
      </c>
      <c r="C92" s="4" t="inlineStr">
        <is>
          <t>Civilizational Defense</t>
        </is>
      </c>
      <c r="D92" s="4" t="inlineStr">
        <is>
          <t>D1.3 — Cultural Backlash</t>
        </is>
      </c>
      <c r="E92" s="4" t="inlineStr">
        <is>
          <t>Civilizational Defense</t>
        </is>
      </c>
      <c r="F92" s="4" t="inlineStr">
        <is>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is>
      </c>
      <c r="G92" s="4" t="inlineStr">
        <is>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is>
      </c>
      <c r="H92" s="4" t="inlineStr">
        <is>
          <t>Apertura Sesiones Ordinarias 2026 (144°)</t>
        </is>
      </c>
      <c r="I92" s="4" t="inlineStr">
        <is>
          <t>2026-03-01</t>
        </is>
      </c>
      <c r="J92" s="4" t="inlineStr">
        <is>
          <t>Buenos Aires · Speech</t>
        </is>
      </c>
    </row>
    <row r="93" ht="60" customHeight="1">
      <c r="A93" s="5" t="n">
        <v>91</v>
      </c>
      <c r="B93" s="5" t="inlineStr">
        <is>
          <t>D1.1</t>
        </is>
      </c>
      <c r="C93" s="4" t="inlineStr">
        <is>
          <t>Sustainability as Ideological or Harmful</t>
        </is>
      </c>
      <c r="D93" s="4" t="inlineStr">
        <is>
          <t>D1.1 — State Intervention &amp; Governance</t>
        </is>
      </c>
      <c r="E93" s="4" t="inlineStr">
        <is>
          <t>Sustainability as Ideological or Harmful</t>
        </is>
      </c>
      <c r="F93" s="4" t="inlineStr">
        <is>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is>
      </c>
      <c r="G93" s="4" t="inlineStr">
        <is>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is>
      </c>
      <c r="H93" s="4" t="inlineStr">
        <is>
          <t>Apertura Sesiones Ordinarias 2026 (144°)</t>
        </is>
      </c>
      <c r="I93" s="4" t="inlineStr">
        <is>
          <t>2026-03-01</t>
        </is>
      </c>
      <c r="J93" s="4" t="inlineStr">
        <is>
          <t>Buenos Aires · Speech</t>
        </is>
      </c>
    </row>
    <row r="94" ht="60" customHeight="1">
      <c r="A94" s="5" t="n">
        <v>92</v>
      </c>
      <c r="B94" s="5" t="inlineStr">
        <is>
          <t>D1.1</t>
        </is>
      </c>
      <c r="C94" s="4" t="inlineStr">
        <is>
          <t>Delegitimization of Regulation</t>
        </is>
      </c>
      <c r="D94" s="4" t="inlineStr">
        <is>
          <t>D1.1 — State Intervention &amp; Governance</t>
        </is>
      </c>
      <c r="E94" s="4" t="inlineStr">
        <is>
          <t>Delegitimization of Regulation</t>
        </is>
      </c>
      <c r="F94" s="4" t="inlineStr">
        <is>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is>
      </c>
      <c r="G94" s="4" t="inlineStr">
        <is>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is>
      </c>
      <c r="H94" s="4" t="inlineStr">
        <is>
          <t>Apertura Sesiones Ordinarias 2026 (144°)</t>
        </is>
      </c>
      <c r="I94" s="4" t="inlineStr">
        <is>
          <t>2026-03-01</t>
        </is>
      </c>
      <c r="J94" s="4" t="inlineStr">
        <is>
          <t>Buenos Aires · Speech</t>
        </is>
      </c>
    </row>
    <row r="95" ht="60" customHeight="1">
      <c r="A95" s="5" t="n">
        <v>93</v>
      </c>
      <c r="B95" s="5" t="inlineStr">
        <is>
          <t>D1.1</t>
        </is>
      </c>
      <c r="C95" s="4" t="inlineStr">
        <is>
          <t>Anti-State / Anti-Bureaucratic</t>
        </is>
      </c>
      <c r="D95" s="4" t="inlineStr">
        <is>
          <t>D1.1 — State Intervention &amp; Governance</t>
        </is>
      </c>
      <c r="E95" s="4" t="inlineStr">
        <is>
          <t>Anti-State / Anti-Bureaucratic</t>
        </is>
      </c>
      <c r="F95" s="4" t="inlineStr">
        <is>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is>
      </c>
      <c r="G95" s="4" t="inlineStr">
        <is>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is>
      </c>
      <c r="H95" s="4" t="inlineStr">
        <is>
          <t>Apertura Sesiones Ordinarias 2026 (144°)</t>
        </is>
      </c>
      <c r="I95" s="4" t="inlineStr">
        <is>
          <t>2026-03-01</t>
        </is>
      </c>
      <c r="J95" s="4" t="inlineStr">
        <is>
          <t>Buenos Aires · Speech</t>
        </is>
      </c>
    </row>
    <row r="96" ht="60" customHeight="1">
      <c r="A96" s="5" t="n">
        <v>94</v>
      </c>
      <c r="B96" s="5" t="inlineStr">
        <is>
          <t>D1.1</t>
        </is>
      </c>
      <c r="C96" s="4" t="inlineStr">
        <is>
          <t>Rejection of Multilateral Governance</t>
        </is>
      </c>
      <c r="D96" s="4" t="inlineStr">
        <is>
          <t>D1.1 — State Intervention &amp; Governance</t>
        </is>
      </c>
      <c r="E96" s="4" t="inlineStr">
        <is>
          <t>Rejection of Multilateral Governance</t>
        </is>
      </c>
      <c r="F96" s="4" t="inlineStr">
        <is>
          <t>La era de la cooperación global sin brújula moral ha terminado. Entramos a una nueva era de grandes naciones que compiten por asegurarse cadenas de valor verticales. Y en este mundo, cada vez más, partirán las aguas entre las naciones libres y las naciones sometidas.</t>
        </is>
      </c>
      <c r="G96" s="4" t="inlineStr">
        <is>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is>
      </c>
      <c r="H96" s="4" t="inlineStr">
        <is>
          <t>Apertura Sesiones Ordinarias 2026 (144°)</t>
        </is>
      </c>
      <c r="I96" s="4" t="inlineStr">
        <is>
          <t>2026-03-01</t>
        </is>
      </c>
      <c r="J96" s="4" t="inlineStr">
        <is>
          <t>Buenos Aires · Speech</t>
        </is>
      </c>
    </row>
    <row r="97" ht="60" customHeight="1">
      <c r="A97" s="5" t="n">
        <v>95</v>
      </c>
      <c r="B97" s="5" t="inlineStr">
        <is>
          <t>D1.1</t>
        </is>
      </c>
      <c r="C97" s="4" t="inlineStr">
        <is>
          <t>Market Primacy</t>
        </is>
      </c>
      <c r="D97" s="4" t="inlineStr">
        <is>
          <t>D1.1 — State Intervention &amp; Governance</t>
        </is>
      </c>
      <c r="E97" s="4" t="inlineStr">
        <is>
          <t>Market Primacy</t>
        </is>
      </c>
      <c r="F97" s="4" t="inlineStr">
        <is>
          <t>Tenemos los minerales críticos que necesita Occidente, tenemos la energía: gas, petróleo, energía nuclear y energía renovable para abastecer cadenas de producción de escala. Tenemos tierra, agua y capacidad agroindustrial para garantizar la seguridad alimentaria del hemisferio. Y tenemos la ubicación: el extremo sur del continente, con salida a los dos océanos y presencia en la Antártida. Somos un eslabón natural de la cadena de valor estratégica de Occidente.</t>
        </is>
      </c>
      <c r="G97" s="4" t="inlineStr">
        <is>
          <t>The framing of Argentina's natural resources — including gas, petróleo (conventional and unconventional), and nuclear energy, alongside renewables — as strategic assets serving "Occidente" positions resource extraction as geopolitically necessary and morally justified. By listing fossil fuels and renewables together without distinction under Argentina's strategic resource profile, this passage neutralizes the climate-energy transition narrative: all energy resources are equally valuable as Occidental strategic assets, and the distinction between high-carbon and low-carbon energy (which is central to climate policy) is irrelevant. The market-primacy mechanism here is not explicit (free markets solve problems) but strategic: what matters is comparative advantage and resource endowment, not sustainability governance.</t>
        </is>
      </c>
      <c r="H97" s="4" t="inlineStr">
        <is>
          <t>Apertura Sesiones Ordinarias 2026 (144°)</t>
        </is>
      </c>
      <c r="I97" s="4" t="inlineStr">
        <is>
          <t>2026-03-01</t>
        </is>
      </c>
      <c r="J97" s="4" t="inlineStr">
        <is>
          <t>Buenos Aires · Speech</t>
        </is>
      </c>
    </row>
    <row r="98" ht="60" customHeight="1">
      <c r="A98" s="5" t="n">
        <v>96</v>
      </c>
      <c r="B98" s="5" t="inlineStr">
        <is>
          <t>D1.1</t>
        </is>
      </c>
      <c r="C98" s="4" t="inlineStr">
        <is>
          <t>Anti-Casta (Elite Frame)</t>
        </is>
      </c>
      <c r="D98" s="4" t="inlineStr">
        <is>
          <t>D1.1 — State Intervention &amp; Governance</t>
        </is>
      </c>
      <c r="E98" s="4" t="inlineStr">
        <is>
          <t>Anti-Casta (Elite Frame)</t>
        </is>
      </c>
      <c r="F98" s="4" t="inlineStr">
        <is>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is>
      </c>
      <c r="G98" s="4" t="inlineStr">
        <is>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is>
      </c>
      <c r="H98" s="4" t="inlineStr">
        <is>
          <t>Apertura Sesiones Ordinarias 2026 (144°)</t>
        </is>
      </c>
      <c r="I98" s="4" t="inlineStr">
        <is>
          <t>2026-03-01</t>
        </is>
      </c>
      <c r="J98" s="4" t="inlineStr">
        <is>
          <t>Buenos Aires · Speech</t>
        </is>
      </c>
    </row>
    <row r="99" ht="60" customHeight="1">
      <c r="A99" s="7" t="n">
        <v>97</v>
      </c>
      <c r="B99" s="7" t="inlineStr">
        <is>
          <t>D1.3</t>
        </is>
      </c>
      <c r="C99" s="4" t="inlineStr">
        <is>
          <t>Neo-Marxism</t>
        </is>
      </c>
      <c r="D99" s="4" t="inlineStr">
        <is>
          <t>D1.3 — Cultural Backlash</t>
        </is>
      </c>
      <c r="E99" s="4" t="inlineStr">
        <is>
          <t>Neo-Marxism</t>
        </is>
      </c>
      <c r="F99" s="4" t="inlineStr">
        <is>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is>
      </c>
      <c r="G99" s="4" t="inlineStr">
        <is>
          <t>The framing of "la verdadera batalla de nuestro tiempo" as cultural, philosophical, and moral — a battle between the "system that lifted millions from poverty" (capitalism/market freedom) and an unnamed adversary — is the neo-Marxism code at its most developed. The adversary is implicitly socialism/collectivism, and the climate governance regime is implicitly on the collectivist side: it involves state planning, expert mediation, and redistribution of present consumption toward future generations. The closing formulation — "gobernar para los argentinos de mañana" — is analytically notable because it appropriates the intergenerational responsibility language of sustainability (governing for future generations) while deploying it against climate policy (which in this framing dilapidates the future by redistributing in the present). This is a sophisticated version of the Temporal_Appropriation inductive category.</t>
        </is>
      </c>
      <c r="H99" s="4" t="inlineStr">
        <is>
          <t>Apertura Sesiones Ordinarias 2026 (144°)</t>
        </is>
      </c>
      <c r="I99" s="4" t="inlineStr">
        <is>
          <t>2026-03-01</t>
        </is>
      </c>
      <c r="J99" s="4" t="inlineStr">
        <is>
          <t>Buenos Aires · Speech</t>
        </is>
      </c>
    </row>
    <row r="100" ht="60" customHeight="1">
      <c r="A100" s="6" t="n">
        <v>98</v>
      </c>
      <c r="B100" s="6" t="inlineStr">
        <is>
          <t>IND</t>
        </is>
      </c>
      <c r="C100" s="4" t="inlineStr">
        <is>
          <t>Temporal Appropriation</t>
        </is>
      </c>
      <c r="D100" s="4" t="inlineStr">
        <is>
          <t>Inductive</t>
        </is>
      </c>
      <c r="E100" s="4" t="inlineStr">
        <is>
          <t>Temporal Appropriation</t>
        </is>
      </c>
      <c r="F100" s="4" t="inlineStr">
        <is>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is>
      </c>
      <c r="G100" s="4" t="inlineStr">
        <is>
          <t>The contrast between a "nación inmadura que dilapida el futuro para repartir beneficios en el presente" and a "nación madura que planifica las reglas de juego para que haya presente y futuro" inverts the sustainability discourse's intergenerational frame. Climate governance's core moral claim is that present consumption sacrifices the future; here, Milei appropriates that moral structure to argue that state redistribution (including sustainability programs) is what sacrifices the future, while market freedom is what "plans for both present and future." The inversion is structurally identical to the UN 2025 passage already coded as Temporal_Appropriation — confirming the category's recurrence across the corpus.</t>
        </is>
      </c>
      <c r="H100" s="4" t="inlineStr">
        <is>
          <t>Apertura Sesiones Ordinarias 2026 (144°)</t>
        </is>
      </c>
      <c r="I100" s="4" t="inlineStr">
        <is>
          <t>2026-03-01</t>
        </is>
      </c>
      <c r="J100" s="4" t="inlineStr">
        <is>
          <t>Buenos Aires · Speech</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10" customWidth="1" min="12" max="12"/>
  </cols>
  <sheetData>
    <row r="1">
      <c r="A1" s="8" t="inlineStr">
        <is>
          <t>Code Frequency by Dimension × Speech  —  values update automatically from 'Coded Passages'</t>
        </is>
      </c>
    </row>
    <row r="2">
      <c r="A2" s="2" t="inlineStr">
        <is>
          <t>Dimension</t>
        </is>
      </c>
      <c r="B2" s="2" t="inlineStr">
        <is>
          <t>Dimension (Full)</t>
        </is>
      </c>
      <c r="C2" s="2" t="inlineStr">
        <is>
          <t>Debate Presidencial 2023</t>
        </is>
      </c>
      <c r="D2" s="2" t="inlineStr">
        <is>
          <t>WEF Davos 2024</t>
        </is>
      </c>
      <c r="E2" s="2" t="inlineStr">
        <is>
          <t>Apertura Sesiones Ordinarias 2024 (142°)</t>
        </is>
      </c>
      <c r="F2" s="2" t="inlineStr">
        <is>
          <t>UN General Assembly 79th</t>
        </is>
      </c>
      <c r="G2" s="2" t="inlineStr">
        <is>
          <t>WEF Davos 2025</t>
        </is>
      </c>
      <c r="H2" s="2" t="inlineStr">
        <is>
          <t>Apertura Sesiones Ordinarias 2025 (143°)</t>
        </is>
      </c>
      <c r="I2" s="2" t="inlineStr">
        <is>
          <t>UN General Assembly 80th</t>
        </is>
      </c>
      <c r="J2" s="2" t="inlineStr">
        <is>
          <t>WEF Davos 2026</t>
        </is>
      </c>
      <c r="K2" s="2" t="inlineStr">
        <is>
          <t>Apertura Sesiones Ordinarias 2026 (144°)</t>
        </is>
      </c>
      <c r="L2" s="2" t="inlineStr">
        <is>
          <t>TOTAL</t>
        </is>
      </c>
      <c r="M2" s="2" t="inlineStr"/>
      <c r="N2" s="2" t="inlineStr">
        <is>
          <t>Dimension</t>
        </is>
      </c>
      <c r="O2" s="2" t="inlineStr">
        <is>
          <t>Total</t>
        </is>
      </c>
    </row>
    <row r="3">
      <c r="A3" s="9" t="inlineStr">
        <is>
          <t>D1.1</t>
        </is>
      </c>
      <c r="B3">
        <f>COUNTIFS('Coded Passages'!$B:$B,$A3,'Coded Passages'!$H:$H,B$2)</f>
        <v/>
      </c>
      <c r="C3">
        <f>COUNTIFS('Coded Passages'!$B:$B,$A3,'Coded Passages'!$H:$H,C$2)</f>
        <v/>
      </c>
      <c r="D3">
        <f>COUNTIFS('Coded Passages'!$B:$B,$A3,'Coded Passages'!$H:$H,D$2)</f>
        <v/>
      </c>
      <c r="E3">
        <f>COUNTIFS('Coded Passages'!$B:$B,$A3,'Coded Passages'!$H:$H,E$2)</f>
        <v/>
      </c>
      <c r="F3">
        <f>COUNTIFS('Coded Passages'!$B:$B,$A3,'Coded Passages'!$H:$H,F$2)</f>
        <v/>
      </c>
      <c r="G3">
        <f>COUNTIFS('Coded Passages'!$B:$B,$A3,'Coded Passages'!$H:$H,G$2)</f>
        <v/>
      </c>
      <c r="H3">
        <f>COUNTIFS('Coded Passages'!$B:$B,$A3,'Coded Passages'!$H:$H,H$2)</f>
        <v/>
      </c>
      <c r="I3">
        <f>COUNTIFS('Coded Passages'!$B:$B,$A3,'Coded Passages'!$H:$H,I$2)</f>
        <v/>
      </c>
      <c r="J3">
        <f>COUNTIFS('Coded Passages'!$B:$B,$A3,'Coded Passages'!$H:$H,J$2)</f>
        <v/>
      </c>
      <c r="L3">
        <f>SUM(C3:K3)</f>
        <v/>
      </c>
      <c r="N3" t="inlineStr">
        <is>
          <t>D1.1</t>
        </is>
      </c>
      <c r="O3">
        <f>I3</f>
        <v/>
      </c>
    </row>
    <row r="4">
      <c r="A4" s="9" t="inlineStr">
        <is>
          <t>D1.2</t>
        </is>
      </c>
      <c r="B4">
        <f>COUNTIFS('Coded Passages'!$B:$B,$A4,'Coded Passages'!$H:$H,B$2)</f>
        <v/>
      </c>
      <c r="C4">
        <f>COUNTIFS('Coded Passages'!$B:$B,$A4,'Coded Passages'!$H:$H,C$2)</f>
        <v/>
      </c>
      <c r="D4">
        <f>COUNTIFS('Coded Passages'!$B:$B,$A4,'Coded Passages'!$H:$H,D$2)</f>
        <v/>
      </c>
      <c r="E4">
        <f>COUNTIFS('Coded Passages'!$B:$B,$A4,'Coded Passages'!$H:$H,E$2)</f>
        <v/>
      </c>
      <c r="F4">
        <f>COUNTIFS('Coded Passages'!$B:$B,$A4,'Coded Passages'!$H:$H,F$2)</f>
        <v/>
      </c>
      <c r="G4">
        <f>COUNTIFS('Coded Passages'!$B:$B,$A4,'Coded Passages'!$H:$H,G$2)</f>
        <v/>
      </c>
      <c r="H4">
        <f>COUNTIFS('Coded Passages'!$B:$B,$A4,'Coded Passages'!$H:$H,H$2)</f>
        <v/>
      </c>
      <c r="I4">
        <f>COUNTIFS('Coded Passages'!$B:$B,$A4,'Coded Passages'!$H:$H,I$2)</f>
        <v/>
      </c>
      <c r="J4">
        <f>COUNTIFS('Coded Passages'!$B:$B,$A4,'Coded Passages'!$H:$H,J$2)</f>
        <v/>
      </c>
      <c r="L4">
        <f>SUM(C4:K4)</f>
        <v/>
      </c>
      <c r="N4" t="inlineStr">
        <is>
          <t>D1.2</t>
        </is>
      </c>
      <c r="O4">
        <f>I4</f>
        <v/>
      </c>
    </row>
    <row r="5">
      <c r="A5" s="9" t="inlineStr">
        <is>
          <t>D1.3</t>
        </is>
      </c>
      <c r="B5">
        <f>COUNTIFS('Coded Passages'!$B:$B,$A5,'Coded Passages'!$H:$H,B$2)</f>
        <v/>
      </c>
      <c r="C5">
        <f>COUNTIFS('Coded Passages'!$B:$B,$A5,'Coded Passages'!$H:$H,C$2)</f>
        <v/>
      </c>
      <c r="D5">
        <f>COUNTIFS('Coded Passages'!$B:$B,$A5,'Coded Passages'!$H:$H,D$2)</f>
        <v/>
      </c>
      <c r="E5">
        <f>COUNTIFS('Coded Passages'!$B:$B,$A5,'Coded Passages'!$H:$H,E$2)</f>
        <v/>
      </c>
      <c r="F5">
        <f>COUNTIFS('Coded Passages'!$B:$B,$A5,'Coded Passages'!$H:$H,F$2)</f>
        <v/>
      </c>
      <c r="G5">
        <f>COUNTIFS('Coded Passages'!$B:$B,$A5,'Coded Passages'!$H:$H,G$2)</f>
        <v/>
      </c>
      <c r="H5">
        <f>COUNTIFS('Coded Passages'!$B:$B,$A5,'Coded Passages'!$H:$H,H$2)</f>
        <v/>
      </c>
      <c r="I5">
        <f>COUNTIFS('Coded Passages'!$B:$B,$A5,'Coded Passages'!$H:$H,I$2)</f>
        <v/>
      </c>
      <c r="J5">
        <f>COUNTIFS('Coded Passages'!$B:$B,$A5,'Coded Passages'!$H:$H,J$2)</f>
        <v/>
      </c>
      <c r="L5">
        <f>SUM(C5:K5)</f>
        <v/>
      </c>
      <c r="N5" t="inlineStr">
        <is>
          <t>D1.3</t>
        </is>
      </c>
      <c r="O5">
        <f>I5</f>
        <v/>
      </c>
    </row>
    <row r="6">
      <c r="A6" s="9" t="inlineStr">
        <is>
          <t>IND</t>
        </is>
      </c>
      <c r="B6">
        <f>COUNTIFS('Coded Passages'!$B:$B,$A6,'Coded Passages'!$H:$H,B$2)</f>
        <v/>
      </c>
      <c r="C6">
        <f>COUNTIFS('Coded Passages'!$B:$B,$A6,'Coded Passages'!$H:$H,C$2)</f>
        <v/>
      </c>
      <c r="D6">
        <f>COUNTIFS('Coded Passages'!$B:$B,$A6,'Coded Passages'!$H:$H,D$2)</f>
        <v/>
      </c>
      <c r="E6">
        <f>COUNTIFS('Coded Passages'!$B:$B,$A6,'Coded Passages'!$H:$H,E$2)</f>
        <v/>
      </c>
      <c r="F6">
        <f>COUNTIFS('Coded Passages'!$B:$B,$A6,'Coded Passages'!$H:$H,F$2)</f>
        <v/>
      </c>
      <c r="G6">
        <f>COUNTIFS('Coded Passages'!$B:$B,$A6,'Coded Passages'!$H:$H,G$2)</f>
        <v/>
      </c>
      <c r="H6">
        <f>COUNTIFS('Coded Passages'!$B:$B,$A6,'Coded Passages'!$H:$H,H$2)</f>
        <v/>
      </c>
      <c r="I6">
        <f>COUNTIFS('Coded Passages'!$B:$B,$A6,'Coded Passages'!$H:$H,I$2)</f>
        <v/>
      </c>
      <c r="J6">
        <f>COUNTIFS('Coded Passages'!$B:$B,$A6,'Coded Passages'!$H:$H,J$2)</f>
        <v/>
      </c>
      <c r="L6">
        <f>SUM(C6:K6)</f>
        <v/>
      </c>
      <c r="N6" t="inlineStr">
        <is>
          <t>IND</t>
        </is>
      </c>
      <c r="O6">
        <f>I6</f>
        <v/>
      </c>
    </row>
    <row r="7">
      <c r="A7" s="9" t="inlineStr">
        <is>
          <t>TOTAL</t>
        </is>
      </c>
      <c r="B7" s="9" t="inlineStr">
        <is>
          <t>All Dimensions</t>
        </is>
      </c>
      <c r="C7" s="9">
        <f>SUM(C3:C6)</f>
        <v/>
      </c>
      <c r="D7" s="9">
        <f>SUM(D3:D6)</f>
        <v/>
      </c>
      <c r="E7" s="9">
        <f>SUM(E3:E6)</f>
        <v/>
      </c>
      <c r="F7" s="9">
        <f>SUM(F3:F6)</f>
        <v/>
      </c>
      <c r="G7" s="9">
        <f>SUM(G3:G6)</f>
        <v/>
      </c>
      <c r="H7" s="9">
        <f>SUM(H3:H6)</f>
        <v/>
      </c>
      <c r="I7" s="9">
        <f>SUM(I3:I6)</f>
        <v/>
      </c>
      <c r="J7" s="9">
        <f>SUM(J3:J6)</f>
        <v/>
      </c>
      <c r="K7" s="9">
        <f>SUM(K3:K6)</f>
        <v/>
      </c>
      <c r="L7" s="9">
        <f>SUM(L3:L6)</f>
        <v/>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cols>
    <col width="7"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8" t="inlineStr">
        <is>
          <t>Code Frequency by Sub-code × Speech  —  values update automatically from 'Coded Passages'</t>
        </is>
      </c>
    </row>
    <row r="2">
      <c r="A2" s="2" t="inlineStr">
        <is>
          <t>Dim</t>
        </is>
      </c>
      <c r="B2" s="2" t="inlineStr">
        <is>
          <t>Sub-code</t>
        </is>
      </c>
      <c r="C2" s="2" t="inlineStr">
        <is>
          <t>Debate Presidencial 2023</t>
        </is>
      </c>
      <c r="D2" s="2" t="inlineStr">
        <is>
          <t>WEF Davos 2024</t>
        </is>
      </c>
      <c r="E2" s="2" t="inlineStr">
        <is>
          <t>Apertura Sesiones Ordinarias 2024 (142°)</t>
        </is>
      </c>
      <c r="F2" s="2" t="inlineStr">
        <is>
          <t>UN General Assembly 79th</t>
        </is>
      </c>
      <c r="G2" s="2" t="inlineStr">
        <is>
          <t>WEF Davos 2025</t>
        </is>
      </c>
      <c r="H2" s="2" t="inlineStr">
        <is>
          <t>Apertura Sesiones Ordinarias 2025 (143°)</t>
        </is>
      </c>
      <c r="I2" s="2" t="inlineStr">
        <is>
          <t>UN General Assembly 80th</t>
        </is>
      </c>
      <c r="J2" s="2" t="inlineStr">
        <is>
          <t>WEF Davos 2026</t>
        </is>
      </c>
      <c r="K2" s="2" t="inlineStr">
        <is>
          <t>Apertura Sesiones Ordinarias 2026 (144°)</t>
        </is>
      </c>
      <c r="L2" s="2" t="inlineStr">
        <is>
          <t>TOTAL</t>
        </is>
      </c>
      <c r="M2" s="2" t="inlineStr"/>
      <c r="N2" s="2" t="inlineStr">
        <is>
          <t>Sub-code</t>
        </is>
      </c>
      <c r="O2" s="2" t="inlineStr">
        <is>
          <t>Total</t>
        </is>
      </c>
    </row>
    <row r="3">
      <c r="A3" t="inlineStr">
        <is>
          <t>D1.1</t>
        </is>
      </c>
      <c r="B3">
        <f>COUNTIFS('Coded Passages'!$B:$B,$A3,'Coded Passages'!$C:$C,$B3,'Coded Passages'!$H:$H,B$2)</f>
        <v/>
      </c>
      <c r="C3">
        <f>COUNTIFS('Coded Passages'!$B:$B,$A3,'Coded Passages'!$C:$C,$B3,'Coded Passages'!$H:$H,C$2)</f>
        <v/>
      </c>
      <c r="D3">
        <f>COUNTIFS('Coded Passages'!$B:$B,$A3,'Coded Passages'!$C:$C,$B3,'Coded Passages'!$H:$H,D$2)</f>
        <v/>
      </c>
      <c r="E3">
        <f>COUNTIFS('Coded Passages'!$B:$B,$A3,'Coded Passages'!$C:$C,$B3,'Coded Passages'!$H:$H,E$2)</f>
        <v/>
      </c>
      <c r="F3">
        <f>COUNTIFS('Coded Passages'!$B:$B,$A3,'Coded Passages'!$C:$C,$B3,'Coded Passages'!$H:$H,F$2)</f>
        <v/>
      </c>
      <c r="G3">
        <f>COUNTIFS('Coded Passages'!$B:$B,$A3,'Coded Passages'!$C:$C,$B3,'Coded Passages'!$H:$H,G$2)</f>
        <v/>
      </c>
      <c r="H3">
        <f>COUNTIFS('Coded Passages'!$B:$B,$A3,'Coded Passages'!$C:$C,$B3,'Coded Passages'!$H:$H,H$2)</f>
        <v/>
      </c>
      <c r="I3">
        <f>COUNTIFS('Coded Passages'!$B:$B,$A3,'Coded Passages'!$C:$C,$B3,'Coded Passages'!$H:$H,I$2)</f>
        <v/>
      </c>
      <c r="J3">
        <f>COUNTIFS('Coded Passages'!$B:$B,$A3,'Coded Passages'!$C:$C,$B3,'Coded Passages'!$H:$H,J$2)</f>
        <v/>
      </c>
      <c r="L3">
        <f>SUM(C3:K3)</f>
        <v/>
      </c>
      <c r="N3" t="inlineStr">
        <is>
          <t xml:space="preserve">D1.1·Sustainability as </t>
        </is>
      </c>
      <c r="O3">
        <f>I3</f>
        <v/>
      </c>
    </row>
    <row r="4">
      <c r="A4" t="inlineStr">
        <is>
          <t>D1.1</t>
        </is>
      </c>
      <c r="B4">
        <f>COUNTIFS('Coded Passages'!$B:$B,$A4,'Coded Passages'!$C:$C,$B4,'Coded Passages'!$H:$H,B$2)</f>
        <v/>
      </c>
      <c r="C4">
        <f>COUNTIFS('Coded Passages'!$B:$B,$A4,'Coded Passages'!$C:$C,$B4,'Coded Passages'!$H:$H,C$2)</f>
        <v/>
      </c>
      <c r="D4">
        <f>COUNTIFS('Coded Passages'!$B:$B,$A4,'Coded Passages'!$C:$C,$B4,'Coded Passages'!$H:$H,D$2)</f>
        <v/>
      </c>
      <c r="E4">
        <f>COUNTIFS('Coded Passages'!$B:$B,$A4,'Coded Passages'!$C:$C,$B4,'Coded Passages'!$H:$H,E$2)</f>
        <v/>
      </c>
      <c r="F4">
        <f>COUNTIFS('Coded Passages'!$B:$B,$A4,'Coded Passages'!$C:$C,$B4,'Coded Passages'!$H:$H,F$2)</f>
        <v/>
      </c>
      <c r="G4">
        <f>COUNTIFS('Coded Passages'!$B:$B,$A4,'Coded Passages'!$C:$C,$B4,'Coded Passages'!$H:$H,G$2)</f>
        <v/>
      </c>
      <c r="H4">
        <f>COUNTIFS('Coded Passages'!$B:$B,$A4,'Coded Passages'!$C:$C,$B4,'Coded Passages'!$H:$H,H$2)</f>
        <v/>
      </c>
      <c r="I4">
        <f>COUNTIFS('Coded Passages'!$B:$B,$A4,'Coded Passages'!$C:$C,$B4,'Coded Passages'!$H:$H,I$2)</f>
        <v/>
      </c>
      <c r="J4">
        <f>COUNTIFS('Coded Passages'!$B:$B,$A4,'Coded Passages'!$C:$C,$B4,'Coded Passages'!$H:$H,J$2)</f>
        <v/>
      </c>
      <c r="L4">
        <f>SUM(C4:K4)</f>
        <v/>
      </c>
      <c r="N4" t="inlineStr">
        <is>
          <t xml:space="preserve">D1.1·Anti-Casta (Elite </t>
        </is>
      </c>
      <c r="O4">
        <f>I4</f>
        <v/>
      </c>
    </row>
    <row r="5">
      <c r="A5" t="inlineStr">
        <is>
          <t>D1.1</t>
        </is>
      </c>
      <c r="B5">
        <f>COUNTIFS('Coded Passages'!$B:$B,$A5,'Coded Passages'!$C:$C,$B5,'Coded Passages'!$H:$H,B$2)</f>
        <v/>
      </c>
      <c r="C5">
        <f>COUNTIFS('Coded Passages'!$B:$B,$A5,'Coded Passages'!$C:$C,$B5,'Coded Passages'!$H:$H,C$2)</f>
        <v/>
      </c>
      <c r="D5">
        <f>COUNTIFS('Coded Passages'!$B:$B,$A5,'Coded Passages'!$C:$C,$B5,'Coded Passages'!$H:$H,D$2)</f>
        <v/>
      </c>
      <c r="E5">
        <f>COUNTIFS('Coded Passages'!$B:$B,$A5,'Coded Passages'!$C:$C,$B5,'Coded Passages'!$H:$H,E$2)</f>
        <v/>
      </c>
      <c r="F5">
        <f>COUNTIFS('Coded Passages'!$B:$B,$A5,'Coded Passages'!$C:$C,$B5,'Coded Passages'!$H:$H,F$2)</f>
        <v/>
      </c>
      <c r="G5">
        <f>COUNTIFS('Coded Passages'!$B:$B,$A5,'Coded Passages'!$C:$C,$B5,'Coded Passages'!$H:$H,G$2)</f>
        <v/>
      </c>
      <c r="H5">
        <f>COUNTIFS('Coded Passages'!$B:$B,$A5,'Coded Passages'!$C:$C,$B5,'Coded Passages'!$H:$H,H$2)</f>
        <v/>
      </c>
      <c r="I5">
        <f>COUNTIFS('Coded Passages'!$B:$B,$A5,'Coded Passages'!$C:$C,$B5,'Coded Passages'!$H:$H,I$2)</f>
        <v/>
      </c>
      <c r="J5">
        <f>COUNTIFS('Coded Passages'!$B:$B,$A5,'Coded Passages'!$C:$C,$B5,'Coded Passages'!$H:$H,J$2)</f>
        <v/>
      </c>
      <c r="L5">
        <f>SUM(C5:K5)</f>
        <v/>
      </c>
      <c r="N5" t="inlineStr">
        <is>
          <t>D1.1·Market Primacy</t>
        </is>
      </c>
      <c r="O5">
        <f>I5</f>
        <v/>
      </c>
    </row>
    <row r="6">
      <c r="A6" t="inlineStr">
        <is>
          <t>D1.1</t>
        </is>
      </c>
      <c r="B6">
        <f>COUNTIFS('Coded Passages'!$B:$B,$A6,'Coded Passages'!$C:$C,$B6,'Coded Passages'!$H:$H,B$2)</f>
        <v/>
      </c>
      <c r="C6">
        <f>COUNTIFS('Coded Passages'!$B:$B,$A6,'Coded Passages'!$C:$C,$B6,'Coded Passages'!$H:$H,C$2)</f>
        <v/>
      </c>
      <c r="D6">
        <f>COUNTIFS('Coded Passages'!$B:$B,$A6,'Coded Passages'!$C:$C,$B6,'Coded Passages'!$H:$H,D$2)</f>
        <v/>
      </c>
      <c r="E6">
        <f>COUNTIFS('Coded Passages'!$B:$B,$A6,'Coded Passages'!$C:$C,$B6,'Coded Passages'!$H:$H,E$2)</f>
        <v/>
      </c>
      <c r="F6">
        <f>COUNTIFS('Coded Passages'!$B:$B,$A6,'Coded Passages'!$C:$C,$B6,'Coded Passages'!$H:$H,F$2)</f>
        <v/>
      </c>
      <c r="G6">
        <f>COUNTIFS('Coded Passages'!$B:$B,$A6,'Coded Passages'!$C:$C,$B6,'Coded Passages'!$H:$H,G$2)</f>
        <v/>
      </c>
      <c r="H6">
        <f>COUNTIFS('Coded Passages'!$B:$B,$A6,'Coded Passages'!$C:$C,$B6,'Coded Passages'!$H:$H,H$2)</f>
        <v/>
      </c>
      <c r="I6">
        <f>COUNTIFS('Coded Passages'!$B:$B,$A6,'Coded Passages'!$C:$C,$B6,'Coded Passages'!$H:$H,I$2)</f>
        <v/>
      </c>
      <c r="J6">
        <f>COUNTIFS('Coded Passages'!$B:$B,$A6,'Coded Passages'!$C:$C,$B6,'Coded Passages'!$H:$H,J$2)</f>
        <v/>
      </c>
      <c r="L6">
        <f>SUM(C6:K6)</f>
        <v/>
      </c>
      <c r="N6" t="inlineStr">
        <is>
          <t>D1.1·Delegitimization o</t>
        </is>
      </c>
      <c r="O6">
        <f>I6</f>
        <v/>
      </c>
    </row>
    <row r="7">
      <c r="A7" t="inlineStr">
        <is>
          <t>D1.1</t>
        </is>
      </c>
      <c r="B7">
        <f>COUNTIFS('Coded Passages'!$B:$B,$A7,'Coded Passages'!$C:$C,$B7,'Coded Passages'!$H:$H,B$2)</f>
        <v/>
      </c>
      <c r="C7">
        <f>COUNTIFS('Coded Passages'!$B:$B,$A7,'Coded Passages'!$C:$C,$B7,'Coded Passages'!$H:$H,C$2)</f>
        <v/>
      </c>
      <c r="D7">
        <f>COUNTIFS('Coded Passages'!$B:$B,$A7,'Coded Passages'!$C:$C,$B7,'Coded Passages'!$H:$H,D$2)</f>
        <v/>
      </c>
      <c r="E7">
        <f>COUNTIFS('Coded Passages'!$B:$B,$A7,'Coded Passages'!$C:$C,$B7,'Coded Passages'!$H:$H,E$2)</f>
        <v/>
      </c>
      <c r="F7">
        <f>COUNTIFS('Coded Passages'!$B:$B,$A7,'Coded Passages'!$C:$C,$B7,'Coded Passages'!$H:$H,F$2)</f>
        <v/>
      </c>
      <c r="G7">
        <f>COUNTIFS('Coded Passages'!$B:$B,$A7,'Coded Passages'!$C:$C,$B7,'Coded Passages'!$H:$H,G$2)</f>
        <v/>
      </c>
      <c r="H7">
        <f>COUNTIFS('Coded Passages'!$B:$B,$A7,'Coded Passages'!$C:$C,$B7,'Coded Passages'!$H:$H,H$2)</f>
        <v/>
      </c>
      <c r="I7">
        <f>COUNTIFS('Coded Passages'!$B:$B,$A7,'Coded Passages'!$C:$C,$B7,'Coded Passages'!$H:$H,I$2)</f>
        <v/>
      </c>
      <c r="J7">
        <f>COUNTIFS('Coded Passages'!$B:$B,$A7,'Coded Passages'!$C:$C,$B7,'Coded Passages'!$H:$H,J$2)</f>
        <v/>
      </c>
      <c r="L7">
        <f>SUM(C7:K7)</f>
        <v/>
      </c>
      <c r="N7" t="inlineStr">
        <is>
          <t>D1.1·Deregulation Benef</t>
        </is>
      </c>
      <c r="O7">
        <f>I7</f>
        <v/>
      </c>
    </row>
    <row r="8">
      <c r="A8" t="inlineStr">
        <is>
          <t>D1.1</t>
        </is>
      </c>
      <c r="B8">
        <f>COUNTIFS('Coded Passages'!$B:$B,$A8,'Coded Passages'!$C:$C,$B8,'Coded Passages'!$H:$H,B$2)</f>
        <v/>
      </c>
      <c r="C8">
        <f>COUNTIFS('Coded Passages'!$B:$B,$A8,'Coded Passages'!$C:$C,$B8,'Coded Passages'!$H:$H,C$2)</f>
        <v/>
      </c>
      <c r="D8">
        <f>COUNTIFS('Coded Passages'!$B:$B,$A8,'Coded Passages'!$C:$C,$B8,'Coded Passages'!$H:$H,D$2)</f>
        <v/>
      </c>
      <c r="E8">
        <f>COUNTIFS('Coded Passages'!$B:$B,$A8,'Coded Passages'!$C:$C,$B8,'Coded Passages'!$H:$H,E$2)</f>
        <v/>
      </c>
      <c r="F8">
        <f>COUNTIFS('Coded Passages'!$B:$B,$A8,'Coded Passages'!$C:$C,$B8,'Coded Passages'!$H:$H,F$2)</f>
        <v/>
      </c>
      <c r="G8">
        <f>COUNTIFS('Coded Passages'!$B:$B,$A8,'Coded Passages'!$C:$C,$B8,'Coded Passages'!$H:$H,G$2)</f>
        <v/>
      </c>
      <c r="H8">
        <f>COUNTIFS('Coded Passages'!$B:$B,$A8,'Coded Passages'!$C:$C,$B8,'Coded Passages'!$H:$H,H$2)</f>
        <v/>
      </c>
      <c r="I8">
        <f>COUNTIFS('Coded Passages'!$B:$B,$A8,'Coded Passages'!$C:$C,$B8,'Coded Passages'!$H:$H,I$2)</f>
        <v/>
      </c>
      <c r="J8">
        <f>COUNTIFS('Coded Passages'!$B:$B,$A8,'Coded Passages'!$C:$C,$B8,'Coded Passages'!$H:$H,J$2)</f>
        <v/>
      </c>
      <c r="L8">
        <f>SUM(C8:K8)</f>
        <v/>
      </c>
      <c r="N8" t="inlineStr">
        <is>
          <t>D1.1·Anti-State / Anti-</t>
        </is>
      </c>
      <c r="O8">
        <f>I8</f>
        <v/>
      </c>
    </row>
    <row r="9">
      <c r="A9" t="inlineStr">
        <is>
          <t>D1.1</t>
        </is>
      </c>
      <c r="B9">
        <f>COUNTIFS('Coded Passages'!$B:$B,$A9,'Coded Passages'!$C:$C,$B9,'Coded Passages'!$H:$H,B$2)</f>
        <v/>
      </c>
      <c r="C9">
        <f>COUNTIFS('Coded Passages'!$B:$B,$A9,'Coded Passages'!$C:$C,$B9,'Coded Passages'!$H:$H,C$2)</f>
        <v/>
      </c>
      <c r="D9">
        <f>COUNTIFS('Coded Passages'!$B:$B,$A9,'Coded Passages'!$C:$C,$B9,'Coded Passages'!$H:$H,D$2)</f>
        <v/>
      </c>
      <c r="E9">
        <f>COUNTIFS('Coded Passages'!$B:$B,$A9,'Coded Passages'!$C:$C,$B9,'Coded Passages'!$H:$H,E$2)</f>
        <v/>
      </c>
      <c r="F9">
        <f>COUNTIFS('Coded Passages'!$B:$B,$A9,'Coded Passages'!$C:$C,$B9,'Coded Passages'!$H:$H,F$2)</f>
        <v/>
      </c>
      <c r="G9">
        <f>COUNTIFS('Coded Passages'!$B:$B,$A9,'Coded Passages'!$C:$C,$B9,'Coded Passages'!$H:$H,G$2)</f>
        <v/>
      </c>
      <c r="H9">
        <f>COUNTIFS('Coded Passages'!$B:$B,$A9,'Coded Passages'!$C:$C,$B9,'Coded Passages'!$H:$H,H$2)</f>
        <v/>
      </c>
      <c r="I9">
        <f>COUNTIFS('Coded Passages'!$B:$B,$A9,'Coded Passages'!$C:$C,$B9,'Coded Passages'!$H:$H,I$2)</f>
        <v/>
      </c>
      <c r="J9">
        <f>COUNTIFS('Coded Passages'!$B:$B,$A9,'Coded Passages'!$C:$C,$B9,'Coded Passages'!$H:$H,J$2)</f>
        <v/>
      </c>
      <c r="L9">
        <f>SUM(C9:K9)</f>
        <v/>
      </c>
      <c r="N9" t="inlineStr">
        <is>
          <t>D1.1·Rejection of Multi</t>
        </is>
      </c>
      <c r="O9">
        <f>I9</f>
        <v/>
      </c>
    </row>
    <row r="10">
      <c r="A10" t="inlineStr">
        <is>
          <t>D1.2</t>
        </is>
      </c>
      <c r="B10">
        <f>COUNTIFS('Coded Passages'!$B:$B,$A10,'Coded Passages'!$C:$C,$B10,'Coded Passages'!$H:$H,B$2)</f>
        <v/>
      </c>
      <c r="C10">
        <f>COUNTIFS('Coded Passages'!$B:$B,$A10,'Coded Passages'!$C:$C,$B10,'Coded Passages'!$H:$H,C$2)</f>
        <v/>
      </c>
      <c r="D10">
        <f>COUNTIFS('Coded Passages'!$B:$B,$A10,'Coded Passages'!$C:$C,$B10,'Coded Passages'!$H:$H,D$2)</f>
        <v/>
      </c>
      <c r="E10">
        <f>COUNTIFS('Coded Passages'!$B:$B,$A10,'Coded Passages'!$C:$C,$B10,'Coded Passages'!$H:$H,E$2)</f>
        <v/>
      </c>
      <c r="F10">
        <f>COUNTIFS('Coded Passages'!$B:$B,$A10,'Coded Passages'!$C:$C,$B10,'Coded Passages'!$H:$H,F$2)</f>
        <v/>
      </c>
      <c r="G10">
        <f>COUNTIFS('Coded Passages'!$B:$B,$A10,'Coded Passages'!$C:$C,$B10,'Coded Passages'!$H:$H,G$2)</f>
        <v/>
      </c>
      <c r="H10">
        <f>COUNTIFS('Coded Passages'!$B:$B,$A10,'Coded Passages'!$C:$C,$B10,'Coded Passages'!$H:$H,H$2)</f>
        <v/>
      </c>
      <c r="I10">
        <f>COUNTIFS('Coded Passages'!$B:$B,$A10,'Coded Passages'!$C:$C,$B10,'Coded Passages'!$H:$H,I$2)</f>
        <v/>
      </c>
      <c r="J10">
        <f>COUNTIFS('Coded Passages'!$B:$B,$A10,'Coded Passages'!$C:$C,$B10,'Coded Passages'!$H:$H,J$2)</f>
        <v/>
      </c>
      <c r="L10">
        <f>SUM(C10:K10)</f>
        <v/>
      </c>
      <c r="N10" t="inlineStr">
        <is>
          <t>D1.2·Climate Skepticism</t>
        </is>
      </c>
      <c r="O10">
        <f>I10</f>
        <v/>
      </c>
    </row>
    <row r="11">
      <c r="A11" t="inlineStr">
        <is>
          <t>D1.2</t>
        </is>
      </c>
      <c r="B11">
        <f>COUNTIFS('Coded Passages'!$B:$B,$A11,'Coded Passages'!$C:$C,$B11,'Coded Passages'!$H:$H,B$2)</f>
        <v/>
      </c>
      <c r="C11">
        <f>COUNTIFS('Coded Passages'!$B:$B,$A11,'Coded Passages'!$C:$C,$B11,'Coded Passages'!$H:$H,C$2)</f>
        <v/>
      </c>
      <c r="D11">
        <f>COUNTIFS('Coded Passages'!$B:$B,$A11,'Coded Passages'!$C:$C,$B11,'Coded Passages'!$H:$H,D$2)</f>
        <v/>
      </c>
      <c r="E11">
        <f>COUNTIFS('Coded Passages'!$B:$B,$A11,'Coded Passages'!$C:$C,$B11,'Coded Passages'!$H:$H,E$2)</f>
        <v/>
      </c>
      <c r="F11">
        <f>COUNTIFS('Coded Passages'!$B:$B,$A11,'Coded Passages'!$C:$C,$B11,'Coded Passages'!$H:$H,F$2)</f>
        <v/>
      </c>
      <c r="G11">
        <f>COUNTIFS('Coded Passages'!$B:$B,$A11,'Coded Passages'!$C:$C,$B11,'Coded Passages'!$H:$H,G$2)</f>
        <v/>
      </c>
      <c r="H11">
        <f>COUNTIFS('Coded Passages'!$B:$B,$A11,'Coded Passages'!$C:$C,$B11,'Coded Passages'!$H:$H,H$2)</f>
        <v/>
      </c>
      <c r="I11">
        <f>COUNTIFS('Coded Passages'!$B:$B,$A11,'Coded Passages'!$C:$C,$B11,'Coded Passages'!$H:$H,I$2)</f>
        <v/>
      </c>
      <c r="J11">
        <f>COUNTIFS('Coded Passages'!$B:$B,$A11,'Coded Passages'!$C:$C,$B11,'Coded Passages'!$H:$H,J$2)</f>
        <v/>
      </c>
      <c r="L11">
        <f>SUM(C11:K11)</f>
        <v/>
      </c>
      <c r="N11" t="inlineStr">
        <is>
          <t xml:space="preserve">D1.2·Attack on Experts </t>
        </is>
      </c>
      <c r="O11">
        <f>I11</f>
        <v/>
      </c>
    </row>
    <row r="12">
      <c r="A12" t="inlineStr">
        <is>
          <t>D1.2</t>
        </is>
      </c>
      <c r="B12">
        <f>COUNTIFS('Coded Passages'!$B:$B,$A12,'Coded Passages'!$C:$C,$B12,'Coded Passages'!$H:$H,B$2)</f>
        <v/>
      </c>
      <c r="C12">
        <f>COUNTIFS('Coded Passages'!$B:$B,$A12,'Coded Passages'!$C:$C,$B12,'Coded Passages'!$H:$H,C$2)</f>
        <v/>
      </c>
      <c r="D12">
        <f>COUNTIFS('Coded Passages'!$B:$B,$A12,'Coded Passages'!$C:$C,$B12,'Coded Passages'!$H:$H,D$2)</f>
        <v/>
      </c>
      <c r="E12">
        <f>COUNTIFS('Coded Passages'!$B:$B,$A12,'Coded Passages'!$C:$C,$B12,'Coded Passages'!$H:$H,E$2)</f>
        <v/>
      </c>
      <c r="F12">
        <f>COUNTIFS('Coded Passages'!$B:$B,$A12,'Coded Passages'!$C:$C,$B12,'Coded Passages'!$H:$H,F$2)</f>
        <v/>
      </c>
      <c r="G12">
        <f>COUNTIFS('Coded Passages'!$B:$B,$A12,'Coded Passages'!$C:$C,$B12,'Coded Passages'!$H:$H,G$2)</f>
        <v/>
      </c>
      <c r="H12">
        <f>COUNTIFS('Coded Passages'!$B:$B,$A12,'Coded Passages'!$C:$C,$B12,'Coded Passages'!$H:$H,H$2)</f>
        <v/>
      </c>
      <c r="I12">
        <f>COUNTIFS('Coded Passages'!$B:$B,$A12,'Coded Passages'!$C:$C,$B12,'Coded Passages'!$H:$H,I$2)</f>
        <v/>
      </c>
      <c r="J12">
        <f>COUNTIFS('Coded Passages'!$B:$B,$A12,'Coded Passages'!$C:$C,$B12,'Coded Passages'!$H:$H,J$2)</f>
        <v/>
      </c>
      <c r="L12">
        <f>SUM(C12:K12)</f>
        <v/>
      </c>
      <c r="N12" t="inlineStr">
        <is>
          <t>D1.2·Pseudo-Science / I</t>
        </is>
      </c>
      <c r="O12">
        <f>I12</f>
        <v/>
      </c>
    </row>
    <row r="13">
      <c r="A13" t="inlineStr">
        <is>
          <t>D1.2</t>
        </is>
      </c>
      <c r="B13">
        <f>COUNTIFS('Coded Passages'!$B:$B,$A13,'Coded Passages'!$C:$C,$B13,'Coded Passages'!$H:$H,B$2)</f>
        <v/>
      </c>
      <c r="C13">
        <f>COUNTIFS('Coded Passages'!$B:$B,$A13,'Coded Passages'!$C:$C,$B13,'Coded Passages'!$H:$H,C$2)</f>
        <v/>
      </c>
      <c r="D13">
        <f>COUNTIFS('Coded Passages'!$B:$B,$A13,'Coded Passages'!$C:$C,$B13,'Coded Passages'!$H:$H,D$2)</f>
        <v/>
      </c>
      <c r="E13">
        <f>COUNTIFS('Coded Passages'!$B:$B,$A13,'Coded Passages'!$C:$C,$B13,'Coded Passages'!$H:$H,E$2)</f>
        <v/>
      </c>
      <c r="F13">
        <f>COUNTIFS('Coded Passages'!$B:$B,$A13,'Coded Passages'!$C:$C,$B13,'Coded Passages'!$H:$H,F$2)</f>
        <v/>
      </c>
      <c r="G13">
        <f>COUNTIFS('Coded Passages'!$B:$B,$A13,'Coded Passages'!$C:$C,$B13,'Coded Passages'!$H:$H,G$2)</f>
        <v/>
      </c>
      <c r="H13">
        <f>COUNTIFS('Coded Passages'!$B:$B,$A13,'Coded Passages'!$C:$C,$B13,'Coded Passages'!$H:$H,H$2)</f>
        <v/>
      </c>
      <c r="I13">
        <f>COUNTIFS('Coded Passages'!$B:$B,$A13,'Coded Passages'!$C:$C,$B13,'Coded Passages'!$H:$H,I$2)</f>
        <v/>
      </c>
      <c r="J13">
        <f>COUNTIFS('Coded Passages'!$B:$B,$A13,'Coded Passages'!$C:$C,$B13,'Coded Passages'!$H:$H,J$2)</f>
        <v/>
      </c>
      <c r="L13">
        <f>SUM(C13:K13)</f>
        <v/>
      </c>
      <c r="N13" t="inlineStr">
        <is>
          <t>D1.2·Attack on Universi</t>
        </is>
      </c>
      <c r="O13">
        <f>I13</f>
        <v/>
      </c>
    </row>
    <row r="14">
      <c r="A14" t="inlineStr">
        <is>
          <t>D1.2</t>
        </is>
      </c>
      <c r="B14">
        <f>COUNTIFS('Coded Passages'!$B:$B,$A14,'Coded Passages'!$C:$C,$B14,'Coded Passages'!$H:$H,B$2)</f>
        <v/>
      </c>
      <c r="C14">
        <f>COUNTIFS('Coded Passages'!$B:$B,$A14,'Coded Passages'!$C:$C,$B14,'Coded Passages'!$H:$H,C$2)</f>
        <v/>
      </c>
      <c r="D14">
        <f>COUNTIFS('Coded Passages'!$B:$B,$A14,'Coded Passages'!$C:$C,$B14,'Coded Passages'!$H:$H,D$2)</f>
        <v/>
      </c>
      <c r="E14">
        <f>COUNTIFS('Coded Passages'!$B:$B,$A14,'Coded Passages'!$C:$C,$B14,'Coded Passages'!$H:$H,E$2)</f>
        <v/>
      </c>
      <c r="F14">
        <f>COUNTIFS('Coded Passages'!$B:$B,$A14,'Coded Passages'!$C:$C,$B14,'Coded Passages'!$H:$H,F$2)</f>
        <v/>
      </c>
      <c r="G14">
        <f>COUNTIFS('Coded Passages'!$B:$B,$A14,'Coded Passages'!$C:$C,$B14,'Coded Passages'!$H:$H,G$2)</f>
        <v/>
      </c>
      <c r="H14">
        <f>COUNTIFS('Coded Passages'!$B:$B,$A14,'Coded Passages'!$C:$C,$B14,'Coded Passages'!$H:$H,H$2)</f>
        <v/>
      </c>
      <c r="I14">
        <f>COUNTIFS('Coded Passages'!$B:$B,$A14,'Coded Passages'!$C:$C,$B14,'Coded Passages'!$H:$H,I$2)</f>
        <v/>
      </c>
      <c r="J14">
        <f>COUNTIFS('Coded Passages'!$B:$B,$A14,'Coded Passages'!$C:$C,$B14,'Coded Passages'!$H:$H,J$2)</f>
        <v/>
      </c>
      <c r="L14">
        <f>SUM(C14:K14)</f>
        <v/>
      </c>
      <c r="N14" t="inlineStr">
        <is>
          <t>D1.2·Rejection of Exper</t>
        </is>
      </c>
      <c r="O14">
        <f>I14</f>
        <v/>
      </c>
    </row>
    <row r="15">
      <c r="A15" t="inlineStr">
        <is>
          <t>D1.2</t>
        </is>
      </c>
      <c r="B15">
        <f>COUNTIFS('Coded Passages'!$B:$B,$A15,'Coded Passages'!$C:$C,$B15,'Coded Passages'!$H:$H,B$2)</f>
        <v/>
      </c>
      <c r="C15">
        <f>COUNTIFS('Coded Passages'!$B:$B,$A15,'Coded Passages'!$C:$C,$B15,'Coded Passages'!$H:$H,C$2)</f>
        <v/>
      </c>
      <c r="D15">
        <f>COUNTIFS('Coded Passages'!$B:$B,$A15,'Coded Passages'!$C:$C,$B15,'Coded Passages'!$H:$H,D$2)</f>
        <v/>
      </c>
      <c r="E15">
        <f>COUNTIFS('Coded Passages'!$B:$B,$A15,'Coded Passages'!$C:$C,$B15,'Coded Passages'!$H:$H,E$2)</f>
        <v/>
      </c>
      <c r="F15">
        <f>COUNTIFS('Coded Passages'!$B:$B,$A15,'Coded Passages'!$C:$C,$B15,'Coded Passages'!$H:$H,F$2)</f>
        <v/>
      </c>
      <c r="G15">
        <f>COUNTIFS('Coded Passages'!$B:$B,$A15,'Coded Passages'!$C:$C,$B15,'Coded Passages'!$H:$H,G$2)</f>
        <v/>
      </c>
      <c r="H15">
        <f>COUNTIFS('Coded Passages'!$B:$B,$A15,'Coded Passages'!$C:$C,$B15,'Coded Passages'!$H:$H,H$2)</f>
        <v/>
      </c>
      <c r="I15">
        <f>COUNTIFS('Coded Passages'!$B:$B,$A15,'Coded Passages'!$C:$C,$B15,'Coded Passages'!$H:$H,I$2)</f>
        <v/>
      </c>
      <c r="J15">
        <f>COUNTIFS('Coded Passages'!$B:$B,$A15,'Coded Passages'!$C:$C,$B15,'Coded Passages'!$H:$H,J$2)</f>
        <v/>
      </c>
      <c r="L15">
        <f>SUM(C15:K15)</f>
        <v/>
      </c>
      <c r="N15" t="inlineStr">
        <is>
          <t>D1.2·Attack on Public R</t>
        </is>
      </c>
      <c r="O15">
        <f>I15</f>
        <v/>
      </c>
    </row>
    <row r="16">
      <c r="A16" t="inlineStr">
        <is>
          <t>D1.3</t>
        </is>
      </c>
      <c r="B16">
        <f>COUNTIFS('Coded Passages'!$B:$B,$A16,'Coded Passages'!$C:$C,$B16,'Coded Passages'!$H:$H,B$2)</f>
        <v/>
      </c>
      <c r="C16">
        <f>COUNTIFS('Coded Passages'!$B:$B,$A16,'Coded Passages'!$C:$C,$B16,'Coded Passages'!$H:$H,C$2)</f>
        <v/>
      </c>
      <c r="D16">
        <f>COUNTIFS('Coded Passages'!$B:$B,$A16,'Coded Passages'!$C:$C,$B16,'Coded Passages'!$H:$H,D$2)</f>
        <v/>
      </c>
      <c r="E16">
        <f>COUNTIFS('Coded Passages'!$B:$B,$A16,'Coded Passages'!$C:$C,$B16,'Coded Passages'!$H:$H,E$2)</f>
        <v/>
      </c>
      <c r="F16">
        <f>COUNTIFS('Coded Passages'!$B:$B,$A16,'Coded Passages'!$C:$C,$B16,'Coded Passages'!$H:$H,F$2)</f>
        <v/>
      </c>
      <c r="G16">
        <f>COUNTIFS('Coded Passages'!$B:$B,$A16,'Coded Passages'!$C:$C,$B16,'Coded Passages'!$H:$H,G$2)</f>
        <v/>
      </c>
      <c r="H16">
        <f>COUNTIFS('Coded Passages'!$B:$B,$A16,'Coded Passages'!$C:$C,$B16,'Coded Passages'!$H:$H,H$2)</f>
        <v/>
      </c>
      <c r="I16">
        <f>COUNTIFS('Coded Passages'!$B:$B,$A16,'Coded Passages'!$C:$C,$B16,'Coded Passages'!$H:$H,I$2)</f>
        <v/>
      </c>
      <c r="J16">
        <f>COUNTIFS('Coded Passages'!$B:$B,$A16,'Coded Passages'!$C:$C,$B16,'Coded Passages'!$H:$H,J$2)</f>
        <v/>
      </c>
      <c r="L16">
        <f>SUM(C16:K16)</f>
        <v/>
      </c>
      <c r="N16" t="inlineStr">
        <is>
          <t>D1.3·Civilizational Def</t>
        </is>
      </c>
      <c r="O16">
        <f>I16</f>
        <v/>
      </c>
    </row>
    <row r="17">
      <c r="A17" t="inlineStr">
        <is>
          <t>D1.3</t>
        </is>
      </c>
      <c r="B17">
        <f>COUNTIFS('Coded Passages'!$B:$B,$A17,'Coded Passages'!$C:$C,$B17,'Coded Passages'!$H:$H,B$2)</f>
        <v/>
      </c>
      <c r="C17">
        <f>COUNTIFS('Coded Passages'!$B:$B,$A17,'Coded Passages'!$C:$C,$B17,'Coded Passages'!$H:$H,C$2)</f>
        <v/>
      </c>
      <c r="D17">
        <f>COUNTIFS('Coded Passages'!$B:$B,$A17,'Coded Passages'!$C:$C,$B17,'Coded Passages'!$H:$H,D$2)</f>
        <v/>
      </c>
      <c r="E17">
        <f>COUNTIFS('Coded Passages'!$B:$B,$A17,'Coded Passages'!$C:$C,$B17,'Coded Passages'!$H:$H,E$2)</f>
        <v/>
      </c>
      <c r="F17">
        <f>COUNTIFS('Coded Passages'!$B:$B,$A17,'Coded Passages'!$C:$C,$B17,'Coded Passages'!$H:$H,F$2)</f>
        <v/>
      </c>
      <c r="G17">
        <f>COUNTIFS('Coded Passages'!$B:$B,$A17,'Coded Passages'!$C:$C,$B17,'Coded Passages'!$H:$H,G$2)</f>
        <v/>
      </c>
      <c r="H17">
        <f>COUNTIFS('Coded Passages'!$B:$B,$A17,'Coded Passages'!$C:$C,$B17,'Coded Passages'!$H:$H,H$2)</f>
        <v/>
      </c>
      <c r="I17">
        <f>COUNTIFS('Coded Passages'!$B:$B,$A17,'Coded Passages'!$C:$C,$B17,'Coded Passages'!$H:$H,I$2)</f>
        <v/>
      </c>
      <c r="J17">
        <f>COUNTIFS('Coded Passages'!$B:$B,$A17,'Coded Passages'!$C:$C,$B17,'Coded Passages'!$H:$H,J$2)</f>
        <v/>
      </c>
      <c r="L17">
        <f>SUM(C17:K17)</f>
        <v/>
      </c>
      <c r="N17" t="inlineStr">
        <is>
          <t>D1.3·Neo-Marxism</t>
        </is>
      </c>
      <c r="O17">
        <f>I17</f>
        <v/>
      </c>
    </row>
    <row r="18">
      <c r="A18" t="inlineStr">
        <is>
          <t>D1.3</t>
        </is>
      </c>
      <c r="B18">
        <f>COUNTIFS('Coded Passages'!$B:$B,$A18,'Coded Passages'!$C:$C,$B18,'Coded Passages'!$H:$H,B$2)</f>
        <v/>
      </c>
      <c r="C18">
        <f>COUNTIFS('Coded Passages'!$B:$B,$A18,'Coded Passages'!$C:$C,$B18,'Coded Passages'!$H:$H,C$2)</f>
        <v/>
      </c>
      <c r="D18">
        <f>COUNTIFS('Coded Passages'!$B:$B,$A18,'Coded Passages'!$C:$C,$B18,'Coded Passages'!$H:$H,D$2)</f>
        <v/>
      </c>
      <c r="E18">
        <f>COUNTIFS('Coded Passages'!$B:$B,$A18,'Coded Passages'!$C:$C,$B18,'Coded Passages'!$H:$H,E$2)</f>
        <v/>
      </c>
      <c r="F18">
        <f>COUNTIFS('Coded Passages'!$B:$B,$A18,'Coded Passages'!$C:$C,$B18,'Coded Passages'!$H:$H,F$2)</f>
        <v/>
      </c>
      <c r="G18">
        <f>COUNTIFS('Coded Passages'!$B:$B,$A18,'Coded Passages'!$C:$C,$B18,'Coded Passages'!$H:$H,G$2)</f>
        <v/>
      </c>
      <c r="H18">
        <f>COUNTIFS('Coded Passages'!$B:$B,$A18,'Coded Passages'!$C:$C,$B18,'Coded Passages'!$H:$H,H$2)</f>
        <v/>
      </c>
      <c r="I18">
        <f>COUNTIFS('Coded Passages'!$B:$B,$A18,'Coded Passages'!$C:$C,$B18,'Coded Passages'!$H:$H,I$2)</f>
        <v/>
      </c>
      <c r="J18">
        <f>COUNTIFS('Coded Passages'!$B:$B,$A18,'Coded Passages'!$C:$C,$B18,'Coded Passages'!$H:$H,J$2)</f>
        <v/>
      </c>
      <c r="L18">
        <f>SUM(C18:K18)</f>
        <v/>
      </c>
      <c r="N18" t="inlineStr">
        <is>
          <t>D1.3·Woke Bundling</t>
        </is>
      </c>
      <c r="O18">
        <f>I18</f>
        <v/>
      </c>
    </row>
    <row r="19">
      <c r="A19" t="inlineStr">
        <is>
          <t>IND</t>
        </is>
      </c>
      <c r="B19">
        <f>COUNTIFS('Coded Passages'!$B:$B,$A19,'Coded Passages'!$C:$C,$B19,'Coded Passages'!$H:$H,B$2)</f>
        <v/>
      </c>
      <c r="C19">
        <f>COUNTIFS('Coded Passages'!$B:$B,$A19,'Coded Passages'!$C:$C,$B19,'Coded Passages'!$H:$H,C$2)</f>
        <v/>
      </c>
      <c r="D19">
        <f>COUNTIFS('Coded Passages'!$B:$B,$A19,'Coded Passages'!$C:$C,$B19,'Coded Passages'!$H:$H,D$2)</f>
        <v/>
      </c>
      <c r="E19">
        <f>COUNTIFS('Coded Passages'!$B:$B,$A19,'Coded Passages'!$C:$C,$B19,'Coded Passages'!$H:$H,E$2)</f>
        <v/>
      </c>
      <c r="F19">
        <f>COUNTIFS('Coded Passages'!$B:$B,$A19,'Coded Passages'!$C:$C,$B19,'Coded Passages'!$H:$H,F$2)</f>
        <v/>
      </c>
      <c r="G19">
        <f>COUNTIFS('Coded Passages'!$B:$B,$A19,'Coded Passages'!$C:$C,$B19,'Coded Passages'!$H:$H,G$2)</f>
        <v/>
      </c>
      <c r="H19">
        <f>COUNTIFS('Coded Passages'!$B:$B,$A19,'Coded Passages'!$C:$C,$B19,'Coded Passages'!$H:$H,H$2)</f>
        <v/>
      </c>
      <c r="I19">
        <f>COUNTIFS('Coded Passages'!$B:$B,$A19,'Coded Passages'!$C:$C,$B19,'Coded Passages'!$H:$H,I$2)</f>
        <v/>
      </c>
      <c r="J19">
        <f>COUNTIFS('Coded Passages'!$B:$B,$A19,'Coded Passages'!$C:$C,$B19,'Coded Passages'!$H:$H,J$2)</f>
        <v/>
      </c>
      <c r="L19">
        <f>SUM(C19:K19)</f>
        <v/>
      </c>
      <c r="N19" t="inlineStr">
        <is>
          <t>IND·Reported Denial</t>
        </is>
      </c>
      <c r="O19">
        <f>I19</f>
        <v/>
      </c>
    </row>
    <row r="20">
      <c r="A20" t="inlineStr">
        <is>
          <t>IND</t>
        </is>
      </c>
      <c r="B20">
        <f>COUNTIFS('Coded Passages'!$B:$B,$A20,'Coded Passages'!$C:$C,$B20,'Coded Passages'!$H:$H,B$2)</f>
        <v/>
      </c>
      <c r="C20">
        <f>COUNTIFS('Coded Passages'!$B:$B,$A20,'Coded Passages'!$C:$C,$B20,'Coded Passages'!$H:$H,C$2)</f>
        <v/>
      </c>
      <c r="D20">
        <f>COUNTIFS('Coded Passages'!$B:$B,$A20,'Coded Passages'!$C:$C,$B20,'Coded Passages'!$H:$H,D$2)</f>
        <v/>
      </c>
      <c r="E20">
        <f>COUNTIFS('Coded Passages'!$B:$B,$A20,'Coded Passages'!$C:$C,$B20,'Coded Passages'!$H:$H,E$2)</f>
        <v/>
      </c>
      <c r="F20">
        <f>COUNTIFS('Coded Passages'!$B:$B,$A20,'Coded Passages'!$C:$C,$B20,'Coded Passages'!$H:$H,F$2)</f>
        <v/>
      </c>
      <c r="G20">
        <f>COUNTIFS('Coded Passages'!$B:$B,$A20,'Coded Passages'!$C:$C,$B20,'Coded Passages'!$H:$H,G$2)</f>
        <v/>
      </c>
      <c r="H20">
        <f>COUNTIFS('Coded Passages'!$B:$B,$A20,'Coded Passages'!$C:$C,$B20,'Coded Passages'!$H:$H,H$2)</f>
        <v/>
      </c>
      <c r="I20">
        <f>COUNTIFS('Coded Passages'!$B:$B,$A20,'Coded Passages'!$C:$C,$B20,'Coded Passages'!$H:$H,I$2)</f>
        <v/>
      </c>
      <c r="J20">
        <f>COUNTIFS('Coded Passages'!$B:$B,$A20,'Coded Passages'!$C:$C,$B20,'Coded Passages'!$H:$H,J$2)</f>
        <v/>
      </c>
      <c r="L20">
        <f>SUM(C20:K20)</f>
        <v/>
      </c>
      <c r="N20" t="inlineStr">
        <is>
          <t>IND·Selective Empirici</t>
        </is>
      </c>
      <c r="O20">
        <f>I20</f>
        <v/>
      </c>
    </row>
    <row r="21">
      <c r="A21" t="inlineStr">
        <is>
          <t>IND</t>
        </is>
      </c>
      <c r="B21">
        <f>COUNTIFS('Coded Passages'!$B:$B,$A21,'Coded Passages'!$C:$C,$B21,'Coded Passages'!$H:$H,B$2)</f>
        <v/>
      </c>
      <c r="C21">
        <f>COUNTIFS('Coded Passages'!$B:$B,$A21,'Coded Passages'!$C:$C,$B21,'Coded Passages'!$H:$H,C$2)</f>
        <v/>
      </c>
      <c r="D21">
        <f>COUNTIFS('Coded Passages'!$B:$B,$A21,'Coded Passages'!$C:$C,$B21,'Coded Passages'!$H:$H,D$2)</f>
        <v/>
      </c>
      <c r="E21">
        <f>COUNTIFS('Coded Passages'!$B:$B,$A21,'Coded Passages'!$C:$C,$B21,'Coded Passages'!$H:$H,E$2)</f>
        <v/>
      </c>
      <c r="F21">
        <f>COUNTIFS('Coded Passages'!$B:$B,$A21,'Coded Passages'!$C:$C,$B21,'Coded Passages'!$H:$H,F$2)</f>
        <v/>
      </c>
      <c r="G21">
        <f>COUNTIFS('Coded Passages'!$B:$B,$A21,'Coded Passages'!$C:$C,$B21,'Coded Passages'!$H:$H,G$2)</f>
        <v/>
      </c>
      <c r="H21">
        <f>COUNTIFS('Coded Passages'!$B:$B,$A21,'Coded Passages'!$C:$C,$B21,'Coded Passages'!$H:$H,H$2)</f>
        <v/>
      </c>
      <c r="I21">
        <f>COUNTIFS('Coded Passages'!$B:$B,$A21,'Coded Passages'!$C:$C,$B21,'Coded Passages'!$H:$H,I$2)</f>
        <v/>
      </c>
      <c r="J21">
        <f>COUNTIFS('Coded Passages'!$B:$B,$A21,'Coded Passages'!$C:$C,$B21,'Coded Passages'!$H:$H,J$2)</f>
        <v/>
      </c>
      <c r="L21">
        <f>SUM(C21:K21)</f>
        <v/>
      </c>
      <c r="N21" t="inlineStr">
        <is>
          <t>IND·Temporal Appropria</t>
        </is>
      </c>
      <c r="O21">
        <f>I21</f>
        <v/>
      </c>
    </row>
    <row r="22">
      <c r="A22" s="9" t="inlineStr">
        <is>
          <t>TOTAL</t>
        </is>
      </c>
      <c r="B22" s="9" t="inlineStr">
        <is>
          <t>All Sub-codes</t>
        </is>
      </c>
      <c r="C22" s="9">
        <f>SUM(C3:C21)</f>
        <v/>
      </c>
      <c r="D22" s="9">
        <f>SUM(D3:D21)</f>
        <v/>
      </c>
      <c r="E22" s="9">
        <f>SUM(E3:E21)</f>
        <v/>
      </c>
      <c r="F22" s="9">
        <f>SUM(F3:F21)</f>
        <v/>
      </c>
      <c r="G22" s="9">
        <f>SUM(G3:G21)</f>
        <v/>
      </c>
      <c r="H22" s="9">
        <f>SUM(H3:H21)</f>
        <v/>
      </c>
      <c r="I22" s="9">
        <f>SUM(I3:I21)</f>
        <v/>
      </c>
      <c r="J22" s="9">
        <f>SUM(J3:J21)</f>
        <v/>
      </c>
      <c r="K22" s="9">
        <f>SUM(K3:K21)</f>
        <v/>
      </c>
      <c r="L22" s="9">
        <f>SUM(L3:L21)</f>
        <v/>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8" customWidth="1" min="1" max="1"/>
    <col width="12" customWidth="1" min="2" max="2"/>
    <col width="14" customWidth="1" min="3" max="3"/>
    <col width="10" customWidth="1" min="4" max="4"/>
  </cols>
  <sheetData>
    <row r="1">
      <c r="A1" s="8" t="inlineStr">
        <is>
          <t>Speech-Level Overview  —  D1 / Inductive counts update automatically from 'Coded Passages'  (D2 = 0 in v3)</t>
        </is>
      </c>
    </row>
    <row r="2">
      <c r="A2" s="10" t="inlineStr">
        <is>
          <t>Speech</t>
        </is>
      </c>
      <c r="B2" s="10" t="inlineStr">
        <is>
          <t>Date</t>
        </is>
      </c>
      <c r="C2" s="10" t="inlineStr">
        <is>
          <t>Venue</t>
        </is>
      </c>
      <c r="D2" s="10" t="inlineStr">
        <is>
          <t>Type</t>
        </is>
      </c>
      <c r="E2" s="10" t="inlineStr">
        <is>
          <t>D1 Codes</t>
        </is>
      </c>
      <c r="F2" s="10" t="inlineStr">
        <is>
          <t>D2 Codes</t>
        </is>
      </c>
      <c r="G2" s="10" t="inlineStr">
        <is>
          <t>Inductive</t>
        </is>
      </c>
      <c r="H2" s="10" t="inlineStr">
        <is>
          <t>Total</t>
        </is>
      </c>
      <c r="I2" s="10" t="inlineStr">
        <is>
          <t>Notes</t>
        </is>
      </c>
    </row>
    <row r="3">
      <c r="A3" t="inlineStr">
        <is>
          <t>Debate Presidencial 2023</t>
        </is>
      </c>
      <c r="B3" t="inlineStr">
        <is>
          <t>2023-10-08</t>
        </is>
      </c>
      <c r="C3" t="inlineStr">
        <is>
          <t>Buenos Aires</t>
        </is>
      </c>
      <c r="D3" t="inlineStr">
        <is>
          <t>Debate</t>
        </is>
      </c>
      <c r="E3">
        <f>COUNTIFS('Coded Passages'!$H:$H,$A3,'Coded Passages'!$B:$B,"D1*")</f>
        <v/>
      </c>
      <c r="F3">
        <f>COUNTIFS('Coded Passages'!$H:$H,$A3,'Coded Passages'!$B:$B,"D2*")</f>
        <v/>
      </c>
      <c r="G3">
        <f>COUNTIFS('Coded Passages'!$H:$H,$A3,'Coded Passages'!$B:$B,"IND")</f>
        <v/>
      </c>
      <c r="H3">
        <f>E3+F3+G3</f>
        <v/>
      </c>
      <c r="I3" t="inlineStr">
        <is>
          <t>D2=0 in v3 (speech corpus)</t>
        </is>
      </c>
    </row>
    <row r="4">
      <c r="A4" t="inlineStr">
        <is>
          <t>WEF Davos 2024</t>
        </is>
      </c>
      <c r="B4" t="inlineStr">
        <is>
          <t>2024-01-17</t>
        </is>
      </c>
      <c r="C4" t="inlineStr">
        <is>
          <t>Davos</t>
        </is>
      </c>
      <c r="D4" t="inlineStr">
        <is>
          <t>Speech</t>
        </is>
      </c>
      <c r="E4">
        <f>COUNTIFS('Coded Passages'!$H:$H,$A4,'Coded Passages'!$B:$B,"D1*")</f>
        <v/>
      </c>
      <c r="F4">
        <f>COUNTIFS('Coded Passages'!$H:$H,$A4,'Coded Passages'!$B:$B,"D2*")</f>
        <v/>
      </c>
      <c r="G4">
        <f>COUNTIFS('Coded Passages'!$H:$H,$A4,'Coded Passages'!$B:$B,"IND")</f>
        <v/>
      </c>
      <c r="H4">
        <f>E4+F4+G4</f>
        <v/>
      </c>
      <c r="I4" t="inlineStr">
        <is>
          <t>D2=0 in v3 (speech corpus)</t>
        </is>
      </c>
    </row>
    <row r="5">
      <c r="A5" t="inlineStr">
        <is>
          <t>Apertura Sesiones Ordinarias 2024 (142°)</t>
        </is>
      </c>
      <c r="B5" t="inlineStr">
        <is>
          <t>2024-03-01</t>
        </is>
      </c>
      <c r="C5" t="inlineStr">
        <is>
          <t>Buenos Aires</t>
        </is>
      </c>
      <c r="D5" t="inlineStr">
        <is>
          <t>Speech</t>
        </is>
      </c>
      <c r="E5">
        <f>COUNTIFS('Coded Passages'!$H:$H,$A5,'Coded Passages'!$B:$B,"D1*")</f>
        <v/>
      </c>
      <c r="F5">
        <f>COUNTIFS('Coded Passages'!$H:$H,$A5,'Coded Passages'!$B:$B,"D2*")</f>
        <v/>
      </c>
      <c r="G5">
        <f>COUNTIFS('Coded Passages'!$H:$H,$A5,'Coded Passages'!$B:$B,"IND")</f>
        <v/>
      </c>
      <c r="H5">
        <f>E5+F5+G5</f>
        <v/>
      </c>
      <c r="I5" t="inlineStr">
        <is>
          <t>D2=0 in v3 (speech corpus)</t>
        </is>
      </c>
    </row>
    <row r="6">
      <c r="A6" t="inlineStr">
        <is>
          <t>UN General Assembly 79th</t>
        </is>
      </c>
      <c r="B6" t="inlineStr">
        <is>
          <t>2024-09-24</t>
        </is>
      </c>
      <c r="C6" t="inlineStr">
        <is>
          <t>New York</t>
        </is>
      </c>
      <c r="D6" t="inlineStr">
        <is>
          <t>Speech</t>
        </is>
      </c>
      <c r="E6">
        <f>COUNTIFS('Coded Passages'!$H:$H,$A6,'Coded Passages'!$B:$B,"D1*")</f>
        <v/>
      </c>
      <c r="F6">
        <f>COUNTIFS('Coded Passages'!$H:$H,$A6,'Coded Passages'!$B:$B,"D2*")</f>
        <v/>
      </c>
      <c r="G6">
        <f>COUNTIFS('Coded Passages'!$H:$H,$A6,'Coded Passages'!$B:$B,"IND")</f>
        <v/>
      </c>
      <c r="H6">
        <f>E6+F6+G6</f>
        <v/>
      </c>
      <c r="I6" t="inlineStr">
        <is>
          <t>D2=0 in v3 (speech corpus)</t>
        </is>
      </c>
    </row>
    <row r="7">
      <c r="A7" t="inlineStr">
        <is>
          <t>WEF Davos 2025</t>
        </is>
      </c>
      <c r="B7" t="inlineStr">
        <is>
          <t>2025-01-23</t>
        </is>
      </c>
      <c r="C7" t="inlineStr">
        <is>
          <t>Davos</t>
        </is>
      </c>
      <c r="D7" t="inlineStr">
        <is>
          <t>Speech</t>
        </is>
      </c>
      <c r="E7">
        <f>COUNTIFS('Coded Passages'!$H:$H,$A7,'Coded Passages'!$B:$B,"D1*")</f>
        <v/>
      </c>
      <c r="F7">
        <f>COUNTIFS('Coded Passages'!$H:$H,$A7,'Coded Passages'!$B:$B,"D2*")</f>
        <v/>
      </c>
      <c r="G7">
        <f>COUNTIFS('Coded Passages'!$H:$H,$A7,'Coded Passages'!$B:$B,"IND")</f>
        <v/>
      </c>
      <c r="H7">
        <f>E7+F7+G7</f>
        <v/>
      </c>
      <c r="I7" t="inlineStr">
        <is>
          <t>D2=0 in v3 (speech corpus)</t>
        </is>
      </c>
    </row>
    <row r="8">
      <c r="A8" t="inlineStr">
        <is>
          <t>Apertura Sesiones Ordinarias 2025 (143°)</t>
        </is>
      </c>
      <c r="B8" t="inlineStr">
        <is>
          <t>2025-03-01</t>
        </is>
      </c>
      <c r="C8" t="inlineStr">
        <is>
          <t>Buenos Aires</t>
        </is>
      </c>
      <c r="D8" t="inlineStr">
        <is>
          <t>Speech</t>
        </is>
      </c>
      <c r="E8">
        <f>COUNTIFS('Coded Passages'!$H:$H,$A8,'Coded Passages'!$B:$B,"D1*")</f>
        <v/>
      </c>
      <c r="F8">
        <f>COUNTIFS('Coded Passages'!$H:$H,$A8,'Coded Passages'!$B:$B,"D2*")</f>
        <v/>
      </c>
      <c r="G8">
        <f>COUNTIFS('Coded Passages'!$H:$H,$A8,'Coded Passages'!$B:$B,"IND")</f>
        <v/>
      </c>
      <c r="H8">
        <f>E8+F8+G8</f>
        <v/>
      </c>
      <c r="I8" t="inlineStr">
        <is>
          <t>D2=0 in v3 (speech corpus)</t>
        </is>
      </c>
    </row>
    <row r="9">
      <c r="A9" t="inlineStr">
        <is>
          <t>UN General Assembly 80th</t>
        </is>
      </c>
      <c r="B9" t="inlineStr">
        <is>
          <t>2025-09-24</t>
        </is>
      </c>
      <c r="C9" t="inlineStr">
        <is>
          <t>New York</t>
        </is>
      </c>
      <c r="D9" t="inlineStr">
        <is>
          <t>Speech</t>
        </is>
      </c>
      <c r="E9">
        <f>COUNTIFS('Coded Passages'!$H:$H,$A9,'Coded Passages'!$B:$B,"D1*")</f>
        <v/>
      </c>
      <c r="F9">
        <f>COUNTIFS('Coded Passages'!$H:$H,$A9,'Coded Passages'!$B:$B,"D2*")</f>
        <v/>
      </c>
      <c r="G9">
        <f>COUNTIFS('Coded Passages'!$H:$H,$A9,'Coded Passages'!$B:$B,"IND")</f>
        <v/>
      </c>
      <c r="H9">
        <f>E9+F9+G9</f>
        <v/>
      </c>
      <c r="I9" t="inlineStr">
        <is>
          <t>D2=0 in v3 (speech corpus)</t>
        </is>
      </c>
    </row>
    <row r="10">
      <c r="A10" t="inlineStr">
        <is>
          <t>WEF Davos 2026</t>
        </is>
      </c>
      <c r="B10" t="inlineStr">
        <is>
          <t>2026-01-22</t>
        </is>
      </c>
      <c r="C10" t="inlineStr">
        <is>
          <t>Davos</t>
        </is>
      </c>
      <c r="D10" t="inlineStr">
        <is>
          <t>Speech</t>
        </is>
      </c>
      <c r="E10">
        <f>COUNTIFS('Coded Passages'!$H:$H,$A10,'Coded Passages'!$B:$B,"D1*")</f>
        <v/>
      </c>
      <c r="F10">
        <f>COUNTIFS('Coded Passages'!$H:$H,$A10,'Coded Passages'!$B:$B,"D2*")</f>
        <v/>
      </c>
      <c r="G10">
        <f>COUNTIFS('Coded Passages'!$H:$H,$A10,'Coded Passages'!$B:$B,"IND")</f>
        <v/>
      </c>
      <c r="H10">
        <f>E10+F10+G10</f>
        <v/>
      </c>
      <c r="I10" t="inlineStr">
        <is>
          <t>D2=0 in v3 (speech corpus)</t>
        </is>
      </c>
    </row>
    <row r="11">
      <c r="A11" t="inlineStr">
        <is>
          <t>Apertura Sesiones Ordinarias 2026 (144°)</t>
        </is>
      </c>
      <c r="B11" t="inlineStr">
        <is>
          <t>2026-03-01</t>
        </is>
      </c>
      <c r="C11" t="inlineStr">
        <is>
          <t>Buenos Aires</t>
        </is>
      </c>
      <c r="D11" t="inlineStr">
        <is>
          <t>Speech</t>
        </is>
      </c>
      <c r="E11">
        <f>COUNTIFS('Coded Passages'!$H:$H,$A11,'Coded Passages'!$B:$B,"D1*")</f>
        <v/>
      </c>
      <c r="F11">
        <f>COUNTIFS('Coded Passages'!$H:$H,$A11,'Coded Passages'!$B:$B,"D2*")</f>
        <v/>
      </c>
      <c r="G11">
        <f>COUNTIFS('Coded Passages'!$H:$H,$A11,'Coded Passages'!$B:$B,"IND")</f>
        <v/>
      </c>
      <c r="H11">
        <f>E11+F11+G11</f>
        <v/>
      </c>
      <c r="I11" t="inlineStr">
        <is>
          <t>D2=0 in v3 (speech corpus)</t>
        </is>
      </c>
    </row>
    <row r="12">
      <c r="A12" s="9" t="inlineStr">
        <is>
          <t>TOTAL</t>
        </is>
      </c>
      <c r="E12" s="9">
        <f>SUM(E3:E11)</f>
        <v/>
      </c>
      <c r="F12" s="9">
        <f>SUM(F3:F11)</f>
        <v/>
      </c>
      <c r="G12" s="9">
        <f>SUM(G3:G11)</f>
        <v/>
      </c>
      <c r="H12" s="9">
        <f>SUM(H3:H11)</f>
        <v/>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2026-06-09T01:02:51Z</dcterms:created>
  <dcterms:modified xmlns:dcterms="http://purl.org/dc/terms/" xmlns:xsi="http://www.w3.org/2001/XMLSchema-instance" xsi:type="dcterms:W3CDTF">2026-06-09T01:02:51Z</dcterms:modified>
</cp:coreProperties>
</file>