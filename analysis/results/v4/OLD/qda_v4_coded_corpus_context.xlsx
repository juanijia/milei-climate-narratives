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uan Ignacio\.antigravity\projects\milei-climate-narratives\analysis\results\v4\"/>
    </mc:Choice>
  </mc:AlternateContent>
  <xr:revisionPtr revIDLastSave="0" documentId="13_ncr:1_{39CC1B4A-448B-44BA-9F3A-1FAFB58E68DB}" xr6:coauthVersionLast="47" xr6:coauthVersionMax="47" xr10:uidLastSave="{00000000-0000-0000-0000-000000000000}"/>
  <bookViews>
    <workbookView xWindow="-98" yWindow="-98" windowWidth="20715" windowHeight="13155" xr2:uid="{00000000-000D-0000-FFFF-FFFF00000000}"/>
  </bookViews>
  <sheets>
    <sheet name="Coded Passages" sheetId="1" r:id="rId1"/>
    <sheet name="Freq — By Dimension" sheetId="2" r:id="rId2"/>
    <sheet name="Freq — By Sub-code" sheetId="3" r:id="rId3"/>
    <sheet name="Speech Overview" sheetId="4" r:id="rId4"/>
    <sheet name="Freq — By Scope" sheetId="5" r:id="rId5"/>
    <sheet name="Freq — By Venue Typ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4" i="6" l="1"/>
  <c r="E44" i="6"/>
  <c r="D44" i="6"/>
  <c r="C44" i="6"/>
  <c r="G44" i="6" s="1"/>
  <c r="F43" i="6"/>
  <c r="E43" i="6"/>
  <c r="D43" i="6"/>
  <c r="C43" i="6"/>
  <c r="G43" i="6" s="1"/>
  <c r="F42" i="6"/>
  <c r="E42" i="6"/>
  <c r="D42" i="6"/>
  <c r="C42" i="6"/>
  <c r="G42" i="6" s="1"/>
  <c r="F41" i="6"/>
  <c r="E41" i="6"/>
  <c r="D41" i="6"/>
  <c r="C41" i="6"/>
  <c r="G41" i="6" s="1"/>
  <c r="G40" i="6"/>
  <c r="F40" i="6"/>
  <c r="E40" i="6"/>
  <c r="D40" i="6"/>
  <c r="C40" i="6"/>
  <c r="F39" i="6"/>
  <c r="E39" i="6"/>
  <c r="D39" i="6"/>
  <c r="G39" i="6" s="1"/>
  <c r="C39" i="6"/>
  <c r="F38" i="6"/>
  <c r="E38" i="6"/>
  <c r="D38" i="6"/>
  <c r="C38" i="6"/>
  <c r="G38" i="6" s="1"/>
  <c r="F37" i="6"/>
  <c r="E37" i="6"/>
  <c r="D37" i="6"/>
  <c r="C37" i="6"/>
  <c r="G37" i="6" s="1"/>
  <c r="F36" i="6"/>
  <c r="E36" i="6"/>
  <c r="D36" i="6"/>
  <c r="C36" i="6"/>
  <c r="G36" i="6" s="1"/>
  <c r="F35" i="6"/>
  <c r="E35" i="6"/>
  <c r="D35" i="6"/>
  <c r="C35" i="6"/>
  <c r="G35" i="6" s="1"/>
  <c r="F34" i="6"/>
  <c r="E34" i="6"/>
  <c r="D34" i="6"/>
  <c r="C34" i="6"/>
  <c r="G34" i="6" s="1"/>
  <c r="F33" i="6"/>
  <c r="E33" i="6"/>
  <c r="D33" i="6"/>
  <c r="C33" i="6"/>
  <c r="G33" i="6" s="1"/>
  <c r="F32" i="6"/>
  <c r="E32" i="6"/>
  <c r="D32" i="6"/>
  <c r="C32" i="6"/>
  <c r="G32" i="6" s="1"/>
  <c r="F31" i="6"/>
  <c r="F45" i="6" s="1"/>
  <c r="E31" i="6"/>
  <c r="E45" i="6" s="1"/>
  <c r="D31" i="6"/>
  <c r="D45" i="6" s="1"/>
  <c r="C31" i="6"/>
  <c r="C45" i="6" s="1"/>
  <c r="F6" i="6"/>
  <c r="E6" i="6"/>
  <c r="D6" i="6"/>
  <c r="C6" i="6"/>
  <c r="G6" i="6" s="1"/>
  <c r="J6" i="6" s="1"/>
  <c r="F5" i="6"/>
  <c r="E5" i="6"/>
  <c r="D5" i="6"/>
  <c r="C5" i="6"/>
  <c r="G5" i="6" s="1"/>
  <c r="J5" i="6" s="1"/>
  <c r="F4" i="6"/>
  <c r="E4" i="6"/>
  <c r="D4" i="6"/>
  <c r="C4" i="6"/>
  <c r="G4" i="6" s="1"/>
  <c r="J4" i="6" s="1"/>
  <c r="F3" i="6"/>
  <c r="F7" i="6" s="1"/>
  <c r="E3" i="6"/>
  <c r="E7" i="6" s="1"/>
  <c r="D3" i="6"/>
  <c r="D7" i="6" s="1"/>
  <c r="C3" i="6"/>
  <c r="G3" i="6" s="1"/>
  <c r="D44" i="5"/>
  <c r="C44" i="5"/>
  <c r="E44" i="5" s="1"/>
  <c r="D43" i="5"/>
  <c r="C43" i="5"/>
  <c r="E43" i="5" s="1"/>
  <c r="E42" i="5"/>
  <c r="D42" i="5"/>
  <c r="C42" i="5"/>
  <c r="D41" i="5"/>
  <c r="C41" i="5"/>
  <c r="E41" i="5" s="1"/>
  <c r="D40" i="5"/>
  <c r="C40" i="5"/>
  <c r="E40" i="5" s="1"/>
  <c r="E39" i="5"/>
  <c r="D39" i="5"/>
  <c r="C39" i="5"/>
  <c r="E38" i="5"/>
  <c r="D38" i="5"/>
  <c r="C38" i="5"/>
  <c r="E37" i="5"/>
  <c r="D37" i="5"/>
  <c r="C37" i="5"/>
  <c r="D36" i="5"/>
  <c r="C36" i="5"/>
  <c r="E36" i="5" s="1"/>
  <c r="D35" i="5"/>
  <c r="C35" i="5"/>
  <c r="E35" i="5" s="1"/>
  <c r="E34" i="5"/>
  <c r="D34" i="5"/>
  <c r="C34" i="5"/>
  <c r="D33" i="5"/>
  <c r="C33" i="5"/>
  <c r="E33" i="5" s="1"/>
  <c r="D32" i="5"/>
  <c r="C32" i="5"/>
  <c r="E32" i="5" s="1"/>
  <c r="E31" i="5"/>
  <c r="D31" i="5"/>
  <c r="D45" i="5" s="1"/>
  <c r="C31" i="5"/>
  <c r="C45" i="5" s="1"/>
  <c r="H6" i="5"/>
  <c r="E6" i="5"/>
  <c r="D6" i="5"/>
  <c r="C6" i="5"/>
  <c r="E5" i="5"/>
  <c r="H5" i="5" s="1"/>
  <c r="D5" i="5"/>
  <c r="C5" i="5"/>
  <c r="D4" i="5"/>
  <c r="C4" i="5"/>
  <c r="E4" i="5" s="1"/>
  <c r="H4" i="5" s="1"/>
  <c r="D3" i="5"/>
  <c r="D7" i="5" s="1"/>
  <c r="C3" i="5"/>
  <c r="E3" i="5" s="1"/>
  <c r="H11" i="4"/>
  <c r="G11" i="4"/>
  <c r="F11" i="4"/>
  <c r="I11" i="4" s="1"/>
  <c r="H10" i="4"/>
  <c r="G10" i="4"/>
  <c r="F10" i="4"/>
  <c r="I10" i="4" s="1"/>
  <c r="H9" i="4"/>
  <c r="G9" i="4"/>
  <c r="F9" i="4"/>
  <c r="I9" i="4" s="1"/>
  <c r="H8" i="4"/>
  <c r="G8" i="4"/>
  <c r="F8" i="4"/>
  <c r="I8" i="4" s="1"/>
  <c r="H7" i="4"/>
  <c r="G7" i="4"/>
  <c r="F7" i="4"/>
  <c r="I7" i="4" s="1"/>
  <c r="H6" i="4"/>
  <c r="G6" i="4"/>
  <c r="F6" i="4"/>
  <c r="I6" i="4" s="1"/>
  <c r="H5" i="4"/>
  <c r="G5" i="4"/>
  <c r="F5" i="4"/>
  <c r="I5" i="4" s="1"/>
  <c r="H4" i="4"/>
  <c r="G4" i="4"/>
  <c r="F4" i="4"/>
  <c r="I4" i="4" s="1"/>
  <c r="H3" i="4"/>
  <c r="H12" i="4" s="1"/>
  <c r="G3" i="4"/>
  <c r="G12" i="4" s="1"/>
  <c r="F3" i="4"/>
  <c r="F12" i="4" s="1"/>
  <c r="K17" i="3"/>
  <c r="K7" i="2"/>
  <c r="J6" i="2"/>
  <c r="I6" i="2"/>
  <c r="H6" i="2"/>
  <c r="G6" i="2"/>
  <c r="F6" i="2"/>
  <c r="E6" i="2"/>
  <c r="D6" i="2"/>
  <c r="C6" i="2"/>
  <c r="L6" i="2" s="1"/>
  <c r="O6" i="2" s="1"/>
  <c r="B6" i="2"/>
  <c r="J5" i="2"/>
  <c r="I5" i="2"/>
  <c r="H5" i="2"/>
  <c r="G5" i="2"/>
  <c r="F5" i="2"/>
  <c r="E5" i="2"/>
  <c r="D5" i="2"/>
  <c r="C5" i="2"/>
  <c r="L5" i="2" s="1"/>
  <c r="O5" i="2" s="1"/>
  <c r="B5" i="2"/>
  <c r="J4" i="2"/>
  <c r="I4" i="2"/>
  <c r="H4" i="2"/>
  <c r="G4" i="2"/>
  <c r="G7" i="2" s="1"/>
  <c r="F4" i="2"/>
  <c r="E4" i="2"/>
  <c r="D4" i="2"/>
  <c r="C4" i="2"/>
  <c r="L4" i="2" s="1"/>
  <c r="O4" i="2" s="1"/>
  <c r="B4" i="2"/>
  <c r="J3" i="2"/>
  <c r="J7" i="2" s="1"/>
  <c r="I3" i="2"/>
  <c r="I7" i="2" s="1"/>
  <c r="H3" i="2"/>
  <c r="H7" i="2" s="1"/>
  <c r="G3" i="2"/>
  <c r="F3" i="2"/>
  <c r="F7" i="2" s="1"/>
  <c r="E3" i="2"/>
  <c r="E7" i="2" s="1"/>
  <c r="D3" i="2"/>
  <c r="D7" i="2" s="1"/>
  <c r="C3" i="2"/>
  <c r="L3" i="2" s="1"/>
  <c r="B3" i="2"/>
  <c r="L7" i="2" l="1"/>
  <c r="O3" i="2"/>
  <c r="H3" i="5"/>
  <c r="E7" i="5"/>
  <c r="E45" i="5"/>
  <c r="J3" i="6"/>
  <c r="G7" i="6"/>
  <c r="C7" i="5"/>
  <c r="C7" i="6"/>
  <c r="G31" i="6"/>
  <c r="G45" i="6" s="1"/>
  <c r="C7" i="2"/>
  <c r="I3" i="4"/>
  <c r="I12" i="4" s="1"/>
  <c r="C7" i="3"/>
  <c r="L7" i="3"/>
  <c r="O7" i="3"/>
  <c r="O10" i="3"/>
  <c r="L10" i="3"/>
  <c r="C10" i="3"/>
  <c r="C14" i="3"/>
  <c r="L14" i="3"/>
  <c r="O14" i="3"/>
  <c r="O9" i="3"/>
  <c r="L9" i="3"/>
  <c r="C9" i="3"/>
  <c r="D17" i="3"/>
  <c r="D3" i="3"/>
  <c r="C16" i="3"/>
  <c r="L16" i="3"/>
  <c r="O16" i="3"/>
  <c r="J17" i="3"/>
  <c r="J3" i="3"/>
  <c r="C12" i="3"/>
  <c r="L12" i="3"/>
  <c r="O12" i="3"/>
  <c r="G17" i="3"/>
  <c r="G3" i="3"/>
  <c r="H17" i="3"/>
  <c r="H3" i="3"/>
  <c r="L17" i="3"/>
  <c r="L3" i="3"/>
  <c r="O3" i="3"/>
  <c r="O15" i="3"/>
  <c r="L15" i="3"/>
  <c r="C15" i="3"/>
  <c r="C6" i="3"/>
  <c r="L6" i="3"/>
  <c r="O6" i="3"/>
  <c r="I17" i="3"/>
  <c r="I3" i="3"/>
  <c r="E17" i="3"/>
  <c r="E3" i="3"/>
  <c r="O4" i="3"/>
  <c r="L4" i="3"/>
  <c r="C4" i="3"/>
  <c r="C3" i="3"/>
  <c r="C17" i="3"/>
  <c r="O8" i="3"/>
  <c r="L8" i="3"/>
  <c r="C8" i="3"/>
  <c r="C5" i="3"/>
  <c r="L5" i="3"/>
  <c r="O5" i="3"/>
  <c r="H5" i="3"/>
  <c r="G5" i="3"/>
  <c r="I5" i="3"/>
  <c r="F5" i="3"/>
  <c r="D5" i="3"/>
  <c r="J5" i="3"/>
  <c r="B5" i="3"/>
  <c r="E5" i="3"/>
  <c r="D15" i="3"/>
  <c r="H15" i="3"/>
  <c r="E15" i="3"/>
  <c r="G15" i="3"/>
  <c r="F15" i="3"/>
  <c r="J15" i="3"/>
  <c r="B15" i="3"/>
  <c r="I15" i="3"/>
  <c r="G16" i="3"/>
  <c r="F16" i="3"/>
  <c r="H16" i="3"/>
  <c r="J16" i="3"/>
  <c r="E16" i="3"/>
  <c r="D16" i="3"/>
  <c r="B16" i="3"/>
  <c r="I16" i="3"/>
  <c r="F13" i="3"/>
  <c r="E13" i="3"/>
  <c r="J13" i="3"/>
  <c r="D13" i="3"/>
  <c r="I13" i="3"/>
  <c r="G13" i="3"/>
  <c r="H13" i="3"/>
  <c r="E10" i="3"/>
  <c r="I10" i="3"/>
  <c r="H10" i="3"/>
  <c r="F10" i="3"/>
  <c r="D10" i="3"/>
  <c r="J10" i="3"/>
  <c r="B10" i="3"/>
  <c r="G10" i="3"/>
  <c r="E6" i="3"/>
  <c r="J6" i="3"/>
  <c r="F6" i="3"/>
  <c r="D6" i="3"/>
  <c r="H6" i="3"/>
  <c r="G6" i="3"/>
  <c r="B6" i="3"/>
  <c r="I6" i="3"/>
  <c r="F9" i="3"/>
  <c r="D9" i="3"/>
  <c r="H9" i="3"/>
  <c r="G9" i="3"/>
  <c r="E9" i="3"/>
  <c r="I9" i="3"/>
  <c r="B9" i="3"/>
  <c r="J9" i="3"/>
  <c r="J4" i="3"/>
  <c r="F4" i="3"/>
  <c r="D4" i="3"/>
  <c r="G4" i="3"/>
  <c r="I4" i="3"/>
  <c r="H4" i="3"/>
  <c r="B4" i="3"/>
  <c r="E4" i="3"/>
  <c r="I11" i="3"/>
  <c r="H11" i="3"/>
  <c r="G11" i="3"/>
  <c r="E11" i="3"/>
  <c r="D11" i="3"/>
  <c r="F11" i="3"/>
  <c r="J11" i="3"/>
  <c r="D12" i="3"/>
  <c r="I12" i="3"/>
  <c r="E12" i="3"/>
  <c r="G12" i="3"/>
  <c r="J12" i="3"/>
  <c r="F12" i="3"/>
  <c r="B12" i="3"/>
  <c r="H12" i="3"/>
  <c r="E8" i="3"/>
  <c r="H8" i="3"/>
  <c r="G8" i="3"/>
  <c r="D8" i="3"/>
  <c r="F8" i="3"/>
  <c r="I8" i="3"/>
  <c r="B8" i="3"/>
  <c r="J8" i="3"/>
  <c r="B13" i="3"/>
  <c r="C13" i="3"/>
  <c r="L13" i="3"/>
  <c r="O13" i="3"/>
  <c r="G14" i="3"/>
  <c r="H14" i="3"/>
  <c r="D14" i="3"/>
  <c r="J14" i="3"/>
  <c r="E14" i="3"/>
  <c r="F14" i="3"/>
  <c r="B14" i="3"/>
  <c r="I14" i="3"/>
  <c r="F7" i="3"/>
  <c r="H7" i="3"/>
  <c r="I7" i="3"/>
  <c r="D7" i="3"/>
  <c r="E7" i="3"/>
  <c r="G7" i="3"/>
  <c r="B7" i="3"/>
  <c r="J7" i="3"/>
  <c r="B11" i="3"/>
  <c r="C11" i="3"/>
  <c r="L11" i="3"/>
  <c r="O11" i="3"/>
  <c r="F17" i="3"/>
  <c r="B3" i="3"/>
  <c r="F3" i="3"/>
</calcChain>
</file>

<file path=xl/sharedStrings.xml><?xml version="1.0" encoding="utf-8"?>
<sst xmlns="http://schemas.openxmlformats.org/spreadsheetml/2006/main" count="1237" uniqueCount="243">
  <si>
    <t>Milei Climate Narratives — v4 Coded Passages  ·  Data source for all summary sheets</t>
  </si>
  <si>
    <t>#</t>
  </si>
  <si>
    <t>Dimension</t>
  </si>
  <si>
    <t>Sub-dimension</t>
  </si>
  <si>
    <t>Dimension (Full)</t>
  </si>
  <si>
    <t>Sub-code (Full)</t>
  </si>
  <si>
    <t>Quoted Passage</t>
  </si>
  <si>
    <t>Analytical Memo</t>
  </si>
  <si>
    <t>Speech</t>
  </si>
  <si>
    <t>Date</t>
  </si>
  <si>
    <t>Venue</t>
  </si>
  <si>
    <t>Type</t>
  </si>
  <si>
    <t>Scope</t>
  </si>
  <si>
    <t>D1.2</t>
  </si>
  <si>
    <t>Climate Skepticism or Dismissal</t>
  </si>
  <si>
    <t>D1.2 — Public Science &amp; Expertise</t>
  </si>
  <si>
    <t>[MILEI — Respuesta]: A ver primero no mienta. Yo no niego el cambio climático. Lo que yo digo es que existe en la historia de la tierra un ciclo de temperaturas, es decir hay un comportamiento cíclico y este es el quinto punto del ciclo — donde la diferencia con los cuatro anteriores es que antes no estaba el ser humano. Por lo tanto todas esas políticas que culpan al ser humano del cambio climático son falsas y lo único que buscan es recaudar fondos para financiar vagos socialistas que escriben papers de cuarta.</t>
  </si>
  <si>
    <t>Milei performs the disclaimer-then-dismiss move: "I don't deny climate change" is immediately followed by the natural-cycles attribution, which reproduces effective denial while maintaining rhetorical deniability. The key claim — "all those policies that blame humans for climate change are false" — is a direct dismissal of the scientific basis for climate regulation, delivered as a logical conclusion from the paleoclimatic premise. This is the most compressed instance of Climate_Skepticism_or_Dismissal in the corpus: denial of anthropogenic attribution without denial of the climate phenomenon itself.</t>
  </si>
  <si>
    <t>Debate Presidencial 2023</t>
  </si>
  <si>
    <t>2023-10-08</t>
  </si>
  <si>
    <t>Buenos Aires</t>
  </si>
  <si>
    <t>Debate presidencial</t>
  </si>
  <si>
    <t>National</t>
  </si>
  <si>
    <t>D1.1</t>
  </si>
  <si>
    <t>Sustainability as Ideological or Harmful</t>
  </si>
  <si>
    <t>D1.1 — State Intervention &amp; Governance</t>
  </si>
  <si>
    <t>"Recaudar fondos para financiar vagos socialistas que escriben papers de cuarta" reframes climate policy as a rent-extraction mechanism for a parasitic academic class. The claim is not that climate policy is merely wrong — it is that climate policy exists as an institutional vehicle for redistributing resources to ideologically motivated, low-quality scholarship. This is Sustainability_as_Ideological_or_Harmful at its most direct: the policy's real function is material redistribution under ideological cover, not environmental protection.</t>
  </si>
  <si>
    <t>Attack on Experts &amp; Technocrats</t>
  </si>
  <si>
    <t>"Vagos socialistas que escriben papers de cuarta" is the rawest expert delegitimation in the corpus — climate scientists reduced to lazy, ideologically motivated rent-seekers producing worthless work. Unlike the more sophisticated epistemological arguments deployed at Davos (which grant good intentions while invalidating the theoretical framework), here the attack is purely ad hominem and institutional, characterizing climate science as professionally worthless rather than merely theoretically flawed.</t>
  </si>
  <si>
    <t>D1.3</t>
  </si>
  <si>
    <t>Civilizational Defense</t>
  </si>
  <si>
    <t>D1.3 — Cultural Backlash</t>
  </si>
  <si>
    <t>Buenas tardes, muchas gracias: hoy estoy acá para decirles que Occidente está en peligro, está en peligro porque aquellos, que supuestamente deben defender los valores de Occidente, se encuentran cooptados por una visión del mundo que – inexorablemente – conduce al socialismo, en consecuencia a la pobreza. Lamentablemente en las últimas décadas, motivados por algunos deseos bien pensantes de querer ayudar al prójimo y otros por el deseo de querer pertenecer a una casta privilegiada, los principales líderes del mundo occidental han abandonado el modelo de la libertad, por distintas versiones, de lo que llamamos colectivismo.</t>
  </si>
  <si>
    <t>The opening sentences establish the master civilizational frame for the entire speech: Western civilization is under existential threat from socialism, and the WEF audience itself is identified as part of a "casta privilegiada" complicit in that decline. This frame pre-loads every subsequent critique — including of environmental policy — with civilizational stakes. Climate governance emanating from the "cooptados" Western establishment is tainted by association with civilizational threat, making engagement with it a form of civilizational capitulation.</t>
  </si>
  <si>
    <t>WEF Davos 2024</t>
  </si>
  <si>
    <t>2024-01-17</t>
  </si>
  <si>
    <t>Davos, Suiza</t>
  </si>
  <si>
    <t>Foro económico internacional</t>
  </si>
  <si>
    <t>International</t>
  </si>
  <si>
    <t>Anti-Casta (Elite Frame)</t>
  </si>
  <si>
    <t>"Pertenecer a una casta privilegiada" extends Milei's domestic anti-elite frame to the global governance level, targeting the WEF audience itself. International climate institutions and their leaders are pre-emptively delegitimized as members of a global caste pursuing privilege rather than planetary welfare — the same logic used domestically against environmental ministries and CONICET is applied globally to IPCC, UNEP, and multilateral climate bodies.</t>
  </si>
  <si>
    <t>Market Primacy</t>
  </si>
  <si>
    <t>La conclusión es obvia: lejos de ser la causa de nuestros problemas, el capitalismo de libre empresa, como sistema económico, es la única herramienta que tenemos para terminar con el hambre, la pobreza y la indigencia, a lo largo y a lo ancho de todo el planeta. La evidencia empírica es incuestionable.</t>
  </si>
  <si>
    <t>The hockey-stick economic history culminates in the categorical Market_Primacy claim: free-enterprise capitalism is "the only tool" for ending poverty, and the conclusion is declared empirically self-evident. For sustainability governance, the structural implication is total: if markets are the only legitimate mechanism for solving the most fundamental collective problem (poverty), they are implicitly the only legitimate mechanism for environmental problems, displacing any basis for state-led climate regulation.</t>
  </si>
  <si>
    <t>Selective Empiricism</t>
  </si>
  <si>
    <t>"La evidencia empírica es incuestionable" is the canonical Selective_Empiricism instance in the corpus: Milei claims unquestionable empirical authority for the pro-market historical narrative, but later in the same speech systematically dismisses opposing academic and institutional knowledge (including climate science) as ideologically captured. The move is to appropriate the prestige of empiricism for one side while denying it to the other — crowding out rather than refuting.</t>
  </si>
  <si>
    <t>El colectivismo - al inhibir estos procesos de descubrimiento y al dificultar la apropiación de lo descubierto - ata al emprendedor de las manos y le imposibilita producir mejores bienes y ofrecer mejores servicios a un mejor precio. ¿Cómo puede ser, entonces, que desde la academia, los organismos internacionales, la política y la teoría económica se demonice un sistema económico que no sólo ha sacado de la pobreza más extrema, al 90 por ciento de la población mundial?</t>
  </si>
  <si>
    <t>The Kirznerian market-as-discovery-process argument provides theoretical grounding: environmental outcomes, like economic ones, are best achieved through decentralized market discovery rather than state planning. "Academia, los organismos internacionales, la política y la teoría económica" — the four pillars of climate governance legitimacy — are grouped as an ideological bloc irrationally hostile to the proven market mechanism.</t>
  </si>
  <si>
    <t>The entire authority apparatus — academic, international, political, theoretical — is presented as a unified bloc that "demonizes" capitalism. For sustainability governance: IPCC, UNEP, national science ministries, and environmental economics are all expressions of the same anti-capitalist ideological formation. This is a structural delegitimation of the expert class, not a dispute with specific scientific findings.</t>
  </si>
  <si>
    <t>Pseudo-Science / Ideological Science</t>
  </si>
  <si>
    <t>El problema esencial de occidente hoy es que no sólo debemos enfrentarnos a quienes siguen bregando por el socialismo empobrecedor; sino también a nuestros propios líderes, pensadores y académicos que, amparados en un marco teórico equivocado, socavan los fundamentos del sistema que nos ha dado la mayor expansión de riqueza y prosperidad de nuestra historia.</t>
  </si>
  <si>
    <t>"Amparados en un marco teórico equivocado" frames the entire academic and expert community as epistemically compromised: their framework is wrong, and therefore their outputs — including climate science, environmental economics, and sustainability research — are systematically distorted. The concession of good intentions ("sin quererlo," as the next paragraph notes) makes this a structurally more powerful delegitimation than the debate's ad hominem: it invalidates conclusions while preserving a veneer of charity toward the actors.</t>
  </si>
  <si>
    <t>Delegitimization of Regulation</t>
  </si>
  <si>
    <t>El marco teórico al que me refiero es el de la teoría económica neoclásica, que diseña un instrumental que, sin quererlo, termina siendo funcional a la intromisión del estado. El problema de los neoclásicos es que como el modelo del que se enamoraron no mapea contra la realidad, atribuyen el error a supuestos fallos del mercado en vez de revisar las premisas de su modelo.</t>
  </si>
  <si>
    <t>The attack on neoclassical economics demolishes the theoretical foundation of environmental regulation. Mainstream climate policy — carbon pricing, Pigouvian taxes, cap-and-trade — derives its justification from externality theory, precisely the "instrumental" Milei argues ends up serving state intrusion. By framing neoclassical economics as the theoretical Trojan horse through which socialism enters, he delegitimizes the entire economic-theoretical basis for climate regulation at the level of first principles.</t>
  </si>
  <si>
    <t>El pretexto de un supuesto fallo de mercado se introducen regulaciones que lo único que generan es distorsiones en el sistema de precios, que impiden el cálculo económico, y en consecuencia el ahorro, la inversión y el crecimiento.</t>
  </si>
  <si>
    <t>The positive deregulation case through intervention-spiral logic: each regulatory "correction" of a supposed market failure compounds the problem by distorting price signals, impairing economic calculation, reducing saving, investment, and growth. Applied to climate policy: carbon taxes, emissions standards, and green industrial mandates suppress economic activity rather than solving an environmental problem.</t>
  </si>
  <si>
    <t>Si las transacciones son voluntarias, el único contexto en el que puede haber un fallo de mercado es si hay coacción. Y el único con la capacidad de coaccionar de manera generalizada es el estado que tiene el monopolio de la violencia. Los fallos de mercado no existen.</t>
  </si>
  <si>
    <t>"El fallo del mercado es un oxímoron. No existe fallo de mercado." This is the most consequential passage in the speech for sustainability governance. Environmental externalities — greenhouse gas emissions, pollution, deforestation — are the paradigmatic market failures in environmental economics; the entire justification for climate regulation rests on this concept. By declaring market failures logically impossible (not empirically absent, but conceptually self-contradictory), Milei eliminates the theoretical ground for any climate policy whatsoever.</t>
  </si>
  <si>
    <t>The inversion of causality — apparent market failures are actually state failures — performs total delegitimation of environmental regulation: if every environmental harm traces to prior state intervention rather than market dynamics, the correct response to environmental problems is always less regulation, never more. The "monopolio de la violencia" framing additionally casts environmental regulation as coercive imposition on voluntary exchange, not corrective policy.</t>
  </si>
  <si>
    <t>Anti-State / Anti-Bureaucratic</t>
  </si>
  <si>
    <t>Sin embargo, frente a la demostración teórica de que la intervención del estado es perjudicial, y la evidencia empírica de que fracasó, la solución que propondrán los colectivistas no es mayor libertad sino que es mayor regulación, generando una espiral descendiente de regulaciones hasta que todos seamos más pobres, y la vida de todos nosotros dependa de un burócrata sentado en una oficina de lujo.</t>
  </si>
  <si>
    <t>"Un burócrata sentado en una oficina de lujo" personifies the regulatory state as a rent-seeking class who live off others' productivity. Sustainability agencies, CONICET researchers, and UNFCCC secretariat staff are implicitly "parasites" in this framing. The "espiral descendiente de regulaciones" presents regulatory accumulation as inherently self-reinforcing and catastrophic — every incremental climate regulation is a step toward total bureaucratic control.</t>
  </si>
  <si>
    <t>The positive deregulation argument is restated: each regulatory intervention contributes to the downward spiral, making removal of regulations the only way to restore growth and freedom. Applied to climate architecture: the case for removing carbon pricing, emissions standards, and green mandates is framed as preventing the slide toward bureaucratic dependency.</t>
  </si>
  <si>
    <t>Woke Bundling</t>
  </si>
  <si>
    <t>Otro de los conflictos que los socialistas plantean es el del hombre contra la naturaleza. Sostienen que los seres humanos dañamos el planeta y que debe ser protegido a toda costa, incluso llegando a abogar por mecanismos de control poblacional o en la agenda sangrienta del aborto.</t>
  </si>
  <si>
    <t>Feminism then environmentalism, both introduced as socialist "new battles" — the formal Woke_Bundling move. The emotional charge of the "ridiculous and unnatural" gender conflict transfers directly to climate via juxtaposition. The population control linkage ("mecanismos de control poblacional") further toxifies the climate cause by association with abortion in Milei's audience.</t>
  </si>
  <si>
    <t>Lamentablemente, estas ideas nocivas han impregnado fuertemente en nuestra sociedad. Los neo-marxistas han sabido cooptar el sentido común de occidente. Lograron esto gracias a la apropiación de los medios de comunicación, de la cultura, de las universidades, y sí, también de los organismos internacionales.</t>
  </si>
  <si>
    <t>The "cooptation" narrative positions universities and international organizations as ideologically captured producers of knowledge in service of a political agenda. IPCC, UNEP, WMO, and the media disseminating climate research are all nodes in an ideological network — climate science is not wrong because its methods are bad but because its institutions have been colonized by neo-Marxists.</t>
  </si>
  <si>
    <t>Rejection of Multilateral Governance</t>
  </si>
  <si>
    <t>"Los organismos internacionales" as the final node of the neo-Marxist cooptation network places the UNFCCC process, the 2030 Agenda framework, and multilateral climate funds within a conspiracy of ideological capture. This establishes the principled rationale for Argentina not to participate in or be bound by international climate commitments: these institutions are not neutral coordinators but captured instruments of a political project.</t>
  </si>
  <si>
    <t>Por suerte, somos cada vez más los que nos atrevemos a levantar la voz. Porque vemos que, si no combatimos frontalmente estas ideas, el único destino posible es que cada vez vamos a tener más estado, más regulación, más socialismo, más pobreza, menos libertad, y, en consecuencia, peor nivel de vida.</t>
  </si>
  <si>
    <t>The escalation chain — "más estado, más regulación, más socialismo, más pobreza" — presents all regulation as steps in a deterministic descent toward poverty and unfreedom. Environmental regulation is subsumed within this chain: more climate policy means more socialism, which means more poverty. Every individual regulatory act (a carbon tax, a protected area designation, an emissions standard) is a contributing step to civilizational decline.</t>
  </si>
  <si>
    <t>Con herramientas como la emisión monetaria, el endeudamiento, los subsidios, el control de la tasa de interés, los controles de precios y las regulaciones para corregir los supuestos "fallos de mercado", pueden controlar los destinos de millones de seres humanos.</t>
  </si>
  <si>
    <t>The enumeration of state control tools — including "las regulaciones para corregir los supuestos 'fallos de mercado'" — explicitly places environmental regulation in the toolkit of totalitarian control. Climate instruments (carbon pricing, emissions regulation, green industrial policy) fall squarely under one or more items in this list, framing them as mechanisms of mass control rather than environmental management.</t>
  </si>
  <si>
    <t>Para finalizar, quiero dejarle un mensaje a todos los empresarios: no se dejen amedrentar ni por la casta política ni por los parásitos que viven del estado.</t>
  </si>
  <si>
    <t>The closing exhortation to business leaders against "la casta política" and "los parásitos que viven del estado" consolidates the Anti_Casta frame globally. ESG frameworks, green investment mandates, and corporate climate disclosure requirements — all of which constrain private business on behalf of state-defined environmental goals — are implicitly tools through which "la casta" extends its reach into the productive sector.</t>
  </si>
  <si>
    <t>Attack on Universities &amp; Research Institutions</t>
  </si>
  <si>
    <t>En el plano de la Educación Superior, la creación de universidades se ha convertido en un negocio más de la política y en los profesorados e institutos de formación inicial de docentes se imparte, cada vez más, adoctrinamiento político, en lugar de educación.</t>
  </si>
  <si>
    <t>Milei frames teacher-training colleges and universities as sites of "political indoctrination" rather than education, attacking the epistemic infrastructure that produces Argentina's scientific and professional classes. This delegitimizes the knowledge-producing institutions most responsible for environmental and sustainability expertise, positioning academic education as a captured ideological project rather than a reliable source of expertise for policymaking. The move is structural rather than specific: it does not name individual environmental scholars but pathologizes the institutional culture from which climate-relevant expertise emerges.</t>
  </si>
  <si>
    <t>Apertura Sesiones Ordinarias 2024 (142°)</t>
  </si>
  <si>
    <t>2024-03-01</t>
  </si>
  <si>
    <t>Buenos Aires (Congreso)</t>
  </si>
  <si>
    <t>Acto institucional</t>
  </si>
  <si>
    <t>Tras haber visto con mis propios ojos y en detalle la vulgaridad del despilfarro con el que la política se acostumbró a vivir, ratifico una vez más que la casta política es lo peor que le puede pasar a un país como el nuestro.</t>
  </si>
  <si>
    <t>Milei confirms and intensifies the "la casta" frame as the foundational political category of his governing project. This passage is the first explicit formalization of the casta indictment in a presidential address, establishing the frame that will subsequently be applied to environmental agencies, sustainability technocrats, and international governance bodies. When this same anti-casta rhetoric is deployed later against CONICET, the Ministry of Environment, or multilateral climate bodies, its legitimating logic has been institutionalized here in the opening address of his presidency.</t>
  </si>
  <si>
    <t>Por último, también firmamos un mega Decreto de Necesidad y Urgencia para, por primera vez en décadas, devolverles la libertad a los argentinos en vez de quitárselas con regulaciones sin sentido.</t>
  </si>
  <si>
    <t>The phrase "regulaciones sin sentido" does categorical ideological work: it asserts that regulations as a class are senseless, without needing to evaluate any specific regulation's rationale. This is not a technocratic critique but an a priori dismissal — the state's power to regulate is itself illegitimate. Environmental and sustainability regulations, which depend on public justification of market failures and externalities, are pre-emptively categorized as "senseless" by this framing, before any specific environmental case can be made.</t>
  </si>
  <si>
    <t>I want to be clear on the position of the Argentine agenda: the 2030 Agenda, although well-intentioned in its goals, is nothing more than a supranational government program, socialist in nature, which seeks to solve the problems of modernity with solutions that violate the sovereignty of nation states and violate people's right to life, liberty and property. It is an agenda that pretends to solve poverty, inequality and discrimination with legislation that only deepens them. Because world history shows that the only way to guarantee prosperity is by limiting the power of the monarch, guaranteeing equality before the law and defending the right to life, liberty and property of individuals.</t>
  </si>
  <si>
    <t>The 2030 Agenda — the overarching UN sustainability framework encompassing SDGs, climate action (SDG 13), clean energy, and biodiversity — is formally declared "a supranational government program, socialist in nature." Delivered before the General Assembly, this is the highest-profile Rejection_of_Multilateral_Governance in the corpus. The framing — socialism, sovereignty violation, counterproductive legislation — activates the full set of D1.1 delegitimation registers simultaneously: ideological, statist, and harmful.</t>
  </si>
  <si>
    <t>UN General Assembly 79th</t>
  </si>
  <si>
    <t>2024-09-24</t>
  </si>
  <si>
    <t>Nueva York, EE.UU.</t>
  </si>
  <si>
    <t>Cumbre internacional</t>
  </si>
  <si>
    <t>"An agenda that pretends to solve poverty with legislation that only deepens it" is Sustainability_as_Ideological_or_Harmful in its strongest formulation: not merely ineffective but actively counterproductive. For climate specifically, SDG 13 and the Paris Agreement-linked elements are cast as policies that will deepen poverty — a geopolitically charged claim delivered to an audience of predominantly developing nations.</t>
  </si>
  <si>
    <t>The UN is positioned as an agent of collectivist civilizational decline. Argentina's dissent is framed as a defense of the principles — life, liberty, property — that define legitimate civilization. The speech functions as a civilizational declaration: Argentina aligning itself in a conflict between freedom and collectivism, with the 2030 Agenda as a key battlefield.</t>
  </si>
  <si>
    <t>It has been precisely the adoption of this agenda, which obeys privileged interests, the abandonment of the principles — outlined in the Universal Declaration of Human Rights — that has distorted the role of this institution. Thus, we have seen how an organization, born to defend the rights of man, has been one of the main proponents of the systematic violation of freedom, as — for example — with the global quarantines during the year 2020, which should be considered a crime against humanity.</t>
  </si>
  <si>
    <t>Framing the UN's COVID-19 pandemic response as "a crime against humanity" attacks both the institution and the expert consensus (epidemiological, public health) that underpinned the lockdown policies. For climate governance, the structural implication is powerful: if the UN's expert-backed response to one global emergency constitutes a crime, why should its expert-backed response to another global emergency (climate change) be trusted? This passage pre-empts any UN-mediated climate science or policy recommendation by establishing institutional criminality as a precedent.</t>
  </si>
  <si>
    <t>In the economic sphere, collectivist policies have been promoted that threaten economic growth, violate property rights, and hinder the natural economic process, preventing the most underprivileged countries in the world from freely enjoying their own resources. Moreover, a toxic relationship has been promoted between global governance policies and international lending agencies, requiring the most neglected countries to commit resources they do not have to programs they do not need, turning them into perpetual debtors to promote the agenda of the global elites.</t>
  </si>
  <si>
    <t>The "toxic relationship" between global governance and multilateral lending agencies is a direct reference to the conditionality apparatus through which climate commitments are embedded in development finance. Framed as extortion — poor countries committing "resources they do not have to programs they do not need" — this delegitimizes climate finance conditionality as neocolonial extraction rather than international solidarity. Delivered at the General Assembly with a developing-world majority, this is a geopolitically targeted version of Rejection_of_Multilateral_Governance.</t>
  </si>
  <si>
    <t>Sustainability programs are characterized as ones that developing countries "do not need," framing the entire sustainable development agenda — SDGs, climate adaptation, energy transition — as externally imposed and harmful to the global poor. This repositions climate skepticism as a defense of the world's poorest nations against elite climate imperialism, maximizing the political appeal of the argument in this specific venue.</t>
  </si>
  <si>
    <t>Nor has the tutelage of the World Economic Forum helped, where ridiculous policies are promoted with Malthusian blinders on — such as "Zero Emission" policies — which harm poor countries in particular. To policies linked to sexual and reproductive rights, when the birth rate in Western countries is plummeting, heralding a bleak future for all.</t>
  </si>
  <si>
    <t>"Zero Emission" policies are named explicitly and characterized as "ridiculous" and "Malthusian," harmful especially to poor countries. This is the most direct attack on net-zero climate policy as policy in the UN corpus: the agenda is framed as ideologically driven (Malthusian) and materially harmful (to the poor), deploying both the sustainability-as-harmful and the broader Malthusian anti-humanist framing simultaneously.</t>
  </si>
  <si>
    <t>"Zero Emission" policies are listed in the same breath as "policies linked to sexual and reproductive rights" — climate policy bundled with population/reproductive policy via the Malthusian linkage. At the General Assembly, where many member states are deeply conservative on reproductive rights, this bundling maximizes delegitimization of climate governance among the audience most capable of blocking multilateral sustainability commitments.</t>
  </si>
  <si>
    <t>An organization that, instead of confronting real global conflicts, invests time and effort in imposing on poor countries what, how and what they should produce, with whom they should associate, what they should eat and what they should believe in, as the present Pact for the Future intends to dictate.</t>
  </si>
  <si>
    <t>The list — what to produce, with whom to associate, what to eat, what to believe — encompasses climate-related production constraints (fossil fuel restrictions), trade conditionalities (Paris-Agreement-linked), dietary sustainability guidelines (meat consumption), and scientific orthodoxy (climate consensus). Framing these as illegitimate impositions on sovereignty and self-determination performs a comprehensive delegitimation covering the full scope of the sustainable development agenda.</t>
  </si>
  <si>
    <t>Therefore, I would like to issue a warning: we are at the end of a cycle. Collectivism and moral posturing, of the woke agenda, have collided with reality and no longer have credible solutions to offer to the world's real problems.</t>
  </si>
  <si>
    <t>"Collectivism and moral posturing, of the woke agenda" — the UN sustainability agenda is absorbed into the "woke agenda" at the General Assembly, delivering the same cultural-war framing to the world's premier diplomatic institution. "Has collided with reality and no longer has credible solutions" performs a temporal delegitimation: the entire 30-year history of sustainable development (from Rio 1992 to the 2030 Agenda) is retroactively framed as a project that never worked and has now conclusively failed.</t>
  </si>
  <si>
    <t>I want to be clear about something: Argentina will not support any policy that implies the restriction of individual freedoms, of trade, or the violation of the natural rights of individuals, no matter who promotes it or how much consensus that institution has. For this reason, we wish to express — officially — our dissent on the Pact of the Future, signed on Sunday, and we invite all the nations of the free world to join us, not only in dissenting from this pact, but also in the creation of a new agenda for this noble institution: the agenda of freedom.</t>
  </si>
  <si>
    <t>[V3 re-code — was D2.3 in v2] The formal announcement of dissent from the Pact for the Future is here coded as D1.1 &gt; Rejection_of_Multilateral_Governance because this passage is a rhetorical act: Milei is legitimizing and framing the exit, not performing the institutional act itself. The phrase "no matter who promotes it or how much consensus that institution has" directly applies the Fallacy_of_Authority logic to formal multilateral commitments — scientific and institutional consensus is explicitly declared non-binding. The invitation to form a counter-coalition extends the rhetorical delegitimation to a geopolitical project. The actual formal institutional act (official communication, voting record, decree) belongs in the D2 formal documentation corpus.</t>
  </si>
  <si>
    <t>From this day on, know that the Argentine Republic will abandon the position of historical neutrality and will be at the forefront of the struggle in defense of freedom.</t>
  </si>
  <si>
    <t>Argentina's declaration of a new activist foreign policy stance "in defense of freedom" — framed against the multilateral collectivist governance architecture — establishes a discursive commitment to sustained opposition to the international sustainability governance system. The rhetorical register is civilizational mobilization: Argentina is not a passive defector but a vanguard actor in a freedom-versus-collectivism conflict.</t>
  </si>
  <si>
    <t>"La lucha en defensa de la libertad" against multilateral collectivism is the Civilizational_Defense frame applied as foreign policy commitment. Western civilization's survival requires active opposition to the institutions (UN, WEF, 2030 Agenda) that Milei has spent the speech identifying as the agents of civilizational decline.</t>
  </si>
  <si>
    <t>Because I must say that forums like this one have been protagonists and promoters of the sinister agenda of wokeism that is doing so much damage to the Western world.</t>
  </si>
  <si>
    <t>WEF is named a "protagonist and promoter" of a "sinister agenda" — the institution that convenes global climate governance (the Davos Consensus, net-zero pledges, green capitalism frameworks) is delegitimized as ideologically captured before any specific climate argument is made. This is meta-level Rejection_of_Multilateral_Governance: not objecting to a specific commitment but delegitimizing the entire governance institution, meaning everything it produces — climate targets, ESG standards, green investment pledges — is tainted at source.</t>
  </si>
  <si>
    <t>WEF Davos 2025</t>
  </si>
  <si>
    <t>2025-01-23</t>
  </si>
  <si>
    <t>This is the great epidemic of our time that must be cured. This is the cancer we need to get rid of. This ideology has colonized the world's most important institutions — from the political parties and governments of leading Western nations to global governance organizations, even NGOs, universities and media outlets.</t>
  </si>
  <si>
    <t>Universities appear in the list of colonized institutions alongside global governance organizations and media. Universities are the primary sites where climate scientists are trained, climate research is produced, and the expert community underpinning IPCC assessment reports is formed. By framing universities as ideologically colonized, Milei delegitimizes the climate knowledge-production chain at its origin point.</t>
  </si>
  <si>
    <t>The enumeration of captured institutions — political parties, global governance organizations, NGOs, universities, media — covers the entire infrastructure of expert mediation in public policy: the channels through which scientific knowledge reaches and legitimizes policy decisions. Claiming all are colonized by a single ideology denies any possibility of legitimate expert mediation in climate governance.</t>
  </si>
  <si>
    <t>Anti-Socialism / Anti-Collectivism</t>
  </si>
  <si>
    <t>These are all various heads of the same beast aimed at justifying the state's expansion through the appropriation and distortion of noble causes.</t>
  </si>
  <si>
    <t>Environmentalism is listed (alongside feminism, gender ideology, and immigration) as one of several "heads of the same beast aimed at justifying the state's expansion." Neo_Marxism's core formulation: these causes are strategic tools for state expansion, not genuine moral concerns. Carbon taxes, green industrial policy, and emissions regulation are Trojan horses for socialist state growth — not environmental management.</t>
  </si>
  <si>
    <t>But once again, wokeism has managed to pervert this fundamental idea. From preserving the environment for human enjoyment, we have shifted to a fanatical environmentalism, where we humans are seen as a cancer that must be eradicated and economic development is considered little more than a crime against nature.</t>
  </si>
  <si>
    <t>The pivot from feminism to environmentalism using "Wokism also manifests in..." is the formal Woke_Bundling move: climate governance is positioned as another chapter in the same ideological story, governed by the same analytical template applied to feminism. The concession-then-perversion structure ("a matter of common sense" → "perverted") is more sophisticated than Davos 2024 — acknowledging legitimacy before delegitimizing, making the attack harder to characterize as reactionary denial.</t>
  </si>
  <si>
    <t>"Economic development is considered little more than a crime against nature" frames climate regulation as anti-civilization and anti-progress ideology. The "cancer" metaphor is analytically notable: Milei applies "cancer" both to woke ideology (which must be cured) and to how environmentalists supposedly view humanity — a double inversion equating climate advocates with those who dehumanize people.</t>
  </si>
  <si>
    <t>"Economic development is considered a crime against nature" reframes climate regulation as anti-development ideology. Particularly effective for the Global South dimension: if climate governance criminalizes development, it condemns poor countries to permanent underdevelopment in the name of ideology.</t>
  </si>
  <si>
    <t>And yet, when we argue that the Earth has already gone through five abrupt temperature change cycles, and that during four of those men was not even around, we are called 'Flat Earthers' in order to discredit our ideas, even though science and the data are on our side.</t>
  </si>
  <si>
    <t>The five-cycles argument — Earth has undergone abrupt temperature changes without human presence — is the natural cycles denialist claim deployed as a counter to anthropogenic attribution. This is the clearest direct climate science denial in the corpus. The logical structure ("this happened before without humans, therefore humans are not causing it now") elides attribution science, which isolates the anthropogenic signal from natural variability.</t>
  </si>
  <si>
    <t>"Science and the data are on our side" directly appropriates scientific authority for the denialist position. The "Flat Earthers" label is framed as a delegitimation tactic rather than a substantive critique. The epistemic authority reversal: consensus scientists become dogmatists silencing dissent, while the climate skeptic becomes the true empiricist. The move engages with no actual scientific arguments.</t>
  </si>
  <si>
    <t>Clearest corpus instance of Selective_Empiricism: "science and data are on our side" legitimates the natural-cycles claim while framing the institutional scientific community's response as ideological silencing. The dual move — appropriating empiricism for the denialist side while denying it to the consensus side — is the defining feature of this pattern.</t>
  </si>
  <si>
    <t>It is no coincidence that these same groups are the main promoters of the bloody, murderous abortion agenda, an agenda designed on the basis of the Malthusian premise that overpopulation will destroy the Earth, and that we must therefore implement some form of population control.</t>
  </si>
  <si>
    <t>The Malthus-abortion-climate chain is an intensified Woke_Bundling move: climate advocates and abortion advocates are revealed to share a common ideological foundation (Malthusianism = overpopulation as the root threat). "It is no coincidence" signals conspiratorial reasoning. Maximal contamination: climate cause associated with "bloody, murderous" abortion agenda for Milei's audience.</t>
  </si>
  <si>
    <t>And wokeism also seeks to hijack our future because by dominating the faculties of the world's most prestigious universities, it is shaping the elites of our countries to reject and deny the culture, ideas and values that made us great.</t>
  </si>
  <si>
    <t>The university attack reappears in a futurity register: universities are not just producing bad knowledge now but "shaping the elites" who will govern and make policy in the future. For climate governance, this extends the delegitimation forward in time: the next generation of policymakers, business leaders, and public intellectuals is being trained to accept the climate-governance framework as legitimate — a long-term institutional threat.</t>
  </si>
  <si>
    <t>And this organization, along with the most influential supranational bodies, have been the ideologues of this barbarity. Multilateral lending organizations have been instruments of extortion, while many national governments, and especially the European Union, have acted as their armed wing.</t>
  </si>
  <si>
    <t>WEF, "the most influential supranational bodies," multilateral lending organizations, and the EU are collectively framed as "ideologues of barbarity" and "instruments of extortion." These are precisely the institutions that implement and finance climate policy globally. Framing them as a malevolent totalizing project — not misguided but malevolent — closes off any possibility of engagement with the multilateral climate governance system.</t>
  </si>
  <si>
    <t>"Worship of a sinister and murderous ideology, as if it were a golden calf" elevates the stakes to civilizational-religious dimensions. The WEF-led governance consensus — including its climate architecture — is not an error but an idolatry that must be dismantled to save Western civilization. Civilizational_Defense at maximum intensity.</t>
  </si>
  <si>
    <t>The only thing such intervention achieves is the creation of new distortions within the price system, which in turn hinders economic calculation, savings and investment — ultimately leading to even more poverty in its wake or a mesh of abhorrent regulations, such as is the case in Europe, which kills economic growth.</t>
  </si>
  <si>
    <t>The denial of market failures restated verbatim from Davos 2024, now anchored to European climate regulation as the exemplary case of "abhorrent regulations that kill economic growth." The EU's climate regulatory architecture (ETS, CBAM, Fit for 55) is the world's most ambitious; naming it as evidence for the No_Market_Failures thesis directly targets the leading model of climate governance as proof that climate regulation causes poverty.</t>
  </si>
  <si>
    <t>The positive deregulation argument paired with the Europe case: removing climate regulation restores economic calculation, investment, and growth. "Such as is the case in Europe, which kills economic growth" — Deregulation_Benefits applied to climate regulation specifically, with the EU's climate architecture as empirical evidence.</t>
  </si>
  <si>
    <t>Not only in each of our countries, but also the drastic reduction of all supranational organizations, as this is the only way to root out this perverse system, draining its resources in order to give back to taxpayers what belongs to them, and to put an end to the sale of favours.</t>
  </si>
  <si>
    <t>[V3 re-code — was D2.3 in v2] "Drastic reduction of all supranational organizations" and "draining its resources" — this passage is here coded D1.1 &gt; Rejection_of_Multilateral_Governance because the speech is performing a rhetorical act: declaring a policy prescription and framing it as ideologically necessary. The actual institutional actions (funding reductions, withdrawal from bodies, defunding climate funds) are D2 evidence to be found in Corpus B. The prescriptive force of the passage does not change its discursive nature.</t>
  </si>
  <si>
    <t>"Wokism is nothing more than a systematic plan by the party of the state to justify state intervention" explicitly articulates the Neo_Marxism thesis for the entire woke project — including its environmental dimension: the climate agenda is a state-expansion pretext. The logical consequent is direct: drastic state reduction (including of climate institutions) is the necessary response.</t>
  </si>
  <si>
    <t>The functions of the state must once again be limited to defending the right to life, liberty and property. Any other function the state assumes will come at the expense of its fundamental role and will inevitably lead to the 'omnipresent Leviathan' that we all suffer under today.</t>
  </si>
  <si>
    <t>The minimal-state prescriptive principle categorically excludes environmental regulation as a legitimate state function. Climate policy in all its forms — carbon pricing, emissions regulation, environmental ministries, adaptation planning, clean energy mandates — falls outside life, liberty, and property, making it constitutionally illegitimate regardless of empirical merits. This is Delegitimization_of_Regulation stated as a first-principles categorical exclusion.</t>
  </si>
  <si>
    <t>Además, eliminamos la obra pública —que era uno de los curros más grandes de la política—. Y aquí también quiero dejar en claro una de las grandes falacias y mentiras de la política para con la gente, cuando dicen esa mentira de que la obra pública genera trabajo. Le digo a los argentinos de bien que eso es falso. Es falso porque las obras públicas hay que financiarlas y se financian con impuestos, ya sea de impuestos explícitos o con emisión monetaria que deriva después en el impuesto inflacionario o con deuda, esa inmoralidad que castiga a las generaciones futuras. Por lo tanto, cuando se financia la obra pública, se quita capacidad de demanda en otros sectores y el empleo que se crea con la obra pública es empleo que se destruyó en otras áreas de la economía. Áreas donde sí la gente quería gastar, y no estas cosas de prepo hechas por el Estado que solo benefician a aquellos que la ejecutan y nada a los argentinos de bien. Por lo tanto, espero que por lo menos del debate público después de quedar claro esto, erradiquemos esa mentira de que la obra pública no genera puestos de trabajo, la obra pública genera impuestos.</t>
  </si>
  <si>
    <t>The sustained argument that public works are a net economic negative because they crowd out private spending is a classic market-primacy move with direct implications for climate governance. Climate transition policy relies substantially on public investment — green infrastructure, renewable energy buildout, adaptation works. By asserting categorically that public investment destroys value rather than creating it, this passage delegitimizes the economic logic of public climate investment before any specific environmental case can be made. The framing also pathologizes public expenditure on infrastructure as inherently corrupt ("curro de la política"), making it politically toxic for future governments to justify green public investment.</t>
  </si>
  <si>
    <t>Apertura Sesiones Ordinarias 2025 (143°)</t>
  </si>
  <si>
    <t>2025-03-01</t>
  </si>
  <si>
    <t>Le quitamos potestades ridículas al Estado, que nunca se le debieron haber concedido. Durante nuestro primer año de gestión, entre el DNU 70/23, la Ley Bases y el proceso de desregulación más grande la historia, hemos concentrado alrededor y concretado 1700 reformas estructurales, eliminando regulaciones que cercenaban libertades comerciales y económicas y le ponían palos en la rueda al gran motor productivo de nuestro país, que es el sector privado. Acá también quiero hacer un ejemplo que ese maravilloso y superlativo Ministro que tengo, que es el Ministro de Desregulación, el doctor Federico Sturzenegger. Es más, dadas las costumbres de una parte de la clase política, hemos decidido hacer el ejemplo en términos de cuánto pesaba el papel. Entonces, por ejemplo, en el caso de las desregulaciones para las frutas, las regulaciones que teníamos pesaban 1600 gramos. Hoy, con el accionar de Federico Sturzenegger, esas regulaciones han caído a 80 gramos. Es decir, cayeron en un 95%. Creo que casi no hace falta que lo diga, pero ese correlato entre lo que pesaban las regulaciones tenía otro correlato en otro tipo de papeles. Digamos, a veces verdes y a veces europeos, porque entran más en el mismo peso.</t>
  </si>
  <si>
    <t>The "1700 structural reforms" figure is presented as the central achievement of the first year, with deregulation framed as "removing sticks from the wheels" of the productive sector. The ministerial role of "Ministro de Desregulación" institutionalizes deregulation as a permanent administrative function of the state, not a one-time corrective. This is significant for climate governance because environmental regulations constitute a substantial portion of the regulatory corpus being dismantled; the weight-of-paper metaphor trivializes regulatory content by reducing regulations to their bureaucratic bulk rather than their protective function.</t>
  </si>
  <si>
    <t>No es menor lo de Elon con la motosierra. La motosierra, hoy, es un símbolo de cambio de época y el inicio de una nueva era dorada para la humanidad, pero esta vez, en vez de ir a contramano del mundo, Argentina está a la vanguardia del mundo.</t>
  </si>
  <si>
    <t>The explicit alignment of Milei's chainsaw symbol with Elon Musk's DOGE deregulatory operation in the United States is a transnational validation move: it frames the anti-regulatory revolution as a global historical trend ("a new golden era for humanity") in which Argentina is the vanguard. This is significant for climate governance because both DOGE and Milei's deregulatory agenda specifically targeted environmental agencies and regulations. The "new golden era" framing positions environmental deregulation not as a contested political choice but as the natural direction of history — a form of temporal determinism that makes resistance to deregulation appear backward.</t>
  </si>
  <si>
    <t>El primer paso en este sendero es la oportunidad histórica que tenemos para entablar un acuerdo comercial con Estados Unidos. Una oportunidad que ya se nos presentó hace veinte años y dejamos pasar, desaprovechando el último gran boom de crecimiento que vio el planeta. Pero para aprovechar esta oportunidad histórica que se nos vuelve a presentar, es necesario estar dispuesto a flexibilizar o, incluso, llegado el caso, a salir del Mercosur, que lo único que logró desde su creación es enriquecer a los grandes industriales brasileros a costa de empobrecer a los argentinos.</t>
  </si>
  <si>
    <t>The willingness to exit Mercosur — a major regional multilateral governance framework — is framed as a necessary condition for national prosperity and sovereignty over trade decisions. Mercosur's institutional architecture includes environmental and sustainability chapters, and its relationship with the EU (being negotiated at this time) involved environmental conditionality. By treating Mercosur exit as a legitimate policy option and framing multilateral economic integration as inherently enriching other countries at Argentina's expense, Milei extends the rejection-of-multilateral-governance logic from the climate domain (2030 Agenda, IPCC) to the broader institutional architecture of regional governance.</t>
  </si>
  <si>
    <t>Sin embargo, advertí que la ONU se había alejado de su norte en las últimas décadas. El exitoso modelo de Naciones Unidas que hablaba de la necesidad de paz sin victoria y que se fundaba en la cooperación de los Estados-Nación se vio reemplazado por un modelo de gobierno supranacional de burócratas internacionales que buscan imponerles a los ciudadanos del mundo un modo de vivir determinado. Así es como pasamos de una organización que pretendía mediar la paz entre pares a una organización que pretende decidir no solo qué debe hacer cada Estado o Nación, sino también cada uno de los individuos en las distintas latitudes del planeta.</t>
  </si>
  <si>
    <t>The critique of the UN's transformation from a peace-mediation body to a "supranational government of international bureaucrats" directly targets the institutional architecture through which climate governance operates. UNFCCC, SDG framework, and Paris Agreement all require exactly the kind of normative prescription ("what each state must do, what each individual must do") that Milei characterizes as illegitimate overreach. "Modo de vivir determinado" positions climate NDCs and energy transition requirements as externally imposed lifestyle dictates rather than voluntary multilateral cooperation.</t>
  </si>
  <si>
    <t>UN General Assembly 80th</t>
  </si>
  <si>
    <t>2025-09-24</t>
  </si>
  <si>
    <t>"Burócratas internacionales" is the recurring personification of international governance expertise: UN climate secretariat staff, IPCC working group members, and sustainability agency personnel are "bureaucrats who impose rather than advise," denied legitimacy as technical mediators and recast as political actors pursuing their own agenda.</t>
  </si>
  <si>
    <t>Nosotros creemos en el fin original de este organismo. Creemos que existen problemas globales que requieren del diálogo y la cooperación internacional para ser resueltos. Pero para eso debemos rechazar estas extralimitaciones que a menudo acompañan a las agendas nobles. Como sostuvimos el año pasado, no acompañaremos nunca el cercenamiento de libertades individuales, comerciales, ni la violación de los derechos naturales de los ciudadanos de los Estados miembros; y, durante el último año y medio, hemos votado en consecuencia.</t>
  </si>
  <si>
    <t>[V3 re-code — was D2.3 in v2] "Durante el último año y medio, hemos votado en consecuencia" is here coded as D1.1 &gt; Rejection_of_Multilateral_Governance because this is a rhetorical act — Milei is legitimizing and affirming Argentina's principled opposition to multilateral governance overreach. The statement performs the discursive work of framing Argentina's voting behavior as ideologically consistent and morally obligatory. The voting record itself (actual votes cast at UN bodies) is the D2 institutional evidence in Corpus B. Note that the concession opening ("We believe in the original purpose of this organization") is an inoculation move — acknowledging legitimate multilateral cooperation before rejecting its current form.</t>
  </si>
  <si>
    <t>Así, los Estados contemporáneos han entrado en una dinámica donde el interés del político siempre será sacrificar el futuro en el altar del presente porque consumir el capital acumulado genera bienestar momentáneo y ese bienestar momentáneo genera votos.</t>
  </si>
  <si>
    <t>"Incendian el futuro para mantener caliente el presente" is the central rhetorical move of the entire speech: intergenerational responsibility language — the moral foundation of sustainability discourse — is co-opted and directed against the 2030 Agenda and the multilateral governance apparatus. Milei appropriates the sustainability regime's own vocabulary (futurity, sacrifice-of-present, protecting future generations) and turns it against sustainability governance itself: the bureaucrats and agencies of the 2030 Agenda are the ones sacrificing the future for present bureaucratic comfort. This is the clearest and most fully developed Temporal_Appropriation instance in the corpus.</t>
  </si>
  <si>
    <t>Con el correr de los años esta organización ha ido adquiriendo funciones ajenas a su espíritu fundacional. Ha ido creando capas sobre capa de organismos, agencias y programas hasta alcanzar una hipertrofia de administraciones que son poco efectivas a la hora de resolver los problemas para los cuales fueron creadas. Así se engrosan las responsabilidades de la ONU, se engrosan los aportes recibidos por parte de las Naciones miembro y se redujeron los resultados palpables que esta organización tenía para ofrecerle al mundo.</t>
  </si>
  <si>
    <t>"Hipertrofia de administraciones que son poco efectivas" characterizes the proliferation of UN agencies and programs as bureaucratic bloat producing poor results. UNEP, UNFCCC secretariat, IPCC, and SDG-linked programs are implicitly included in the indictment. If the agencies fail despite growing resources, the experts guiding them are not competent.</t>
  </si>
  <si>
    <t>"Capas sobre capa de organismos, agencias y programas" applies the domestic anti-bureaucratic critique at the international level: the UN sustainability architecture is presented as the supranational equivalent of the Argentine administrative bloat Milei is dismantling domestically. This normalizes drastic reduction of the multilateral sustainability apparatus as rational efficiency reform — not political hostility to climate governance but consistent application of anti-bureaucratic logic.</t>
  </si>
  <si>
    <t>A este cóctel de incentivos cruzados se le suma que, a diferencia de los primeros mandatarios nacionales, las organizaciones internacionales nadie rinde verdaderamente cuentas por fallar en la resolución de un problema. Sin ir más lejos, los malos resultados de la Agenda 2030 dan testimonio de esto que describo. Lo que persiste en la práctica es un ciclo de estructuras que se reciclan, recursos que se multiplican y metas que se reprograman. Por esta razón, la Argentina decidió en su momento apartarse de este proceso porque veíamos en esta agenda un mal gasto de recursos escasos, con fines que no compartíamos y con el efecto de distraer la atención de las dificultades reales de un mundo encaminado al estancamiento.</t>
  </si>
  <si>
    <t>"Malos resultados de la Agenda 2030" performs a consequentialist delegitimation: the sustainability framework has failed its own stated objectives. "Estructuras que se reciclan, recursos que se multiplican y metas que se reprograman" is a devastating characterization of SDG governance as self-perpetuating institutional inertia. "Distraer la atención de las dificultades reales" frames sustainability governance as an opportunity cost — absorbing scarce resources from pressing problems. This is Sustainability_as_Ideological_or_Harmful in its consequentialist register: not that the agenda is socialist per se, but that it wastes resources and obscures real needs.</t>
  </si>
  <si>
    <t>[V3 re-code — was D2.3 in v2] "La Argentina decidió en su momento apartarse de este proceso" is here coded D1.1 &gt; Rejection_of_Multilateral_Governance. The speech is performing the discursive work of justifying and legitimizing Argentina's exit from the 2030 Agenda process — framing it as principled, rational, and sovereign. The rhetorical rationale (bad results, wrong goals, opportunity cost) is the D1 content. The formal institutional act (official communication to UN bodies, executive decree if any) is the D2 evidence to be sought in Corpus B.</t>
  </si>
  <si>
    <t>No somos, sin embargo, los únicos que estamos tomando las decisiones difíciles que este momento histórico demanda. El Presidente Trump, en Estados Unidos, también entiende que es el momento de revertir una dinámica que estaba llevando a Estados Unidos a una catástrofe. Entiende que debe hacer lo necesario, aunque a muchos no les guste.</t>
  </si>
  <si>
    <t>The invocation of Trump as co-protagonist in "the decisions this historical moment demands" elevates the obstruction of multilateral sustainability governance to a coordinated civilizational project. The U.S.-Argentina alignment — both having defected from or undermined multilateral climate commitments — is framed as a deliberate civilizational intervention against a catastrophic trajectory, not bilateral political alignment.</t>
  </si>
  <si>
    <t>1. Principio del mandato esencial. La misión central de la ONU es preservar la paz y la seguridad internacional, todo lo demás debe concebirse como complementario a ese fin. 2. Principio de subsidiariedad internacional. La ONU debería intervenir sobre un tema únicamente cuando sea evidente que el problema excede de manera demostrable las capacidades de acción nacional; en todos los demás casos corresponde devolver la iniciativa a los Estados. 3. Principio de diligencia institucional. Eso implica la realización de auditorías confiables, el cierre de programas ineficaces, la consolidación de agencias únicas y un financiamiento condicionado a resultados verificables. 4. Principio de simplificación y racionalización normativa. Solo debemos apoyar iniciativas que no restrinjan la capacidad de los Estados de liberar sus fuerzas productivas, atraer inversión y fomentar el comercio.</t>
  </si>
  <si>
    <t>[V3 re-code — was split D2.2 + D1.1 in v2] The four principles constitute a comprehensive institutional redesign proposal that strips the UN of its sustainability governance function: Principle 1 (peace/security only) excludes SDGs and climate action from legitimate UN mandates; Principle 2 (subsidiarity) removes the binding character of international climate commitments by making all sustainability governance contingent on national voluntary adoption; Principle 4 (no restrictions on productive forces) would prohibit carbon pricing and emissions regulation categorically. This is coded entirely as D1.1 &gt; Rejection_of_Multilateral_Governance in v3 because the speech is making a rhetorical proposal — arguing for an institutional redesign. The actual institutional acts required to implement these principles (treaty amendments, funding reductions, agency closures) belong in Corpus B.</t>
  </si>
  <si>
    <t>Principle 4 — "solo debemos apoyar iniciativas que no restrinjan la capacidad de los Estados de liberar sus fuerzas productivas, atraer inversión y fomentar el comercio" — frames deregulation as the positive prescription for international governance. Removing environmental and social standards from trade and investment conditions is framed as generating growth more effectively than climate programs. Proposed as a constitutional principle for international governance.</t>
  </si>
  <si>
    <t>Principle 3 — "cierre de programas ineficaces, consolidación de agencias únicas" — is the anti-bureaucratic argument applied at the international institutional level. Milei explicitly parallels this to his domestic restructuring, framing international agency consolidation as the same rational efficiency logic: wasteful bureaucracy must be eliminated wherever it exists, domestic or international.</t>
  </si>
  <si>
    <t>Therefore, the opposition between the dimensions of efficiency and justice is false and erroneous. That is to say, what is just can't be inefficient, nor can what is efficient be unjust. Actually, from the standpoint of dynamic analysis, justice and efficiency are two sides of the same coin.</t>
  </si>
  <si>
    <t>The Huerta de Soto dynamic efficiency argument performs a foundational move for Market_Primacy: it collapses the efficiency-justice distinction that underpins much environmental economics. In standard welfare economics, a carbon tax may be efficient (correcting an externality) while raising distributional concerns (justice). Milei's framework eliminates this tradeoff by definitional fiat: what is just (private property, voluntary exchange) is by definition efficient, and what is efficient cannot be unjust. This forecloses the standard case for environmental regulation — that a market failure produces an outcome both inefficient and unjust that state intervention can improve.</t>
  </si>
  <si>
    <t>WEF Davos 2026</t>
  </si>
  <si>
    <t>2026-01-22</t>
  </si>
  <si>
    <t>However, this required embracing a mathematical structure that left the door open to state intervention under the well-intentioned goal of correcting market failures, which, from my perspective, do not really exist. To address this, the proof developed by Hans-Hermann Hoppe, based on property rights in line with Locke's principle of original appropriation together with the non-aggression principle, not only proves satisfactory in establishing optimality, but also leaves no room for intervention.</t>
  </si>
  <si>
    <t>The Hoppe property-rights proof is invoked to argue that the neoclassical framework "leaves the door open to state intervention" through the market failure concept, and that the correct theoretical framework (Lockean property rights + non-aggression principle) "leaves no room for intervention." For climate governance, this is the most philosophically grounded version of the Delegitimization_of_Regulation argument: the entire framework justifying carbon pricing and emissions regulation is replaced by a rival framework in which intervention is not merely inadvisable but logically prohibited by natural law.</t>
  </si>
  <si>
    <t>In turn, in 2025, I explained the mental parasites sown by the left in humanity. Therefore, today more than ever, in the face of the ethical and moral degradation afflicting the West as a result of embracing the new socialist agenda, it is necessary to once again promote the ideas of freedom.</t>
  </si>
  <si>
    <t>"Ethical and moral degradation afflicting the West as a result of embracing the new socialist agenda" restates the Civilizational_Defense master frame from Davos 2024 and 2025, condensed to a single sentence. The reference to "mental parasites sown by the left" (2025 speech) — which explicitly enumerated radical environmentalism — links this speech's philosophical argument directly to the prior year's attack on climate governance. The current speech does not need to repeat the climate-specific argument; the philosophical foundation presented here is the theoretical grounding for it.</t>
  </si>
  <si>
    <t>The values-based view of capitalism holds that if such a position has been achieved through discovery, voluntary exchange and without violating the non-aggression principle, there is no justification for intervention. Indeed, intervention constitutes a violation of property rights, and by punishing profits, the economy's potential growth declines, so intervention and regulation are dynamically inefficient because they are violent and therefore unjust.</t>
  </si>
  <si>
    <t>"Intervention and regulation are dynamically inefficient because they are violent and therefore unjust" is the most compressed and philosophically grounded Delegitimization_of_Regulation in the corpus. The argument flows from natural law (non-aggression principle) through property rights theory to a categorical moral-and-efficiency condemnation. Environmental regulation — carbon taxes, emissions standards, green mandates — violates property rights, punishes profits, and is therefore both unjust and dynamically inefficient. The dual characterization (violent + unjust) is more comprehensive than prior formulations, which typically argued only that regulation was harmful.</t>
  </si>
  <si>
    <t>The positive case is structurally present: if regulation is violent and inefficient, then removing it restores both justice and efficiency simultaneously. "Economy's potential growth declines when profits are punished" — removing environmental regulations restores profit incentives, increases investment, and raises growth. Deregulation_Benefits at the level of foundational political economy: not just that deregulation produces better outcomes, but that it is what justice requires.</t>
  </si>
  <si>
    <t>Note that along the same lines, we can also address the issue of artificial intelligence. Therefore, the most responsible thing states can do regarding this issue is to stop pestering those who are creating a better world.</t>
  </si>
  <si>
    <t>"The most responsible thing states can do is to stop pestering those who are creating a better world" — deregulation prescription applied to AI, but the logic is explicitly general and applies identically to climate technology (clean energy, carbon capture, EVs). The "pestering" metaphor diminishes regulatory intervention as petty harassment of innovators rather than legitimate public policy, pre-empting any case for green industrial mandates, technology standards, or innovation requirements.</t>
  </si>
  <si>
    <t>However, 2026 is the year in which I bring you good news. The world has begun to awaken. The best proof of this is what is happening in the Americas with the rebirth of the ideas of liberty. Therefore, the Americas will be the beacon of light that will once again illuminate the entire West, thereby repaying the civilizational debt with expressions of gratitude towards the foundations in Greek philosophy, Roman law and Judeo-Christian values.</t>
  </si>
  <si>
    <t>The three-year Davos arc (2024: West in danger; 2025: battle not yet won; 2026: world awakening) is consolidated into a progressive civilizational recovery narrative. Climate governance — previously identified with "wokeism in its most hypocritical form" — is implicitly receding along with the broader woke project. The "Americas as beacon of light" framing positions the U.S.-Argentina axis (both having defected from multilateral climate commitments) as the civilizational vanguard, normalizing climate obstruction as the leading edge of Western renewal. The Judeo-Christian values reference grounds the civilization in religious tradition, raising the moral stakes beyond policy disagreement.</t>
  </si>
  <si>
    <t>Segundo: tenemos los impulsores de crecimiento de largo plazo sustentados en tres pilares simultáneos. El primer pilar es la desregulación de la economía. Esta política de exterminar regulaciones no solo es una forma de restaurar el derecho de propiedad, sino que además libera rendimientos crecientes, los cuales son la base del crecimiento económico. Si no asimilamos este punto, todo lo demás será en vano.</t>
  </si>
  <si>
    <t>The framing of deregulation as "exterminar regulaciones" — exterminating rather than reforming regulations — uses maximalist language that positions the regulatory corpus itself as a hostile entity to be eliminated rather than a governance tool to be calibrated. More analytically significant is the positive theoretical claim: deregulation "liberates increasing returns," which is the basis for economic growth. This is a foundational market-primacy argument that forecloses the case for environmental regulation before it can be made: if regulations by definition suppress increasing returns and therefore growth, then environmental regulations are anti-growth by definition, and any empirical case for environmental regulation would be dismissed as theoretically unfounded.</t>
  </si>
  <si>
    <t>Apertura Sesiones Ordinarias 2026 (144°)</t>
  </si>
  <si>
    <t>2026-03-01</t>
  </si>
  <si>
    <t>El mandato que la sociedad nos dio no puede ser más claro. Nunca el Congreso de la Nación tuvo una composición tan reformista como ésta. Desde hace 100 años nuestro país carga con falsos consensos y fórmulas que nos llevaron de ser un país próspero a uno pobre, y nos dejaron en diciembre de 2023 al borde de la peor crisis de nuestra historia. Dedicaremos este año a examinar la organización jurídica e institucional que nos trajo hasta aquí y construir una arquitectura nueva; la arquitectura que tendrá el Estado argentino los próximos 50 años, teniendo la moral occidental como política de estado.</t>
  </si>
  <si>
    <t>The declaration that "la moral occidental" will be the guiding policy framework for the next 50 years of Argentine statehood is the most expansive civilizational claim in the corpus. By anchoring the 50-year institutional architecture in "Western morality" rather than in constitutional norms or democratic consensus, Milei positions any future climate governance framework that invokes collective obligations, international agreements, or IPCC expert consensus as fundamentally incompatible with this foundational moral architecture. The 50-year horizon is also analytically notable: it explicitly colonizes the future, attempting to make the libertarian-Western framework normatively permanent and thus to exclude any future democratic mandate for a different approach to governance, including climate governance.</t>
  </si>
  <si>
    <t>Y esta relevancia proviene del aprovechamiento de nuestros recursos. Es así que vamos a buscar remover las barreras legales que se interponen entre la sociedad y su riqueza. Vamos a construir un marco legal robusto que permita el desarrollo primario para beneficio de todos los argentinos, con cuidados, pero lejos de prejuicios ambientalistas absurdos. Me refiero a todos los recursos: a los minerales críticos como el cobre y el litio, a la pesca y a la agricultura, a los hidrocarburos convencionales y no convencionales, a las economías regionales y al sector agropecuario.</t>
  </si>
  <si>
    <t>The phrase "lejos de prejuicios ambientalistas absurdos" is the most explicit climate-governance delegitimation passage in the three apertura speeches. By framing environmental concerns as "absurd prejudices" — not as legitimate scientific or policy considerations — in the specific context of announcing legislative removal of legal barriers to resource extraction (hydrocarbon, mining, agro), Milei performs a precise ideological move: he acknowledges the existence of environmental concerns while categorically dismissing their epistemic status. The word "prejuicios" (prejudices) frames environmentalism as pre-rational bias rather than evidence-based concern, and "absurdos" intensifies this by asserting their irrationality is self-evident. This is a stronger dismissal than most previous coded passages, which tended to delegitimize environmental governance indirectly through anti-state or anti-regulation rhetoric.</t>
  </si>
  <si>
    <t>The explicit goal of "remover las barreras legales que se interponen entre la sociedad y su riqueza" — applied to hydrocarbon extraction, mining, fishing, and agriculture — frames environmental and resource-protection regulations as barriers between society and its wealth rather than as legitimate governance of common resources. This is a property-rights argument against environmental regulation: natural resources are society's "wealth," regulations are "barriers," and removing them is restoration of rightful access. The enumeration of all primary sectors (conventional and non-conventional hydrocarbons, critical minerals, fishing, agro) establishes the comprehensive scope of the deregulatory intention.</t>
  </si>
  <si>
    <t>En el fondo, la única forma infalible de evitar los principales costos de la promiscuidad, el amiguismo y la corrupción en el Estado es reducirlo. El Estado presente, que pretende hacerse cargo de todos los órdenes de la vida, fracasó. Por eso necesitamos un Estado ágil, abocado a unas pocas funciones esenciales, sintetizadas en la defensa de la vida, la libertad y la propiedad privada, sin descuidar elementos de la estructura actual, amparado en lo que definimos, como decía Ayn Rand, la ética de la emergencia.</t>
  </si>
  <si>
    <t>The invocation of Ayn Rand's "ethics of emergency" to justify a minimal state, combined with the claim that any state "that pretends to take care of all dimensions of life" has failed, is a direct repudiation of the regulatory state's legitimacy in the domain of climate governance. Climate governance requires precisely the kind of state that "pretends to take care" of long-range collective problems that markets do not spontaneously resolve. By framing state scope as the cause of failure (rather than specific bad policies), Milei pre-emptively delegitimizes any future government's attempt to use state capacity for environmental management.</t>
  </si>
  <si>
    <t>La era de la cooperación global sin brújula moral ha terminado. Entramos a una nueva era de grandes naciones que compiten por asegurarse cadenas de valor verticales. Y en este mundo, cada vez más, partirán las aguas entre las naciones libres y las naciones sometidas.</t>
  </si>
  <si>
    <t>The declaration that "the era of global cooperation without moral compass has ended" is the most direct rejection of multilateral governance in the apertura corpus. Global cooperation without moral compass refers precisely to the multilateral governance architecture — the UN system, the IPCC, the 2030 Agenda, the Paris Agreement — which Milei's framework identifies as lacking the "moral compass" of Western individual-rights values. The "new era" of competing great nations replacing cooperative global governance is structurally incompatible with the climate governance regime, which depends on multilateral cooperation and compliance commitments. This passage explicitly closes the door on Argentina's participation in multilateral climate frameworks by framing the multilateral era itself as over.</t>
  </si>
  <si>
    <t>Quiero ahora leer algunas palabras que me ha enviado, en el día de ayer, otro de los más grandes economistas del planeta, el profesor Jesús Huerta de Soto: "Hay momentos en la historia en los que una Nación debe elegir su futuro. Nos han dicho que el Estado es nuestro protector, que el burócrata es nuestro salvador y que el político sabe más que el hombre libre; que debemos obedecer, que debemos depender. Pero la verdad es otra: el mundo solo tiene dos tipos de personas. Los que viven de lo que otros producen, es decir, los parásitos —o sea, ustedes—, y los que producen todo lo que hace posible la vida moderna. Mientras ustedes redactan regulaciones, nosotros creamos riqueza; mientras ustedes prometen igualdad, nosotros generamos prosperidad; mientras ustedes reparten pobreza, nosotros multiplicamos la abundancia."</t>
  </si>
  <si>
    <t>The Huerta de Soto quote — introduced by the President and applied directly to the congressional opposition — delivers the parasites/producers binary in its most philosophically elaborated form: "Los que viven de lo que otros producen" (parasites, i.e., the political class) versus "los que producen todo lo que hace posible la vida moderna." The casta frame is here given its strongest moral-ontological expression: it is not simply that politicians are corrupt, but that the regulatory state — those who "draft regulations" — is structurally parasitic on the productive sector. Environmental regulators, sustainability agencies, and scientific advisory bodies all "draft regulations" in Huerta de Soto's formulation, making them unambiguously parasites rather than producers in this moral framework.</t>
  </si>
  <si>
    <t>La verdadera batalla de nuestro tiempo es cultural, filosófica y moral. Es elegir el sistema que sacó de la pobreza a millones. Es para dejar de ser una Nación inmadura, que dilapida el futuro para repartir beneficios en el presente; y convertirnos en una nación madura, que planifica las reglas de juego para que haya presente y futuro; y para que cada ciudadano pueda elegir libremente su propio destino. No que se lo quiera determinar un burócrata ignorante, fatalmente arrogante. Gobernar con responsabilidad es gobernar para los argentinos de hoy, pero también gobernar para los argentinos de mañana.</t>
  </si>
  <si>
    <t>The framing of "la verdadera batalla de nuestro tiempo" as cultural, philosophical, and moral — a battle between the "system that lifted millions from poverty" (capitalism/market freedom) and an unnamed adversary — is the neo-Marxism code at its most developed. The adversary is implicitly socialism/collectivism, and the climate governance regime is implicitly on the collectivist side: it involves state planning, expert mediation, and redistribution of present consumption toward future generations. The closing formulation — "gobernar para los argentinos de mañana" — is analytically notable because it appropriates the intergenerational responsibility language of sustainability (governing for future generations) while deploying it against climate policy (which in this framing dilapidates the future by redistributing in the present). This is a sophisticated version of the Temporal_Appropriation inductive category.</t>
  </si>
  <si>
    <t>Code Frequency by Dimension × Speech  —  values update automatically from 'Coded Passages'</t>
  </si>
  <si>
    <t>TOTAL</t>
  </si>
  <si>
    <t>Total</t>
  </si>
  <si>
    <t>IND</t>
  </si>
  <si>
    <t>All Dimensions</t>
  </si>
  <si>
    <t>Code Frequency by Sub-code × Speech  —  values update automatically from 'Coded Passages'</t>
  </si>
  <si>
    <t>Dim</t>
  </si>
  <si>
    <t>Sub-code</t>
  </si>
  <si>
    <t xml:space="preserve">D1.1·Sustainability as </t>
  </si>
  <si>
    <t xml:space="preserve">D1.1·Anti-Casta (Elite </t>
  </si>
  <si>
    <t>D1.1·Market Primacy</t>
  </si>
  <si>
    <t>D1.1·Delegitimization o</t>
  </si>
  <si>
    <t>D1.1·Anti-State / Anti-</t>
  </si>
  <si>
    <t>D1.1·Rejection of Multi</t>
  </si>
  <si>
    <t>D1.2·Climate Skepticism</t>
  </si>
  <si>
    <t xml:space="preserve">D1.2·Attack on Experts </t>
  </si>
  <si>
    <t>D1.2·Selective Empirici</t>
  </si>
  <si>
    <t>D1.2·Pseudo-Science / I</t>
  </si>
  <si>
    <t>D1.2·Attack on Universi</t>
  </si>
  <si>
    <t>D1.3·Civilizational Def</t>
  </si>
  <si>
    <t>D1.3·Woke Bundling</t>
  </si>
  <si>
    <t>D1.3·Anti-Socialism / A</t>
  </si>
  <si>
    <t>All Sub-codes</t>
  </si>
  <si>
    <t>Speech-Level Overview  --  D1 / Inductive counts update automatically from 'Coded Passages'  (D2 = 0 in v4)</t>
  </si>
  <si>
    <t>D1 Codes</t>
  </si>
  <si>
    <t>D2 Codes</t>
  </si>
  <si>
    <t>Inductive</t>
  </si>
  <si>
    <t>Notes</t>
  </si>
  <si>
    <t>D2=0 in v4 (speech corpus)</t>
  </si>
  <si>
    <t>Code Frequency by Scope  —  values update automatically from 'Coded Passages'</t>
  </si>
  <si>
    <t>Sub-code Detail × Scope</t>
  </si>
  <si>
    <t>Code Frequency by Venue Type  —  values update automatically from 'Coded Passages'</t>
  </si>
  <si>
    <t>Venue Type</t>
  </si>
  <si>
    <t>Sub-code Detail × Venue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</si>
</sst>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rgb="FF111827"/>
      <name val="Calibri"/>
    </font>
    <font>
      <b/>
      <sz val="10"/>
      <color rgb="FFFFFFFF"/>
      <name val="Calibri"/>
    </font>
    <font>
      <sz val="10"/>
      <name val="Calibri"/>
    </font>
    <font>
      <b/>
      <sz val="11"/>
      <name val="Calibri"/>
    </font>
    <font>
      <b/>
      <sz val="11"/>
      <name val="Calibri"/>
    </font>
  </fonts>
  <fills count="9">
    <fill>
      <patternFill patternType="none"/>
    </fill>
    <fill>
      <patternFill patternType="gray125"/>
    </fill>
    <fill>
      <patternFill patternType="solid">
        <fgColor rgb="FFE0F2FE"/>
      </patternFill>
    </fill>
    <fill>
      <patternFill patternType="solid">
        <fgColor rgb="FF1E3A5F"/>
      </patternFill>
    </fill>
    <fill>
      <patternFill patternType="solid">
        <fgColor rgb="FF530922"/>
      </patternFill>
    </fill>
    <fill>
      <patternFill patternType="solid">
        <fgColor rgb="FF40AF22"/>
      </patternFill>
    </fill>
    <fill>
      <patternFill patternType="solid">
        <fgColor rgb="FF1B1B22"/>
      </patternFill>
    </fill>
    <fill>
      <patternFill patternType="solid">
        <fgColor rgb="FFF0FDF4"/>
      </patternFill>
    </fill>
    <fill>
      <patternFill patternType="solid">
        <fgColor rgb="FF374151"/>
      </patternFill>
    </fill>
  </fills>
  <borders count="1">
    <border>
      <left/>
      <right/>
      <top/>
      <bottom/>
      <diagonal/>
    </border>
  </borders>
  <cellStyleXfs count="1">
    <xf numFmtId="0" fontId="0" fillId="0" borderId="0"/>
  </cellStyleXfs>
  <cellXfs count="12">
    <xf numFmtId="0" fontId="0" fillId="0" borderId="0" xfId="0"/>
    <xf numFmtId="0" fontId="2" fillId="3" borderId="0" xfId="0" applyFont="1" applyFill="1" applyAlignment="1">
      <alignment horizontal="center" vertical="center"/>
    </xf>
    <xf numFmtId="0" fontId="3" fillId="4" borderId="0" xfId="0" applyFont="1" applyFill="1" applyAlignment="1">
      <alignment vertical="top" wrapText="1"/>
    </xf>
    <xf numFmtId="0" fontId="3" fillId="0" borderId="0" xfId="0" applyFont="1" applyAlignment="1">
      <alignment vertical="top" wrapText="1"/>
    </xf>
    <xf numFmtId="0" fontId="3" fillId="5" borderId="0" xfId="0" applyFont="1" applyFill="1" applyAlignment="1">
      <alignment vertical="top" wrapText="1"/>
    </xf>
    <xf numFmtId="0" fontId="3" fillId="6" borderId="0" xfId="0" applyFont="1" applyFill="1" applyAlignment="1">
      <alignment vertical="top" wrapText="1"/>
    </xf>
    <xf numFmtId="0" fontId="5" fillId="0" borderId="0" xfId="0" applyFont="1"/>
    <xf numFmtId="0" fontId="2" fillId="8" borderId="0" xfId="0" applyFont="1" applyFill="1" applyAlignment="1">
      <alignment horizontal="center" vertical="center"/>
    </xf>
    <xf numFmtId="0" fontId="1" fillId="2" borderId="0" xfId="0" applyFont="1" applyFill="1" applyAlignment="1">
      <alignment horizontal="left" vertical="center"/>
    </xf>
    <xf numFmtId="0" fontId="0" fillId="0" borderId="0" xfId="0"/>
    <xf numFmtId="0" fontId="4" fillId="2" borderId="0" xfId="0" applyFont="1" applyFill="1"/>
    <xf numFmtId="0" fontId="4" fillId="7"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GB"/>
              <a:t>Code Applications by Dimension × Speech</a:t>
            </a:r>
          </a:p>
        </c:rich>
      </c:tx>
      <c:overlay val="1"/>
    </c:title>
    <c:autoTitleDeleted val="0"/>
    <c:plotArea>
      <c:layout/>
      <c:barChart>
        <c:barDir val="col"/>
        <c:grouping val="stacked"/>
        <c:varyColors val="1"/>
        <c:ser>
          <c:idx val="0"/>
          <c:order val="0"/>
          <c:tx>
            <c:v>D1.1 — State/Gov.</c:v>
          </c:tx>
          <c:spPr>
            <a:solidFill>
              <a:srgbClr val="1E40AF"/>
            </a:solidFill>
            <a:ln>
              <a:prstDash val="solid"/>
            </a:ln>
          </c:spPr>
          <c:invertIfNegative val="1"/>
          <c:cat>
            <c:strRef>
              <c:f>'Freq — By Dimension'!$C$2:$K$2</c:f>
              <c:strCache>
                <c:ptCount val="9"/>
                <c:pt idx="0">
                  <c:v>Debate Presidencial 2023</c:v>
                </c:pt>
                <c:pt idx="1">
                  <c:v>WEF Davos 2024</c:v>
                </c:pt>
                <c:pt idx="2">
                  <c:v>Apertura Sesiones Ordinarias 2024 (142°)</c:v>
                </c:pt>
                <c:pt idx="3">
                  <c:v>UN General Assembly 79th</c:v>
                </c:pt>
                <c:pt idx="4">
                  <c:v>WEF Davos 2025</c:v>
                </c:pt>
                <c:pt idx="5">
                  <c:v>Apertura Sesiones Ordinarias 2025 (143°)</c:v>
                </c:pt>
                <c:pt idx="6">
                  <c:v>UN General Assembly 80th</c:v>
                </c:pt>
                <c:pt idx="7">
                  <c:v>WEF Davos 2026</c:v>
                </c:pt>
                <c:pt idx="8">
                  <c:v>Apertura Sesiones Ordinarias 2026 (144°)</c:v>
                </c:pt>
              </c:strCache>
            </c:strRef>
          </c:cat>
          <c:val>
            <c:numRef>
              <c:f>'Freq — By Dimension'!$C$3:$K$3</c:f>
              <c:numCache>
                <c:formatCode>General</c:formatCode>
                <c:ptCount val="9"/>
                <c:pt idx="0">
                  <c:v>1</c:v>
                </c:pt>
                <c:pt idx="1">
                  <c:v>13</c:v>
                </c:pt>
                <c:pt idx="2">
                  <c:v>2</c:v>
                </c:pt>
                <c:pt idx="3">
                  <c:v>8</c:v>
                </c:pt>
                <c:pt idx="4">
                  <c:v>7</c:v>
                </c:pt>
                <c:pt idx="5">
                  <c:v>4</c:v>
                </c:pt>
                <c:pt idx="6">
                  <c:v>9</c:v>
                </c:pt>
                <c:pt idx="7">
                  <c:v>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B465-4284-9868-1A099882D6E8}"/>
            </c:ext>
          </c:extLst>
        </c:ser>
        <c:ser>
          <c:idx val="1"/>
          <c:order val="1"/>
          <c:tx>
            <c:v>D1.2 — Science/Expertise</c:v>
          </c:tx>
          <c:spPr>
            <a:solidFill>
              <a:srgbClr val="B45309"/>
            </a:solidFill>
            <a:ln>
              <a:prstDash val="solid"/>
            </a:ln>
          </c:spPr>
          <c:invertIfNegative val="1"/>
          <c:cat>
            <c:strRef>
              <c:f>'Freq — By Dimension'!$C$2:$K$2</c:f>
              <c:strCache>
                <c:ptCount val="9"/>
                <c:pt idx="0">
                  <c:v>Debate Presidencial 2023</c:v>
                </c:pt>
                <c:pt idx="1">
                  <c:v>WEF Davos 2024</c:v>
                </c:pt>
                <c:pt idx="2">
                  <c:v>Apertura Sesiones Ordinarias 2024 (142°)</c:v>
                </c:pt>
                <c:pt idx="3">
                  <c:v>UN General Assembly 79th</c:v>
                </c:pt>
                <c:pt idx="4">
                  <c:v>WEF Davos 2025</c:v>
                </c:pt>
                <c:pt idx="5">
                  <c:v>Apertura Sesiones Ordinarias 2025 (143°)</c:v>
                </c:pt>
                <c:pt idx="6">
                  <c:v>UN General Assembly 80th</c:v>
                </c:pt>
                <c:pt idx="7">
                  <c:v>WEF Davos 2026</c:v>
                </c:pt>
                <c:pt idx="8">
                  <c:v>Apertura Sesiones Ordinarias 2026 (144°)</c:v>
                </c:pt>
              </c:strCache>
            </c:strRef>
          </c:cat>
          <c:val>
            <c:numRef>
              <c:f>'Freq — By Dimension'!$C$4:$K$4</c:f>
              <c:numCache>
                <c:formatCode>General</c:formatCode>
                <c:ptCount val="9"/>
                <c:pt idx="0">
                  <c:v>2</c:v>
                </c:pt>
                <c:pt idx="1">
                  <c:v>4</c:v>
                </c:pt>
                <c:pt idx="2">
                  <c:v>1</c:v>
                </c:pt>
                <c:pt idx="3">
                  <c:v>1</c:v>
                </c:pt>
                <c:pt idx="4">
                  <c:v>6</c:v>
                </c:pt>
                <c:pt idx="5">
                  <c:v>0</c:v>
                </c:pt>
                <c:pt idx="6">
                  <c:v>2</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B465-4284-9868-1A099882D6E8}"/>
            </c:ext>
          </c:extLst>
        </c:ser>
        <c:ser>
          <c:idx val="2"/>
          <c:order val="2"/>
          <c:tx>
            <c:v>D1.3 — Cultural Backlash</c:v>
          </c:tx>
          <c:spPr>
            <a:solidFill>
              <a:srgbClr val="991B1B"/>
            </a:solidFill>
            <a:ln>
              <a:prstDash val="solid"/>
            </a:ln>
          </c:spPr>
          <c:invertIfNegative val="1"/>
          <c:cat>
            <c:strRef>
              <c:f>'Freq — By Dimension'!$C$2:$K$2</c:f>
              <c:strCache>
                <c:ptCount val="9"/>
                <c:pt idx="0">
                  <c:v>Debate Presidencial 2023</c:v>
                </c:pt>
                <c:pt idx="1">
                  <c:v>WEF Davos 2024</c:v>
                </c:pt>
                <c:pt idx="2">
                  <c:v>Apertura Sesiones Ordinarias 2024 (142°)</c:v>
                </c:pt>
                <c:pt idx="3">
                  <c:v>UN General Assembly 79th</c:v>
                </c:pt>
                <c:pt idx="4">
                  <c:v>WEF Davos 2025</c:v>
                </c:pt>
                <c:pt idx="5">
                  <c:v>Apertura Sesiones Ordinarias 2025 (143°)</c:v>
                </c:pt>
                <c:pt idx="6">
                  <c:v>UN General Assembly 80th</c:v>
                </c:pt>
                <c:pt idx="7">
                  <c:v>WEF Davos 2026</c:v>
                </c:pt>
                <c:pt idx="8">
                  <c:v>Apertura Sesiones Ordinarias 2026 (144°)</c:v>
                </c:pt>
              </c:strCache>
            </c:strRef>
          </c:cat>
          <c:val>
            <c:numRef>
              <c:f>'Freq — By Dimension'!$C$5:$K$5</c:f>
              <c:numCache>
                <c:formatCode>General</c:formatCode>
                <c:ptCount val="9"/>
                <c:pt idx="0">
                  <c:v>0</c:v>
                </c:pt>
                <c:pt idx="1">
                  <c:v>2</c:v>
                </c:pt>
                <c:pt idx="2">
                  <c:v>0</c:v>
                </c:pt>
                <c:pt idx="3">
                  <c:v>4</c:v>
                </c:pt>
                <c:pt idx="4">
                  <c:v>6</c:v>
                </c:pt>
                <c:pt idx="5">
                  <c:v>0</c:v>
                </c:pt>
                <c:pt idx="6">
                  <c:v>1</c:v>
                </c:pt>
                <c:pt idx="7">
                  <c:v>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B465-4284-9868-1A099882D6E8}"/>
            </c:ext>
          </c:extLst>
        </c:ser>
        <c:ser>
          <c:idx val="3"/>
          <c:order val="3"/>
          <c:tx>
            <c:v>Inductive</c:v>
          </c:tx>
          <c:spPr>
            <a:solidFill>
              <a:srgbClr val="374151"/>
            </a:solidFill>
            <a:ln>
              <a:prstDash val="solid"/>
            </a:ln>
          </c:spPr>
          <c:invertIfNegative val="1"/>
          <c:cat>
            <c:strRef>
              <c:f>'Freq — By Dimension'!$C$2:$K$2</c:f>
              <c:strCache>
                <c:ptCount val="9"/>
                <c:pt idx="0">
                  <c:v>Debate Presidencial 2023</c:v>
                </c:pt>
                <c:pt idx="1">
                  <c:v>WEF Davos 2024</c:v>
                </c:pt>
                <c:pt idx="2">
                  <c:v>Apertura Sesiones Ordinarias 2024 (142°)</c:v>
                </c:pt>
                <c:pt idx="3">
                  <c:v>UN General Assembly 79th</c:v>
                </c:pt>
                <c:pt idx="4">
                  <c:v>WEF Davos 2025</c:v>
                </c:pt>
                <c:pt idx="5">
                  <c:v>Apertura Sesiones Ordinarias 2025 (143°)</c:v>
                </c:pt>
                <c:pt idx="6">
                  <c:v>UN General Assembly 80th</c:v>
                </c:pt>
                <c:pt idx="7">
                  <c:v>WEF Davos 2026</c:v>
                </c:pt>
                <c:pt idx="8">
                  <c:v>Apertura Sesiones Ordinarias 2026 (144°)</c:v>
                </c:pt>
              </c:strCache>
            </c:strRef>
          </c:cat>
          <c:val>
            <c:numRef>
              <c:f>'Freq — By Dimension'!$C$6:$K$6</c:f>
              <c:numCache>
                <c:formatCode>General</c:formatCode>
                <c:ptCount val="9"/>
                <c:pt idx="0">
                  <c:v>0</c:v>
                </c:pt>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3-B465-4284-9868-1A099882D6E8}"/>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GB"/>
                  <a:t>Speech</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GB"/>
                  <a:t>Annotations</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GB"/>
              <a:t>Code Total Distribution</a:t>
            </a:r>
          </a:p>
        </c:rich>
      </c:tx>
      <c:overlay val="1"/>
    </c:title>
    <c:autoTitleDeleted val="0"/>
    <c:plotArea>
      <c:layout/>
      <c:pieChart>
        <c:varyColors val="1"/>
        <c:ser>
          <c:idx val="0"/>
          <c:order val="0"/>
          <c:spPr>
            <a:ln>
              <a:prstDash val="solid"/>
            </a:ln>
          </c:spPr>
          <c:cat>
            <c:strRef>
              <c:f>'Freq — By Dimension'!$A$3:$A$6</c:f>
              <c:strCache>
                <c:ptCount val="4"/>
                <c:pt idx="0">
                  <c:v>D1.1</c:v>
                </c:pt>
                <c:pt idx="1">
                  <c:v>D1.2</c:v>
                </c:pt>
                <c:pt idx="2">
                  <c:v>D1.3</c:v>
                </c:pt>
                <c:pt idx="3">
                  <c:v>IND</c:v>
                </c:pt>
              </c:strCache>
            </c:strRef>
          </c:cat>
          <c:val>
            <c:numRef>
              <c:f>'Freq — By Dimension'!$L$3:$L$6</c:f>
              <c:numCache>
                <c:formatCode>General</c:formatCode>
                <c:ptCount val="4"/>
                <c:pt idx="0">
                  <c:v>49</c:v>
                </c:pt>
                <c:pt idx="1">
                  <c:v>16</c:v>
                </c:pt>
                <c:pt idx="2">
                  <c:v>15</c:v>
                </c:pt>
                <c:pt idx="3">
                  <c:v>0</c:v>
                </c:pt>
              </c:numCache>
            </c:numRef>
          </c:val>
          <c:extLst>
            <c:ext xmlns:c16="http://schemas.microsoft.com/office/drawing/2014/chart" uri="{C3380CC4-5D6E-409C-BE32-E72D297353CC}">
              <c16:uniqueId val="{00000000-7C0E-4FE7-89F5-1127CA43EBAF}"/>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GB"/>
              <a:t>Total Appearances per Sub-code</a:t>
            </a:r>
          </a:p>
        </c:rich>
      </c:tx>
      <c:overlay val="1"/>
    </c:title>
    <c:autoTitleDeleted val="0"/>
    <c:plotArea>
      <c:layout/>
      <c:barChart>
        <c:barDir val="bar"/>
        <c:grouping val="clustered"/>
        <c:varyColors val="1"/>
        <c:ser>
          <c:idx val="0"/>
          <c:order val="0"/>
          <c:spPr>
            <a:solidFill>
              <a:srgbClr val="1E3A5F"/>
            </a:solidFill>
            <a:ln>
              <a:prstDash val="solid"/>
            </a:ln>
          </c:spPr>
          <c:invertIfNegative val="1"/>
          <c:cat>
            <c:multiLvlStrRef>
              <c:f>'Freq — By Sub-code'!$B$3:$B$16</c:f>
            </c:multiLvlStrRef>
          </c:cat>
          <c:val>
            <c:numRef>
              <c:f>'Freq — By Sub-code'!$L$3:$L$16</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13CD-4DE7-BB77-64F87BABD171}"/>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GB"/>
                  <a:t>Count</a:t>
                </a:r>
              </a:p>
            </c:rich>
          </c:tx>
          <c:overlay val="1"/>
        </c:title>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GB"/>
                  <a:t>Sub-code</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GB"/>
              <a:t>Dimension Distribution by Scope</a:t>
            </a:r>
          </a:p>
        </c:rich>
      </c:tx>
      <c:overlay val="1"/>
    </c:title>
    <c:autoTitleDeleted val="0"/>
    <c:plotArea>
      <c:layout/>
      <c:barChart>
        <c:barDir val="col"/>
        <c:grouping val="clustered"/>
        <c:varyColors val="1"/>
        <c:ser>
          <c:idx val="0"/>
          <c:order val="0"/>
          <c:tx>
            <c:v>D1.1 — State/Gov.</c:v>
          </c:tx>
          <c:spPr>
            <a:solidFill>
              <a:srgbClr val="1E40AF"/>
            </a:solidFill>
            <a:ln>
              <a:prstDash val="solid"/>
            </a:ln>
          </c:spPr>
          <c:invertIfNegative val="1"/>
          <c:cat>
            <c:strRef>
              <c:f>'Freq — By Scope'!$C$2:$D$2</c:f>
              <c:strCache>
                <c:ptCount val="2"/>
                <c:pt idx="0">
                  <c:v>National</c:v>
                </c:pt>
                <c:pt idx="1">
                  <c:v>International</c:v>
                </c:pt>
              </c:strCache>
            </c:strRef>
          </c:cat>
          <c:val>
            <c:numRef>
              <c:f>'Freq — By Scope'!$C$3:$D$3</c:f>
              <c:numCache>
                <c:formatCode>General</c:formatCode>
                <c:ptCount val="2"/>
                <c:pt idx="0">
                  <c:v>13</c:v>
                </c:pt>
                <c:pt idx="1">
                  <c:v>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C269-4C81-AF77-48E3DFB129A2}"/>
            </c:ext>
          </c:extLst>
        </c:ser>
        <c:ser>
          <c:idx val="1"/>
          <c:order val="1"/>
          <c:tx>
            <c:v>D1.2 — Science/Expertise</c:v>
          </c:tx>
          <c:spPr>
            <a:solidFill>
              <a:srgbClr val="B45309"/>
            </a:solidFill>
            <a:ln>
              <a:prstDash val="solid"/>
            </a:ln>
          </c:spPr>
          <c:invertIfNegative val="1"/>
          <c:cat>
            <c:strRef>
              <c:f>'Freq — By Scope'!$C$2:$D$2</c:f>
              <c:strCache>
                <c:ptCount val="2"/>
                <c:pt idx="0">
                  <c:v>National</c:v>
                </c:pt>
                <c:pt idx="1">
                  <c:v>International</c:v>
                </c:pt>
              </c:strCache>
            </c:strRef>
          </c:cat>
          <c:val>
            <c:numRef>
              <c:f>'Freq — By Scope'!$C$4:$D$4</c:f>
              <c:numCache>
                <c:formatCode>General</c:formatCode>
                <c:ptCount val="2"/>
                <c:pt idx="0">
                  <c:v>3</c:v>
                </c:pt>
                <c:pt idx="1">
                  <c:v>13</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C269-4C81-AF77-48E3DFB129A2}"/>
            </c:ext>
          </c:extLst>
        </c:ser>
        <c:ser>
          <c:idx val="2"/>
          <c:order val="2"/>
          <c:tx>
            <c:v>D1.3 — Cultural Backlash</c:v>
          </c:tx>
          <c:spPr>
            <a:solidFill>
              <a:srgbClr val="991B1B"/>
            </a:solidFill>
            <a:ln>
              <a:prstDash val="solid"/>
            </a:ln>
          </c:spPr>
          <c:invertIfNegative val="1"/>
          <c:cat>
            <c:strRef>
              <c:f>'Freq — By Scope'!$C$2:$D$2</c:f>
              <c:strCache>
                <c:ptCount val="2"/>
                <c:pt idx="0">
                  <c:v>National</c:v>
                </c:pt>
                <c:pt idx="1">
                  <c:v>International</c:v>
                </c:pt>
              </c:strCache>
            </c:strRef>
          </c:cat>
          <c:val>
            <c:numRef>
              <c:f>'Freq — By Scope'!$C$5:$D$5</c:f>
              <c:numCache>
                <c:formatCode>General</c:formatCode>
                <c:ptCount val="2"/>
                <c:pt idx="0">
                  <c:v>2</c:v>
                </c:pt>
                <c:pt idx="1">
                  <c:v>15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C269-4C81-AF77-48E3DFB129A2}"/>
            </c:ext>
          </c:extLst>
        </c:ser>
        <c:ser>
          <c:idx val="3"/>
          <c:order val="3"/>
          <c:tx>
            <c:v>Inductive</c:v>
          </c:tx>
          <c:spPr>
            <a:solidFill>
              <a:srgbClr val="374151"/>
            </a:solidFill>
            <a:ln>
              <a:prstDash val="solid"/>
            </a:ln>
          </c:spPr>
          <c:invertIfNegative val="1"/>
          <c:cat>
            <c:strRef>
              <c:f>'Freq — By Scope'!$C$2:$D$2</c:f>
              <c:strCache>
                <c:ptCount val="2"/>
                <c:pt idx="0">
                  <c:v>National</c:v>
                </c:pt>
                <c:pt idx="1">
                  <c:v>International</c:v>
                </c:pt>
              </c:strCache>
            </c:strRef>
          </c:cat>
          <c:val>
            <c:numRef>
              <c:f>'Freq — By Scope'!$C$6:$D$6</c:f>
              <c:numCache>
                <c:formatCode>General</c:formatCode>
                <c:ptCount val="2"/>
                <c:pt idx="0">
                  <c:v>0</c:v>
                </c:pt>
                <c:pt idx="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3-C269-4C81-AF77-48E3DFB129A2}"/>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GB"/>
                  <a:t>Annotations</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GB"/>
              <a:t>Dimension Distribution by Venue Type</a:t>
            </a:r>
          </a:p>
        </c:rich>
      </c:tx>
      <c:overlay val="1"/>
    </c:title>
    <c:autoTitleDeleted val="0"/>
    <c:plotArea>
      <c:layout/>
      <c:barChart>
        <c:barDir val="col"/>
        <c:grouping val="clustered"/>
        <c:varyColors val="1"/>
        <c:ser>
          <c:idx val="0"/>
          <c:order val="0"/>
          <c:tx>
            <c:v>D1.1 — State/Gov.</c:v>
          </c:tx>
          <c:spPr>
            <a:solidFill>
              <a:srgbClr val="1E40AF"/>
            </a:solidFill>
            <a:ln>
              <a:prstDash val="solid"/>
            </a:ln>
          </c:spPr>
          <c:invertIfNegative val="1"/>
          <c:cat>
            <c:strRef>
              <c:f>'Freq — By Venue Type'!$C$2:$F$2</c:f>
              <c:strCache>
                <c:ptCount val="4"/>
                <c:pt idx="0">
                  <c:v>Debate presidencial</c:v>
                </c:pt>
                <c:pt idx="1">
                  <c:v>Foro económico internacional</c:v>
                </c:pt>
                <c:pt idx="2">
                  <c:v>Acto institucional</c:v>
                </c:pt>
                <c:pt idx="3">
                  <c:v>Cumbre internacional</c:v>
                </c:pt>
              </c:strCache>
            </c:strRef>
          </c:cat>
          <c:val>
            <c:numRef>
              <c:f>'Freq — By Venue Type'!$C$3:$F$3</c:f>
              <c:numCache>
                <c:formatCode>General</c:formatCode>
                <c:ptCount val="4"/>
                <c:pt idx="0">
                  <c:v>1</c:v>
                </c:pt>
                <c:pt idx="1">
                  <c:v>25</c:v>
                </c:pt>
                <c:pt idx="2">
                  <c:v>12</c:v>
                </c:pt>
                <c:pt idx="3">
                  <c:v>17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0125-4CE2-B1B0-DB22566DF627}"/>
            </c:ext>
          </c:extLst>
        </c:ser>
        <c:ser>
          <c:idx val="1"/>
          <c:order val="1"/>
          <c:tx>
            <c:v>D1.2 — Science/Expertise</c:v>
          </c:tx>
          <c:spPr>
            <a:solidFill>
              <a:srgbClr val="B45309"/>
            </a:solidFill>
            <a:ln>
              <a:prstDash val="solid"/>
            </a:ln>
          </c:spPr>
          <c:invertIfNegative val="1"/>
          <c:cat>
            <c:strRef>
              <c:f>'Freq — By Venue Type'!$C$2:$F$2</c:f>
              <c:strCache>
                <c:ptCount val="4"/>
                <c:pt idx="0">
                  <c:v>Debate presidencial</c:v>
                </c:pt>
                <c:pt idx="1">
                  <c:v>Foro económico internacional</c:v>
                </c:pt>
                <c:pt idx="2">
                  <c:v>Acto institucional</c:v>
                </c:pt>
                <c:pt idx="3">
                  <c:v>Cumbre internacional</c:v>
                </c:pt>
              </c:strCache>
            </c:strRef>
          </c:cat>
          <c:val>
            <c:numRef>
              <c:f>'Freq — By Venue Type'!$C$4:$F$4</c:f>
              <c:numCache>
                <c:formatCode>General</c:formatCode>
                <c:ptCount val="4"/>
                <c:pt idx="0">
                  <c:v>2</c:v>
                </c:pt>
                <c:pt idx="1">
                  <c:v>10</c:v>
                </c:pt>
                <c:pt idx="2">
                  <c:v>1</c:v>
                </c:pt>
                <c:pt idx="3">
                  <c:v>3</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0125-4CE2-B1B0-DB22566DF627}"/>
            </c:ext>
          </c:extLst>
        </c:ser>
        <c:ser>
          <c:idx val="2"/>
          <c:order val="2"/>
          <c:tx>
            <c:v>D1.3 — Cultural Backlash</c:v>
          </c:tx>
          <c:spPr>
            <a:solidFill>
              <a:srgbClr val="991B1B"/>
            </a:solidFill>
            <a:ln>
              <a:prstDash val="solid"/>
            </a:ln>
          </c:spPr>
          <c:invertIfNegative val="1"/>
          <c:cat>
            <c:strRef>
              <c:f>'Freq — By Venue Type'!$C$2:$F$2</c:f>
              <c:strCache>
                <c:ptCount val="4"/>
                <c:pt idx="0">
                  <c:v>Debate presidencial</c:v>
                </c:pt>
                <c:pt idx="1">
                  <c:v>Foro económico internacional</c:v>
                </c:pt>
                <c:pt idx="2">
                  <c:v>Acto institucional</c:v>
                </c:pt>
                <c:pt idx="3">
                  <c:v>Cumbre internacional</c:v>
                </c:pt>
              </c:strCache>
            </c:strRef>
          </c:cat>
          <c:val>
            <c:numRef>
              <c:f>'Freq — By Venue Type'!$C$5:$F$5</c:f>
              <c:numCache>
                <c:formatCode>General</c:formatCode>
                <c:ptCount val="4"/>
                <c:pt idx="0">
                  <c:v>0</c:v>
                </c:pt>
                <c:pt idx="1">
                  <c:v>10</c:v>
                </c:pt>
                <c:pt idx="2">
                  <c:v>2</c:v>
                </c:pt>
                <c:pt idx="3">
                  <c:v>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0125-4CE2-B1B0-DB22566DF627}"/>
            </c:ext>
          </c:extLst>
        </c:ser>
        <c:ser>
          <c:idx val="3"/>
          <c:order val="3"/>
          <c:tx>
            <c:v>Inductive</c:v>
          </c:tx>
          <c:spPr>
            <a:solidFill>
              <a:srgbClr val="374151"/>
            </a:solidFill>
            <a:ln>
              <a:prstDash val="solid"/>
            </a:ln>
          </c:spPr>
          <c:invertIfNegative val="1"/>
          <c:cat>
            <c:strRef>
              <c:f>'Freq — By Venue Type'!$C$2:$F$2</c:f>
              <c:strCache>
                <c:ptCount val="4"/>
                <c:pt idx="0">
                  <c:v>Debate presidencial</c:v>
                </c:pt>
                <c:pt idx="1">
                  <c:v>Foro económico internacional</c:v>
                </c:pt>
                <c:pt idx="2">
                  <c:v>Acto institucional</c:v>
                </c:pt>
                <c:pt idx="3">
                  <c:v>Cumbre internacional</c:v>
                </c:pt>
              </c:strCache>
            </c:strRef>
          </c:cat>
          <c:val>
            <c:numRef>
              <c:f>'Freq — By Venue Type'!$C$6:$F$6</c:f>
              <c:numCache>
                <c:formatCode>General</c:formatCode>
                <c:ptCount val="4"/>
                <c:pt idx="0">
                  <c:v>0</c:v>
                </c:pt>
                <c:pt idx="1">
                  <c:v>0</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3-0125-4CE2-B1B0-DB22566DF627}"/>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GB"/>
                  <a:t>Annotations</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0</xdr:col>
      <xdr:colOff>0</xdr:colOff>
      <xdr:row>8</xdr:row>
      <xdr:rowOff>0</xdr:rowOff>
    </xdr:from>
    <xdr:ext cx="10080000" cy="504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15</xdr:col>
      <xdr:colOff>0</xdr:colOff>
      <xdr:row>8</xdr:row>
      <xdr:rowOff>0</xdr:rowOff>
    </xdr:from>
    <xdr:ext cx="5040000" cy="504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18</xdr:row>
      <xdr:rowOff>0</xdr:rowOff>
    </xdr:from>
    <xdr:ext cx="7920000" cy="504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8</xdr:row>
      <xdr:rowOff>0</xdr:rowOff>
    </xdr:from>
    <xdr:ext cx="10080000" cy="504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8</xdr:row>
      <xdr:rowOff>0</xdr:rowOff>
    </xdr:from>
    <xdr:ext cx="10080000" cy="504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0"/>
  <sheetViews>
    <sheetView tabSelected="1" workbookViewId="0">
      <pane ySplit="2" topLeftCell="A38" activePane="bottomLeft" state="frozen"/>
      <selection pane="bottomLeft" activeCell="C43" sqref="C43"/>
    </sheetView>
  </sheetViews>
  <sheetFormatPr defaultRowHeight="14.25" x14ac:dyDescent="0.45"/>
  <cols>
    <col min="1" max="1" width="5" customWidth="1"/>
    <col min="2" max="2" width="8" customWidth="1"/>
    <col min="3" max="3" width="30" customWidth="1"/>
    <col min="4" max="5" width="34" customWidth="1"/>
    <col min="6" max="6" width="55" customWidth="1"/>
    <col min="7" max="7" width="60" customWidth="1"/>
    <col min="8" max="8" width="25" customWidth="1"/>
    <col min="9" max="9" width="12" customWidth="1"/>
    <col min="10" max="10" width="22" customWidth="1"/>
    <col min="11" max="11" width="28" customWidth="1"/>
    <col min="12" max="12" width="14" customWidth="1"/>
  </cols>
  <sheetData>
    <row r="1" spans="1:12" ht="22.05" customHeight="1" x14ac:dyDescent="0.45">
      <c r="A1" s="8" t="s">
        <v>0</v>
      </c>
      <c r="B1" s="9"/>
      <c r="C1" s="9"/>
      <c r="D1" s="9"/>
      <c r="E1" s="9"/>
      <c r="F1" s="9"/>
      <c r="G1" s="9"/>
      <c r="H1" s="9"/>
      <c r="I1" s="9"/>
      <c r="J1" s="9"/>
      <c r="K1" s="9"/>
      <c r="L1" s="9"/>
    </row>
    <row r="2" spans="1:12" ht="16.05" customHeight="1" x14ac:dyDescent="0.45">
      <c r="A2" s="1" t="s">
        <v>1</v>
      </c>
      <c r="B2" s="1" t="s">
        <v>2</v>
      </c>
      <c r="C2" s="1" t="s">
        <v>3</v>
      </c>
      <c r="D2" s="1" t="s">
        <v>4</v>
      </c>
      <c r="E2" s="1" t="s">
        <v>5</v>
      </c>
      <c r="F2" s="1" t="s">
        <v>6</v>
      </c>
      <c r="G2" s="1" t="s">
        <v>7</v>
      </c>
      <c r="H2" s="1" t="s">
        <v>8</v>
      </c>
      <c r="I2" s="1" t="s">
        <v>9</v>
      </c>
      <c r="J2" s="1" t="s">
        <v>10</v>
      </c>
      <c r="K2" s="1" t="s">
        <v>11</v>
      </c>
      <c r="L2" s="1" t="s">
        <v>12</v>
      </c>
    </row>
    <row r="3" spans="1:12" ht="60" customHeight="1" x14ac:dyDescent="0.45">
      <c r="A3" s="2">
        <v>1</v>
      </c>
      <c r="B3" s="2" t="s">
        <v>13</v>
      </c>
      <c r="C3" s="3" t="s">
        <v>14</v>
      </c>
      <c r="D3" s="3" t="s">
        <v>15</v>
      </c>
      <c r="E3" s="3" t="s">
        <v>14</v>
      </c>
      <c r="F3" s="3" t="s">
        <v>16</v>
      </c>
      <c r="G3" s="3" t="s">
        <v>17</v>
      </c>
      <c r="H3" s="3" t="s">
        <v>18</v>
      </c>
      <c r="I3" s="3" t="s">
        <v>19</v>
      </c>
      <c r="J3" s="3" t="s">
        <v>20</v>
      </c>
      <c r="K3" s="3" t="s">
        <v>21</v>
      </c>
      <c r="L3" s="3" t="s">
        <v>22</v>
      </c>
    </row>
    <row r="4" spans="1:12" ht="60" customHeight="1" x14ac:dyDescent="0.45">
      <c r="A4" s="4">
        <v>2</v>
      </c>
      <c r="B4" s="4" t="s">
        <v>23</v>
      </c>
      <c r="C4" s="3" t="s">
        <v>24</v>
      </c>
      <c r="D4" s="3" t="s">
        <v>25</v>
      </c>
      <c r="E4" s="3" t="s">
        <v>24</v>
      </c>
      <c r="F4" s="3" t="s">
        <v>16</v>
      </c>
      <c r="G4" s="3" t="s">
        <v>26</v>
      </c>
      <c r="H4" s="3" t="s">
        <v>18</v>
      </c>
      <c r="I4" s="3" t="s">
        <v>19</v>
      </c>
      <c r="J4" s="3" t="s">
        <v>20</v>
      </c>
      <c r="K4" s="3" t="s">
        <v>21</v>
      </c>
      <c r="L4" s="3" t="s">
        <v>22</v>
      </c>
    </row>
    <row r="5" spans="1:12" ht="60" customHeight="1" x14ac:dyDescent="0.45">
      <c r="A5" s="2">
        <v>3</v>
      </c>
      <c r="B5" s="2" t="s">
        <v>13</v>
      </c>
      <c r="C5" s="3" t="s">
        <v>27</v>
      </c>
      <c r="D5" s="3" t="s">
        <v>15</v>
      </c>
      <c r="E5" s="3" t="s">
        <v>27</v>
      </c>
      <c r="F5" s="3" t="s">
        <v>16</v>
      </c>
      <c r="G5" s="3" t="s">
        <v>28</v>
      </c>
      <c r="H5" s="3" t="s">
        <v>18</v>
      </c>
      <c r="I5" s="3" t="s">
        <v>19</v>
      </c>
      <c r="J5" s="3" t="s">
        <v>20</v>
      </c>
      <c r="K5" s="3" t="s">
        <v>21</v>
      </c>
      <c r="L5" s="3" t="s">
        <v>22</v>
      </c>
    </row>
    <row r="6" spans="1:12" ht="60" customHeight="1" x14ac:dyDescent="0.45">
      <c r="A6" s="5">
        <v>4</v>
      </c>
      <c r="B6" s="5" t="s">
        <v>29</v>
      </c>
      <c r="C6" s="3" t="s">
        <v>30</v>
      </c>
      <c r="D6" s="3" t="s">
        <v>31</v>
      </c>
      <c r="E6" s="3" t="s">
        <v>30</v>
      </c>
      <c r="F6" s="3" t="s">
        <v>32</v>
      </c>
      <c r="G6" s="3" t="s">
        <v>33</v>
      </c>
      <c r="H6" s="3" t="s">
        <v>34</v>
      </c>
      <c r="I6" s="3" t="s">
        <v>35</v>
      </c>
      <c r="J6" s="3" t="s">
        <v>36</v>
      </c>
      <c r="K6" s="3" t="s">
        <v>37</v>
      </c>
      <c r="L6" s="3" t="s">
        <v>38</v>
      </c>
    </row>
    <row r="7" spans="1:12" ht="60" customHeight="1" x14ac:dyDescent="0.45">
      <c r="A7" s="4">
        <v>5</v>
      </c>
      <c r="B7" s="4" t="s">
        <v>23</v>
      </c>
      <c r="C7" s="3" t="s">
        <v>39</v>
      </c>
      <c r="D7" s="3" t="s">
        <v>25</v>
      </c>
      <c r="E7" s="3" t="s">
        <v>39</v>
      </c>
      <c r="F7" s="3" t="s">
        <v>32</v>
      </c>
      <c r="G7" s="3" t="s">
        <v>40</v>
      </c>
      <c r="H7" s="3" t="s">
        <v>34</v>
      </c>
      <c r="I7" s="3" t="s">
        <v>35</v>
      </c>
      <c r="J7" s="3" t="s">
        <v>36</v>
      </c>
      <c r="K7" s="3" t="s">
        <v>37</v>
      </c>
      <c r="L7" s="3" t="s">
        <v>38</v>
      </c>
    </row>
    <row r="8" spans="1:12" ht="60" customHeight="1" x14ac:dyDescent="0.45">
      <c r="A8" s="4">
        <v>6</v>
      </c>
      <c r="B8" s="4" t="s">
        <v>23</v>
      </c>
      <c r="C8" s="3" t="s">
        <v>41</v>
      </c>
      <c r="D8" s="3" t="s">
        <v>25</v>
      </c>
      <c r="E8" s="3" t="s">
        <v>41</v>
      </c>
      <c r="F8" s="3" t="s">
        <v>42</v>
      </c>
      <c r="G8" s="3" t="s">
        <v>43</v>
      </c>
      <c r="H8" s="3" t="s">
        <v>34</v>
      </c>
      <c r="I8" s="3" t="s">
        <v>35</v>
      </c>
      <c r="J8" s="3" t="s">
        <v>36</v>
      </c>
      <c r="K8" s="3" t="s">
        <v>37</v>
      </c>
      <c r="L8" s="3" t="s">
        <v>38</v>
      </c>
    </row>
    <row r="9" spans="1:12" ht="60" customHeight="1" x14ac:dyDescent="0.45">
      <c r="A9" s="2">
        <v>7</v>
      </c>
      <c r="B9" s="2" t="s">
        <v>13</v>
      </c>
      <c r="C9" s="3" t="s">
        <v>44</v>
      </c>
      <c r="D9" s="3" t="s">
        <v>15</v>
      </c>
      <c r="E9" s="3" t="s">
        <v>44</v>
      </c>
      <c r="F9" s="3" t="s">
        <v>42</v>
      </c>
      <c r="G9" s="3" t="s">
        <v>45</v>
      </c>
      <c r="H9" s="3" t="s">
        <v>34</v>
      </c>
      <c r="I9" s="3" t="s">
        <v>35</v>
      </c>
      <c r="J9" s="3" t="s">
        <v>36</v>
      </c>
      <c r="K9" s="3" t="s">
        <v>37</v>
      </c>
      <c r="L9" s="3" t="s">
        <v>38</v>
      </c>
    </row>
    <row r="10" spans="1:12" ht="60" customHeight="1" x14ac:dyDescent="0.45">
      <c r="A10" s="4">
        <v>8</v>
      </c>
      <c r="B10" s="4" t="s">
        <v>23</v>
      </c>
      <c r="C10" s="3" t="s">
        <v>41</v>
      </c>
      <c r="D10" s="3" t="s">
        <v>25</v>
      </c>
      <c r="E10" s="3" t="s">
        <v>41</v>
      </c>
      <c r="F10" s="3" t="s">
        <v>46</v>
      </c>
      <c r="G10" s="3" t="s">
        <v>47</v>
      </c>
      <c r="H10" s="3" t="s">
        <v>34</v>
      </c>
      <c r="I10" s="3" t="s">
        <v>35</v>
      </c>
      <c r="J10" s="3" t="s">
        <v>36</v>
      </c>
      <c r="K10" s="3" t="s">
        <v>37</v>
      </c>
      <c r="L10" s="3" t="s">
        <v>38</v>
      </c>
    </row>
    <row r="11" spans="1:12" ht="60" customHeight="1" x14ac:dyDescent="0.45">
      <c r="A11" s="2">
        <v>9</v>
      </c>
      <c r="B11" s="2" t="s">
        <v>13</v>
      </c>
      <c r="C11" s="3" t="s">
        <v>27</v>
      </c>
      <c r="D11" s="3" t="s">
        <v>15</v>
      </c>
      <c r="E11" s="3" t="s">
        <v>27</v>
      </c>
      <c r="F11" s="3" t="s">
        <v>46</v>
      </c>
      <c r="G11" s="3" t="s">
        <v>48</v>
      </c>
      <c r="H11" s="3" t="s">
        <v>34</v>
      </c>
      <c r="I11" s="3" t="s">
        <v>35</v>
      </c>
      <c r="J11" s="3" t="s">
        <v>36</v>
      </c>
      <c r="K11" s="3" t="s">
        <v>37</v>
      </c>
      <c r="L11" s="3" t="s">
        <v>38</v>
      </c>
    </row>
    <row r="12" spans="1:12" ht="60" customHeight="1" x14ac:dyDescent="0.45">
      <c r="A12" s="2">
        <v>10</v>
      </c>
      <c r="B12" s="2" t="s">
        <v>13</v>
      </c>
      <c r="C12" s="3" t="s">
        <v>49</v>
      </c>
      <c r="D12" s="3" t="s">
        <v>15</v>
      </c>
      <c r="E12" s="3" t="s">
        <v>49</v>
      </c>
      <c r="F12" s="3" t="s">
        <v>50</v>
      </c>
      <c r="G12" s="3" t="s">
        <v>51</v>
      </c>
      <c r="H12" s="3" t="s">
        <v>34</v>
      </c>
      <c r="I12" s="3" t="s">
        <v>35</v>
      </c>
      <c r="J12" s="3" t="s">
        <v>36</v>
      </c>
      <c r="K12" s="3" t="s">
        <v>37</v>
      </c>
      <c r="L12" s="3" t="s">
        <v>38</v>
      </c>
    </row>
    <row r="13" spans="1:12" ht="60" customHeight="1" x14ac:dyDescent="0.45">
      <c r="A13" s="4">
        <v>11</v>
      </c>
      <c r="B13" s="4" t="s">
        <v>23</v>
      </c>
      <c r="C13" s="3" t="s">
        <v>52</v>
      </c>
      <c r="D13" s="3" t="s">
        <v>25</v>
      </c>
      <c r="E13" s="3" t="s">
        <v>52</v>
      </c>
      <c r="F13" s="3" t="s">
        <v>53</v>
      </c>
      <c r="G13" s="3" t="s">
        <v>54</v>
      </c>
      <c r="H13" s="3" t="s">
        <v>34</v>
      </c>
      <c r="I13" s="3" t="s">
        <v>35</v>
      </c>
      <c r="J13" s="3" t="s">
        <v>36</v>
      </c>
      <c r="K13" s="3" t="s">
        <v>37</v>
      </c>
      <c r="L13" s="3" t="s">
        <v>38</v>
      </c>
    </row>
    <row r="14" spans="1:12" ht="60" customHeight="1" x14ac:dyDescent="0.45">
      <c r="A14" s="4">
        <v>12</v>
      </c>
      <c r="B14" s="4" t="s">
        <v>23</v>
      </c>
      <c r="C14" s="3" t="s">
        <v>52</v>
      </c>
      <c r="D14" s="3" t="s">
        <v>25</v>
      </c>
      <c r="E14" s="3" t="s">
        <v>52</v>
      </c>
      <c r="F14" s="3" t="s">
        <v>55</v>
      </c>
      <c r="G14" s="3" t="s">
        <v>56</v>
      </c>
      <c r="H14" s="3" t="s">
        <v>34</v>
      </c>
      <c r="I14" s="3" t="s">
        <v>35</v>
      </c>
      <c r="J14" s="3" t="s">
        <v>36</v>
      </c>
      <c r="K14" s="3" t="s">
        <v>37</v>
      </c>
      <c r="L14" s="3" t="s">
        <v>38</v>
      </c>
    </row>
    <row r="15" spans="1:12" ht="60" customHeight="1" x14ac:dyDescent="0.45">
      <c r="A15" s="4">
        <v>13</v>
      </c>
      <c r="B15" s="4" t="s">
        <v>23</v>
      </c>
      <c r="C15" s="3" t="s">
        <v>41</v>
      </c>
      <c r="D15" s="3" t="s">
        <v>25</v>
      </c>
      <c r="E15" s="3" t="s">
        <v>41</v>
      </c>
      <c r="F15" s="3" t="s">
        <v>57</v>
      </c>
      <c r="G15" s="3" t="s">
        <v>58</v>
      </c>
      <c r="H15" s="3" t="s">
        <v>34</v>
      </c>
      <c r="I15" s="3" t="s">
        <v>35</v>
      </c>
      <c r="J15" s="3" t="s">
        <v>36</v>
      </c>
      <c r="K15" s="3" t="s">
        <v>37</v>
      </c>
      <c r="L15" s="3" t="s">
        <v>38</v>
      </c>
    </row>
    <row r="16" spans="1:12" ht="60" customHeight="1" x14ac:dyDescent="0.45">
      <c r="A16" s="4">
        <v>14</v>
      </c>
      <c r="B16" s="4" t="s">
        <v>23</v>
      </c>
      <c r="C16" s="3" t="s">
        <v>52</v>
      </c>
      <c r="D16" s="3" t="s">
        <v>25</v>
      </c>
      <c r="E16" s="3" t="s">
        <v>52</v>
      </c>
      <c r="F16" s="3" t="s">
        <v>57</v>
      </c>
      <c r="G16" s="3" t="s">
        <v>59</v>
      </c>
      <c r="H16" s="3" t="s">
        <v>34</v>
      </c>
      <c r="I16" s="3" t="s">
        <v>35</v>
      </c>
      <c r="J16" s="3" t="s">
        <v>36</v>
      </c>
      <c r="K16" s="3" t="s">
        <v>37</v>
      </c>
      <c r="L16" s="3" t="s">
        <v>38</v>
      </c>
    </row>
    <row r="17" spans="1:12" ht="60" customHeight="1" x14ac:dyDescent="0.45">
      <c r="A17" s="4">
        <v>15</v>
      </c>
      <c r="B17" s="4" t="s">
        <v>23</v>
      </c>
      <c r="C17" s="3" t="s">
        <v>60</v>
      </c>
      <c r="D17" s="3" t="s">
        <v>25</v>
      </c>
      <c r="E17" s="3" t="s">
        <v>60</v>
      </c>
      <c r="F17" s="3" t="s">
        <v>61</v>
      </c>
      <c r="G17" s="3" t="s">
        <v>62</v>
      </c>
      <c r="H17" s="3" t="s">
        <v>34</v>
      </c>
      <c r="I17" s="3" t="s">
        <v>35</v>
      </c>
      <c r="J17" s="3" t="s">
        <v>36</v>
      </c>
      <c r="K17" s="3" t="s">
        <v>37</v>
      </c>
      <c r="L17" s="3" t="s">
        <v>38</v>
      </c>
    </row>
    <row r="18" spans="1:12" ht="60" customHeight="1" x14ac:dyDescent="0.45">
      <c r="A18" s="4">
        <v>16</v>
      </c>
      <c r="B18" s="4" t="s">
        <v>23</v>
      </c>
      <c r="C18" s="3" t="s">
        <v>52</v>
      </c>
      <c r="D18" s="3" t="s">
        <v>25</v>
      </c>
      <c r="E18" s="3" t="s">
        <v>52</v>
      </c>
      <c r="F18" s="3" t="s">
        <v>61</v>
      </c>
      <c r="G18" s="3" t="s">
        <v>63</v>
      </c>
      <c r="H18" s="3" t="s">
        <v>34</v>
      </c>
      <c r="I18" s="3" t="s">
        <v>35</v>
      </c>
      <c r="J18" s="3" t="s">
        <v>36</v>
      </c>
      <c r="K18" s="3" t="s">
        <v>37</v>
      </c>
      <c r="L18" s="3" t="s">
        <v>38</v>
      </c>
    </row>
    <row r="19" spans="1:12" ht="60" customHeight="1" x14ac:dyDescent="0.45">
      <c r="A19" s="5">
        <v>17</v>
      </c>
      <c r="B19" s="5" t="s">
        <v>29</v>
      </c>
      <c r="C19" s="3" t="s">
        <v>64</v>
      </c>
      <c r="D19" s="3" t="s">
        <v>31</v>
      </c>
      <c r="E19" s="3" t="s">
        <v>64</v>
      </c>
      <c r="F19" s="3" t="s">
        <v>65</v>
      </c>
      <c r="G19" s="3" t="s">
        <v>66</v>
      </c>
      <c r="H19" s="3" t="s">
        <v>34</v>
      </c>
      <c r="I19" s="3" t="s">
        <v>35</v>
      </c>
      <c r="J19" s="3" t="s">
        <v>36</v>
      </c>
      <c r="K19" s="3" t="s">
        <v>37</v>
      </c>
      <c r="L19" s="3" t="s">
        <v>38</v>
      </c>
    </row>
    <row r="20" spans="1:12" ht="60" customHeight="1" x14ac:dyDescent="0.45">
      <c r="A20" s="2">
        <v>18</v>
      </c>
      <c r="B20" s="2" t="s">
        <v>13</v>
      </c>
      <c r="C20" s="3" t="s">
        <v>49</v>
      </c>
      <c r="D20" s="3" t="s">
        <v>15</v>
      </c>
      <c r="E20" s="3" t="s">
        <v>49</v>
      </c>
      <c r="F20" s="3" t="s">
        <v>67</v>
      </c>
      <c r="G20" s="3" t="s">
        <v>68</v>
      </c>
      <c r="H20" s="3" t="s">
        <v>34</v>
      </c>
      <c r="I20" s="3" t="s">
        <v>35</v>
      </c>
      <c r="J20" s="3" t="s">
        <v>36</v>
      </c>
      <c r="K20" s="3" t="s">
        <v>37</v>
      </c>
      <c r="L20" s="3" t="s">
        <v>38</v>
      </c>
    </row>
    <row r="21" spans="1:12" ht="60" customHeight="1" x14ac:dyDescent="0.45">
      <c r="A21" s="4">
        <v>19</v>
      </c>
      <c r="B21" s="4" t="s">
        <v>23</v>
      </c>
      <c r="C21" s="3" t="s">
        <v>69</v>
      </c>
      <c r="D21" s="3" t="s">
        <v>25</v>
      </c>
      <c r="E21" s="3" t="s">
        <v>69</v>
      </c>
      <c r="F21" s="3" t="s">
        <v>67</v>
      </c>
      <c r="G21" s="3" t="s">
        <v>70</v>
      </c>
      <c r="H21" s="3" t="s">
        <v>34</v>
      </c>
      <c r="I21" s="3" t="s">
        <v>35</v>
      </c>
      <c r="J21" s="3" t="s">
        <v>36</v>
      </c>
      <c r="K21" s="3" t="s">
        <v>37</v>
      </c>
      <c r="L21" s="3" t="s">
        <v>38</v>
      </c>
    </row>
    <row r="22" spans="1:12" ht="60" customHeight="1" x14ac:dyDescent="0.45">
      <c r="A22" s="4">
        <v>20</v>
      </c>
      <c r="B22" s="4" t="s">
        <v>23</v>
      </c>
      <c r="C22" s="3" t="s">
        <v>52</v>
      </c>
      <c r="D22" s="3" t="s">
        <v>25</v>
      </c>
      <c r="E22" s="3" t="s">
        <v>52</v>
      </c>
      <c r="F22" s="3" t="s">
        <v>71</v>
      </c>
      <c r="G22" s="3" t="s">
        <v>72</v>
      </c>
      <c r="H22" s="3" t="s">
        <v>34</v>
      </c>
      <c r="I22" s="3" t="s">
        <v>35</v>
      </c>
      <c r="J22" s="3" t="s">
        <v>36</v>
      </c>
      <c r="K22" s="3" t="s">
        <v>37</v>
      </c>
      <c r="L22" s="3" t="s">
        <v>38</v>
      </c>
    </row>
    <row r="23" spans="1:12" ht="60" customHeight="1" x14ac:dyDescent="0.45">
      <c r="A23" s="4">
        <v>21</v>
      </c>
      <c r="B23" s="4" t="s">
        <v>23</v>
      </c>
      <c r="C23" s="3" t="s">
        <v>52</v>
      </c>
      <c r="D23" s="3" t="s">
        <v>25</v>
      </c>
      <c r="E23" s="3" t="s">
        <v>52</v>
      </c>
      <c r="F23" s="3" t="s">
        <v>73</v>
      </c>
      <c r="G23" s="3" t="s">
        <v>74</v>
      </c>
      <c r="H23" s="3" t="s">
        <v>34</v>
      </c>
      <c r="I23" s="3" t="s">
        <v>35</v>
      </c>
      <c r="J23" s="3" t="s">
        <v>36</v>
      </c>
      <c r="K23" s="3" t="s">
        <v>37</v>
      </c>
      <c r="L23" s="3" t="s">
        <v>38</v>
      </c>
    </row>
    <row r="24" spans="1:12" ht="60" customHeight="1" x14ac:dyDescent="0.45">
      <c r="A24" s="4">
        <v>22</v>
      </c>
      <c r="B24" s="4" t="s">
        <v>23</v>
      </c>
      <c r="C24" s="3" t="s">
        <v>39</v>
      </c>
      <c r="D24" s="3" t="s">
        <v>25</v>
      </c>
      <c r="E24" s="3" t="s">
        <v>39</v>
      </c>
      <c r="F24" s="3" t="s">
        <v>75</v>
      </c>
      <c r="G24" s="3" t="s">
        <v>76</v>
      </c>
      <c r="H24" s="3" t="s">
        <v>34</v>
      </c>
      <c r="I24" s="3" t="s">
        <v>35</v>
      </c>
      <c r="J24" s="3" t="s">
        <v>36</v>
      </c>
      <c r="K24" s="3" t="s">
        <v>37</v>
      </c>
      <c r="L24" s="3" t="s">
        <v>38</v>
      </c>
    </row>
    <row r="25" spans="1:12" ht="60" customHeight="1" x14ac:dyDescent="0.45">
      <c r="A25" s="2">
        <v>23</v>
      </c>
      <c r="B25" s="2" t="s">
        <v>13</v>
      </c>
      <c r="C25" s="3" t="s">
        <v>77</v>
      </c>
      <c r="D25" s="3" t="s">
        <v>15</v>
      </c>
      <c r="E25" s="3" t="s">
        <v>77</v>
      </c>
      <c r="F25" s="3" t="s">
        <v>78</v>
      </c>
      <c r="G25" s="3" t="s">
        <v>79</v>
      </c>
      <c r="H25" s="3" t="s">
        <v>80</v>
      </c>
      <c r="I25" s="3" t="s">
        <v>81</v>
      </c>
      <c r="J25" s="3" t="s">
        <v>82</v>
      </c>
      <c r="K25" s="3" t="s">
        <v>83</v>
      </c>
      <c r="L25" s="3" t="s">
        <v>22</v>
      </c>
    </row>
    <row r="26" spans="1:12" ht="60" customHeight="1" x14ac:dyDescent="0.45">
      <c r="A26" s="4">
        <v>24</v>
      </c>
      <c r="B26" s="4" t="s">
        <v>23</v>
      </c>
      <c r="C26" s="3" t="s">
        <v>39</v>
      </c>
      <c r="D26" s="3" t="s">
        <v>25</v>
      </c>
      <c r="E26" s="3" t="s">
        <v>39</v>
      </c>
      <c r="F26" s="3" t="s">
        <v>84</v>
      </c>
      <c r="G26" s="3" t="s">
        <v>85</v>
      </c>
      <c r="H26" s="3" t="s">
        <v>80</v>
      </c>
      <c r="I26" s="3" t="s">
        <v>81</v>
      </c>
      <c r="J26" s="3" t="s">
        <v>82</v>
      </c>
      <c r="K26" s="3" t="s">
        <v>83</v>
      </c>
      <c r="L26" s="3" t="s">
        <v>22</v>
      </c>
    </row>
    <row r="27" spans="1:12" ht="60" customHeight="1" x14ac:dyDescent="0.45">
      <c r="A27" s="4">
        <v>25</v>
      </c>
      <c r="B27" s="4" t="s">
        <v>23</v>
      </c>
      <c r="C27" s="3" t="s">
        <v>52</v>
      </c>
      <c r="D27" s="3" t="s">
        <v>25</v>
      </c>
      <c r="E27" s="3" t="s">
        <v>52</v>
      </c>
      <c r="F27" s="3" t="s">
        <v>86</v>
      </c>
      <c r="G27" s="3" t="s">
        <v>87</v>
      </c>
      <c r="H27" s="3" t="s">
        <v>80</v>
      </c>
      <c r="I27" s="3" t="s">
        <v>81</v>
      </c>
      <c r="J27" s="3" t="s">
        <v>82</v>
      </c>
      <c r="K27" s="3" t="s">
        <v>83</v>
      </c>
      <c r="L27" s="3" t="s">
        <v>22</v>
      </c>
    </row>
    <row r="28" spans="1:12" ht="60" customHeight="1" x14ac:dyDescent="0.45">
      <c r="A28" s="4">
        <v>26</v>
      </c>
      <c r="B28" s="4" t="s">
        <v>23</v>
      </c>
      <c r="C28" s="3" t="s">
        <v>69</v>
      </c>
      <c r="D28" s="3" t="s">
        <v>25</v>
      </c>
      <c r="E28" s="3" t="s">
        <v>69</v>
      </c>
      <c r="F28" s="3" t="s">
        <v>88</v>
      </c>
      <c r="G28" s="3" t="s">
        <v>89</v>
      </c>
      <c r="H28" s="3" t="s">
        <v>90</v>
      </c>
      <c r="I28" s="3" t="s">
        <v>91</v>
      </c>
      <c r="J28" s="3" t="s">
        <v>92</v>
      </c>
      <c r="K28" s="3" t="s">
        <v>93</v>
      </c>
      <c r="L28" s="3" t="s">
        <v>38</v>
      </c>
    </row>
    <row r="29" spans="1:12" ht="60" customHeight="1" x14ac:dyDescent="0.45">
      <c r="A29" s="4">
        <v>27</v>
      </c>
      <c r="B29" s="4" t="s">
        <v>23</v>
      </c>
      <c r="C29" s="3" t="s">
        <v>24</v>
      </c>
      <c r="D29" s="3" t="s">
        <v>25</v>
      </c>
      <c r="E29" s="3" t="s">
        <v>24</v>
      </c>
      <c r="F29" s="3" t="s">
        <v>88</v>
      </c>
      <c r="G29" s="3" t="s">
        <v>94</v>
      </c>
      <c r="H29" s="3" t="s">
        <v>90</v>
      </c>
      <c r="I29" s="3" t="s">
        <v>91</v>
      </c>
      <c r="J29" s="3" t="s">
        <v>92</v>
      </c>
      <c r="K29" s="3" t="s">
        <v>93</v>
      </c>
      <c r="L29" s="3" t="s">
        <v>38</v>
      </c>
    </row>
    <row r="30" spans="1:12" ht="60" customHeight="1" x14ac:dyDescent="0.45">
      <c r="A30" s="5">
        <v>28</v>
      </c>
      <c r="B30" s="5" t="s">
        <v>29</v>
      </c>
      <c r="C30" s="3" t="s">
        <v>30</v>
      </c>
      <c r="D30" s="3" t="s">
        <v>31</v>
      </c>
      <c r="E30" s="3" t="s">
        <v>30</v>
      </c>
      <c r="F30" s="3" t="s">
        <v>88</v>
      </c>
      <c r="G30" s="3" t="s">
        <v>95</v>
      </c>
      <c r="H30" s="3" t="s">
        <v>90</v>
      </c>
      <c r="I30" s="3" t="s">
        <v>91</v>
      </c>
      <c r="J30" s="3" t="s">
        <v>92</v>
      </c>
      <c r="K30" s="3" t="s">
        <v>93</v>
      </c>
      <c r="L30" s="3" t="s">
        <v>38</v>
      </c>
    </row>
    <row r="31" spans="1:12" ht="60" customHeight="1" x14ac:dyDescent="0.45">
      <c r="A31" s="2">
        <v>29</v>
      </c>
      <c r="B31" s="2" t="s">
        <v>13</v>
      </c>
      <c r="C31" s="3" t="s">
        <v>27</v>
      </c>
      <c r="D31" s="3" t="s">
        <v>15</v>
      </c>
      <c r="E31" s="3" t="s">
        <v>27</v>
      </c>
      <c r="F31" s="3" t="s">
        <v>96</v>
      </c>
      <c r="G31" s="3" t="s">
        <v>97</v>
      </c>
      <c r="H31" s="3" t="s">
        <v>90</v>
      </c>
      <c r="I31" s="3" t="s">
        <v>91</v>
      </c>
      <c r="J31" s="3" t="s">
        <v>92</v>
      </c>
      <c r="K31" s="3" t="s">
        <v>93</v>
      </c>
      <c r="L31" s="3" t="s">
        <v>38</v>
      </c>
    </row>
    <row r="32" spans="1:12" ht="60" customHeight="1" x14ac:dyDescent="0.45">
      <c r="A32" s="4">
        <v>30</v>
      </c>
      <c r="B32" s="4" t="s">
        <v>23</v>
      </c>
      <c r="C32" s="3" t="s">
        <v>69</v>
      </c>
      <c r="D32" s="3" t="s">
        <v>25</v>
      </c>
      <c r="E32" s="3" t="s">
        <v>69</v>
      </c>
      <c r="F32" s="3" t="s">
        <v>98</v>
      </c>
      <c r="G32" s="3" t="s">
        <v>99</v>
      </c>
      <c r="H32" s="3" t="s">
        <v>90</v>
      </c>
      <c r="I32" s="3" t="s">
        <v>91</v>
      </c>
      <c r="J32" s="3" t="s">
        <v>92</v>
      </c>
      <c r="K32" s="3" t="s">
        <v>93</v>
      </c>
      <c r="L32" s="3" t="s">
        <v>38</v>
      </c>
    </row>
    <row r="33" spans="1:12" ht="60" customHeight="1" x14ac:dyDescent="0.45">
      <c r="A33" s="4">
        <v>31</v>
      </c>
      <c r="B33" s="4" t="s">
        <v>23</v>
      </c>
      <c r="C33" s="3" t="s">
        <v>24</v>
      </c>
      <c r="D33" s="3" t="s">
        <v>25</v>
      </c>
      <c r="E33" s="3" t="s">
        <v>24</v>
      </c>
      <c r="F33" s="3" t="s">
        <v>98</v>
      </c>
      <c r="G33" s="3" t="s">
        <v>100</v>
      </c>
      <c r="H33" s="3" t="s">
        <v>90</v>
      </c>
      <c r="I33" s="3" t="s">
        <v>91</v>
      </c>
      <c r="J33" s="3" t="s">
        <v>92</v>
      </c>
      <c r="K33" s="3" t="s">
        <v>93</v>
      </c>
      <c r="L33" s="3" t="s">
        <v>38</v>
      </c>
    </row>
    <row r="34" spans="1:12" ht="60" customHeight="1" x14ac:dyDescent="0.45">
      <c r="A34" s="4">
        <v>32</v>
      </c>
      <c r="B34" s="4" t="s">
        <v>23</v>
      </c>
      <c r="C34" s="3" t="s">
        <v>24</v>
      </c>
      <c r="D34" s="3" t="s">
        <v>25</v>
      </c>
      <c r="E34" s="3" t="s">
        <v>24</v>
      </c>
      <c r="F34" s="3" t="s">
        <v>101</v>
      </c>
      <c r="G34" s="3" t="s">
        <v>102</v>
      </c>
      <c r="H34" s="3" t="s">
        <v>90</v>
      </c>
      <c r="I34" s="3" t="s">
        <v>91</v>
      </c>
      <c r="J34" s="3" t="s">
        <v>92</v>
      </c>
      <c r="K34" s="3" t="s">
        <v>93</v>
      </c>
      <c r="L34" s="3" t="s">
        <v>38</v>
      </c>
    </row>
    <row r="35" spans="1:12" ht="60" customHeight="1" x14ac:dyDescent="0.45">
      <c r="A35" s="5">
        <v>33</v>
      </c>
      <c r="B35" s="5" t="s">
        <v>29</v>
      </c>
      <c r="C35" s="3" t="s">
        <v>64</v>
      </c>
      <c r="D35" s="3" t="s">
        <v>31</v>
      </c>
      <c r="E35" s="3" t="s">
        <v>64</v>
      </c>
      <c r="F35" s="3" t="s">
        <v>101</v>
      </c>
      <c r="G35" s="3" t="s">
        <v>103</v>
      </c>
      <c r="H35" s="3" t="s">
        <v>90</v>
      </c>
      <c r="I35" s="3" t="s">
        <v>91</v>
      </c>
      <c r="J35" s="3" t="s">
        <v>92</v>
      </c>
      <c r="K35" s="3" t="s">
        <v>93</v>
      </c>
      <c r="L35" s="3" t="s">
        <v>38</v>
      </c>
    </row>
    <row r="36" spans="1:12" ht="60" customHeight="1" x14ac:dyDescent="0.45">
      <c r="A36" s="4">
        <v>34</v>
      </c>
      <c r="B36" s="4" t="s">
        <v>23</v>
      </c>
      <c r="C36" s="3" t="s">
        <v>69</v>
      </c>
      <c r="D36" s="3" t="s">
        <v>25</v>
      </c>
      <c r="E36" s="3" t="s">
        <v>69</v>
      </c>
      <c r="F36" s="3" t="s">
        <v>104</v>
      </c>
      <c r="G36" s="3" t="s">
        <v>105</v>
      </c>
      <c r="H36" s="3" t="s">
        <v>90</v>
      </c>
      <c r="I36" s="3" t="s">
        <v>91</v>
      </c>
      <c r="J36" s="3" t="s">
        <v>92</v>
      </c>
      <c r="K36" s="3" t="s">
        <v>93</v>
      </c>
      <c r="L36" s="3" t="s">
        <v>38</v>
      </c>
    </row>
    <row r="37" spans="1:12" ht="60" customHeight="1" x14ac:dyDescent="0.45">
      <c r="A37" s="5">
        <v>35</v>
      </c>
      <c r="B37" s="5" t="s">
        <v>29</v>
      </c>
      <c r="C37" s="3" t="s">
        <v>64</v>
      </c>
      <c r="D37" s="3" t="s">
        <v>31</v>
      </c>
      <c r="E37" s="3" t="s">
        <v>64</v>
      </c>
      <c r="F37" s="3" t="s">
        <v>106</v>
      </c>
      <c r="G37" s="3" t="s">
        <v>107</v>
      </c>
      <c r="H37" s="3" t="s">
        <v>90</v>
      </c>
      <c r="I37" s="3" t="s">
        <v>91</v>
      </c>
      <c r="J37" s="3" t="s">
        <v>92</v>
      </c>
      <c r="K37" s="3" t="s">
        <v>93</v>
      </c>
      <c r="L37" s="3" t="s">
        <v>38</v>
      </c>
    </row>
    <row r="38" spans="1:12" ht="60" customHeight="1" x14ac:dyDescent="0.45">
      <c r="A38" s="4">
        <v>36</v>
      </c>
      <c r="B38" s="4" t="s">
        <v>23</v>
      </c>
      <c r="C38" s="3" t="s">
        <v>69</v>
      </c>
      <c r="D38" s="3" t="s">
        <v>25</v>
      </c>
      <c r="E38" s="3" t="s">
        <v>69</v>
      </c>
      <c r="F38" s="3" t="s">
        <v>108</v>
      </c>
      <c r="G38" s="3" t="s">
        <v>109</v>
      </c>
      <c r="H38" s="3" t="s">
        <v>90</v>
      </c>
      <c r="I38" s="3" t="s">
        <v>91</v>
      </c>
      <c r="J38" s="3" t="s">
        <v>92</v>
      </c>
      <c r="K38" s="3" t="s">
        <v>93</v>
      </c>
      <c r="L38" s="3" t="s">
        <v>38</v>
      </c>
    </row>
    <row r="39" spans="1:12" ht="60" customHeight="1" x14ac:dyDescent="0.45">
      <c r="A39" s="4">
        <v>37</v>
      </c>
      <c r="B39" s="4" t="s">
        <v>23</v>
      </c>
      <c r="C39" s="3" t="s">
        <v>69</v>
      </c>
      <c r="D39" s="3" t="s">
        <v>25</v>
      </c>
      <c r="E39" s="3" t="s">
        <v>69</v>
      </c>
      <c r="F39" s="3" t="s">
        <v>110</v>
      </c>
      <c r="G39" s="3" t="s">
        <v>111</v>
      </c>
      <c r="H39" s="3" t="s">
        <v>90</v>
      </c>
      <c r="I39" s="3" t="s">
        <v>91</v>
      </c>
      <c r="J39" s="3" t="s">
        <v>92</v>
      </c>
      <c r="K39" s="3" t="s">
        <v>93</v>
      </c>
      <c r="L39" s="3" t="s">
        <v>38</v>
      </c>
    </row>
    <row r="40" spans="1:12" ht="60" customHeight="1" x14ac:dyDescent="0.45">
      <c r="A40" s="5">
        <v>38</v>
      </c>
      <c r="B40" s="5" t="s">
        <v>29</v>
      </c>
      <c r="C40" s="3" t="s">
        <v>30</v>
      </c>
      <c r="D40" s="3" t="s">
        <v>31</v>
      </c>
      <c r="E40" s="3" t="s">
        <v>30</v>
      </c>
      <c r="F40" s="3" t="s">
        <v>110</v>
      </c>
      <c r="G40" s="3" t="s">
        <v>112</v>
      </c>
      <c r="H40" s="3" t="s">
        <v>90</v>
      </c>
      <c r="I40" s="3" t="s">
        <v>91</v>
      </c>
      <c r="J40" s="3" t="s">
        <v>92</v>
      </c>
      <c r="K40" s="3" t="s">
        <v>93</v>
      </c>
      <c r="L40" s="3" t="s">
        <v>38</v>
      </c>
    </row>
    <row r="41" spans="1:12" ht="60" customHeight="1" x14ac:dyDescent="0.45">
      <c r="A41" s="4">
        <v>39</v>
      </c>
      <c r="B41" s="4" t="s">
        <v>23</v>
      </c>
      <c r="C41" s="3" t="s">
        <v>69</v>
      </c>
      <c r="D41" s="3" t="s">
        <v>25</v>
      </c>
      <c r="E41" s="3" t="s">
        <v>69</v>
      </c>
      <c r="F41" s="3" t="s">
        <v>113</v>
      </c>
      <c r="G41" s="3" t="s">
        <v>114</v>
      </c>
      <c r="H41" s="3" t="s">
        <v>115</v>
      </c>
      <c r="I41" s="3" t="s">
        <v>116</v>
      </c>
      <c r="J41" s="3" t="s">
        <v>36</v>
      </c>
      <c r="K41" s="3" t="s">
        <v>37</v>
      </c>
      <c r="L41" s="3" t="s">
        <v>38</v>
      </c>
    </row>
    <row r="42" spans="1:12" ht="60" customHeight="1" x14ac:dyDescent="0.45">
      <c r="A42" s="2">
        <v>40</v>
      </c>
      <c r="B42" s="2" t="s">
        <v>13</v>
      </c>
      <c r="C42" s="3" t="s">
        <v>77</v>
      </c>
      <c r="D42" s="3" t="s">
        <v>15</v>
      </c>
      <c r="E42" s="3" t="s">
        <v>77</v>
      </c>
      <c r="F42" s="3" t="s">
        <v>117</v>
      </c>
      <c r="G42" s="3" t="s">
        <v>118</v>
      </c>
      <c r="H42" s="3" t="s">
        <v>115</v>
      </c>
      <c r="I42" s="3" t="s">
        <v>116</v>
      </c>
      <c r="J42" s="3" t="s">
        <v>36</v>
      </c>
      <c r="K42" s="3" t="s">
        <v>37</v>
      </c>
      <c r="L42" s="3" t="s">
        <v>38</v>
      </c>
    </row>
    <row r="43" spans="1:12" ht="60" customHeight="1" x14ac:dyDescent="0.45">
      <c r="A43" s="2">
        <v>41</v>
      </c>
      <c r="B43" s="2" t="s">
        <v>13</v>
      </c>
      <c r="C43" s="3" t="s">
        <v>27</v>
      </c>
      <c r="D43" s="3" t="s">
        <v>15</v>
      </c>
      <c r="E43" s="3" t="s">
        <v>27</v>
      </c>
      <c r="F43" s="3" t="s">
        <v>117</v>
      </c>
      <c r="G43" s="3" t="s">
        <v>119</v>
      </c>
      <c r="H43" s="3" t="s">
        <v>115</v>
      </c>
      <c r="I43" s="3" t="s">
        <v>116</v>
      </c>
      <c r="J43" s="3" t="s">
        <v>36</v>
      </c>
      <c r="K43" s="3" t="s">
        <v>37</v>
      </c>
      <c r="L43" s="3" t="s">
        <v>38</v>
      </c>
    </row>
    <row r="44" spans="1:12" ht="60" customHeight="1" x14ac:dyDescent="0.45">
      <c r="A44" s="5">
        <v>42</v>
      </c>
      <c r="B44" s="5" t="s">
        <v>29</v>
      </c>
      <c r="C44" s="3" t="s">
        <v>120</v>
      </c>
      <c r="D44" s="3" t="s">
        <v>31</v>
      </c>
      <c r="E44" s="3" t="s">
        <v>120</v>
      </c>
      <c r="F44" s="3" t="s">
        <v>121</v>
      </c>
      <c r="G44" s="3" t="s">
        <v>122</v>
      </c>
      <c r="H44" s="3" t="s">
        <v>115</v>
      </c>
      <c r="I44" s="3" t="s">
        <v>116</v>
      </c>
      <c r="J44" s="3" t="s">
        <v>36</v>
      </c>
      <c r="K44" s="3" t="s">
        <v>37</v>
      </c>
      <c r="L44" s="3" t="s">
        <v>38</v>
      </c>
    </row>
    <row r="45" spans="1:12" ht="60" customHeight="1" x14ac:dyDescent="0.45">
      <c r="A45" s="5">
        <v>43</v>
      </c>
      <c r="B45" s="5" t="s">
        <v>29</v>
      </c>
      <c r="C45" s="3" t="s">
        <v>64</v>
      </c>
      <c r="D45" s="3" t="s">
        <v>31</v>
      </c>
      <c r="E45" s="3" t="s">
        <v>64</v>
      </c>
      <c r="F45" s="3" t="s">
        <v>123</v>
      </c>
      <c r="G45" s="3" t="s">
        <v>124</v>
      </c>
      <c r="H45" s="3" t="s">
        <v>115</v>
      </c>
      <c r="I45" s="3" t="s">
        <v>116</v>
      </c>
      <c r="J45" s="3" t="s">
        <v>36</v>
      </c>
      <c r="K45" s="3" t="s">
        <v>37</v>
      </c>
      <c r="L45" s="3" t="s">
        <v>38</v>
      </c>
    </row>
    <row r="46" spans="1:12" ht="60" customHeight="1" x14ac:dyDescent="0.45">
      <c r="A46" s="5">
        <v>44</v>
      </c>
      <c r="B46" s="5" t="s">
        <v>29</v>
      </c>
      <c r="C46" s="3" t="s">
        <v>120</v>
      </c>
      <c r="D46" s="3" t="s">
        <v>31</v>
      </c>
      <c r="E46" s="3" t="s">
        <v>120</v>
      </c>
      <c r="F46" s="3" t="s">
        <v>123</v>
      </c>
      <c r="G46" s="3" t="s">
        <v>125</v>
      </c>
      <c r="H46" s="3" t="s">
        <v>115</v>
      </c>
      <c r="I46" s="3" t="s">
        <v>116</v>
      </c>
      <c r="J46" s="3" t="s">
        <v>36</v>
      </c>
      <c r="K46" s="3" t="s">
        <v>37</v>
      </c>
      <c r="L46" s="3" t="s">
        <v>38</v>
      </c>
    </row>
    <row r="47" spans="1:12" ht="60" customHeight="1" x14ac:dyDescent="0.45">
      <c r="A47" s="4">
        <v>45</v>
      </c>
      <c r="B47" s="4" t="s">
        <v>23</v>
      </c>
      <c r="C47" s="3" t="s">
        <v>24</v>
      </c>
      <c r="D47" s="3" t="s">
        <v>25</v>
      </c>
      <c r="E47" s="3" t="s">
        <v>24</v>
      </c>
      <c r="F47" s="3" t="s">
        <v>123</v>
      </c>
      <c r="G47" s="3" t="s">
        <v>126</v>
      </c>
      <c r="H47" s="3" t="s">
        <v>115</v>
      </c>
      <c r="I47" s="3" t="s">
        <v>116</v>
      </c>
      <c r="J47" s="3" t="s">
        <v>36</v>
      </c>
      <c r="K47" s="3" t="s">
        <v>37</v>
      </c>
      <c r="L47" s="3" t="s">
        <v>38</v>
      </c>
    </row>
    <row r="48" spans="1:12" ht="60" customHeight="1" x14ac:dyDescent="0.45">
      <c r="A48" s="2">
        <v>46</v>
      </c>
      <c r="B48" s="2" t="s">
        <v>13</v>
      </c>
      <c r="C48" s="3" t="s">
        <v>14</v>
      </c>
      <c r="D48" s="3" t="s">
        <v>15</v>
      </c>
      <c r="E48" s="3" t="s">
        <v>14</v>
      </c>
      <c r="F48" s="3" t="s">
        <v>127</v>
      </c>
      <c r="G48" s="3" t="s">
        <v>128</v>
      </c>
      <c r="H48" s="3" t="s">
        <v>115</v>
      </c>
      <c r="I48" s="3" t="s">
        <v>116</v>
      </c>
      <c r="J48" s="3" t="s">
        <v>36</v>
      </c>
      <c r="K48" s="3" t="s">
        <v>37</v>
      </c>
      <c r="L48" s="3" t="s">
        <v>38</v>
      </c>
    </row>
    <row r="49" spans="1:12" ht="60" customHeight="1" x14ac:dyDescent="0.45">
      <c r="A49" s="2">
        <v>47</v>
      </c>
      <c r="B49" s="2" t="s">
        <v>13</v>
      </c>
      <c r="C49" s="3" t="s">
        <v>49</v>
      </c>
      <c r="D49" s="3" t="s">
        <v>15</v>
      </c>
      <c r="E49" s="3" t="s">
        <v>49</v>
      </c>
      <c r="F49" s="3" t="s">
        <v>127</v>
      </c>
      <c r="G49" s="3" t="s">
        <v>129</v>
      </c>
      <c r="H49" s="3" t="s">
        <v>115</v>
      </c>
      <c r="I49" s="3" t="s">
        <v>116</v>
      </c>
      <c r="J49" s="3" t="s">
        <v>36</v>
      </c>
      <c r="K49" s="3" t="s">
        <v>37</v>
      </c>
      <c r="L49" s="3" t="s">
        <v>38</v>
      </c>
    </row>
    <row r="50" spans="1:12" ht="60" customHeight="1" x14ac:dyDescent="0.45">
      <c r="A50" s="2">
        <v>48</v>
      </c>
      <c r="B50" s="2" t="s">
        <v>13</v>
      </c>
      <c r="C50" s="3" t="s">
        <v>44</v>
      </c>
      <c r="D50" s="3" t="s">
        <v>15</v>
      </c>
      <c r="E50" s="3" t="s">
        <v>44</v>
      </c>
      <c r="F50" s="3" t="s">
        <v>127</v>
      </c>
      <c r="G50" s="3" t="s">
        <v>130</v>
      </c>
      <c r="H50" s="3" t="s">
        <v>115</v>
      </c>
      <c r="I50" s="3" t="s">
        <v>116</v>
      </c>
      <c r="J50" s="3" t="s">
        <v>36</v>
      </c>
      <c r="K50" s="3" t="s">
        <v>37</v>
      </c>
      <c r="L50" s="3" t="s">
        <v>38</v>
      </c>
    </row>
    <row r="51" spans="1:12" ht="60" customHeight="1" x14ac:dyDescent="0.45">
      <c r="A51" s="5">
        <v>49</v>
      </c>
      <c r="B51" s="5" t="s">
        <v>29</v>
      </c>
      <c r="C51" s="3" t="s">
        <v>64</v>
      </c>
      <c r="D51" s="3" t="s">
        <v>31</v>
      </c>
      <c r="E51" s="3" t="s">
        <v>64</v>
      </c>
      <c r="F51" s="3" t="s">
        <v>131</v>
      </c>
      <c r="G51" s="3" t="s">
        <v>132</v>
      </c>
      <c r="H51" s="3" t="s">
        <v>115</v>
      </c>
      <c r="I51" s="3" t="s">
        <v>116</v>
      </c>
      <c r="J51" s="3" t="s">
        <v>36</v>
      </c>
      <c r="K51" s="3" t="s">
        <v>37</v>
      </c>
      <c r="L51" s="3" t="s">
        <v>38</v>
      </c>
    </row>
    <row r="52" spans="1:12" ht="60" customHeight="1" x14ac:dyDescent="0.45">
      <c r="A52" s="2">
        <v>50</v>
      </c>
      <c r="B52" s="2" t="s">
        <v>13</v>
      </c>
      <c r="C52" s="3" t="s">
        <v>77</v>
      </c>
      <c r="D52" s="3" t="s">
        <v>15</v>
      </c>
      <c r="E52" s="3" t="s">
        <v>77</v>
      </c>
      <c r="F52" s="3" t="s">
        <v>133</v>
      </c>
      <c r="G52" s="3" t="s">
        <v>134</v>
      </c>
      <c r="H52" s="3" t="s">
        <v>115</v>
      </c>
      <c r="I52" s="3" t="s">
        <v>116</v>
      </c>
      <c r="J52" s="3" t="s">
        <v>36</v>
      </c>
      <c r="K52" s="3" t="s">
        <v>37</v>
      </c>
      <c r="L52" s="3" t="s">
        <v>38</v>
      </c>
    </row>
    <row r="53" spans="1:12" ht="60" customHeight="1" x14ac:dyDescent="0.45">
      <c r="A53" s="4">
        <v>51</v>
      </c>
      <c r="B53" s="4" t="s">
        <v>23</v>
      </c>
      <c r="C53" s="3" t="s">
        <v>69</v>
      </c>
      <c r="D53" s="3" t="s">
        <v>25</v>
      </c>
      <c r="E53" s="3" t="s">
        <v>69</v>
      </c>
      <c r="F53" s="3" t="s">
        <v>135</v>
      </c>
      <c r="G53" s="3" t="s">
        <v>136</v>
      </c>
      <c r="H53" s="3" t="s">
        <v>115</v>
      </c>
      <c r="I53" s="3" t="s">
        <v>116</v>
      </c>
      <c r="J53" s="3" t="s">
        <v>36</v>
      </c>
      <c r="K53" s="3" t="s">
        <v>37</v>
      </c>
      <c r="L53" s="3" t="s">
        <v>38</v>
      </c>
    </row>
    <row r="54" spans="1:12" ht="60" customHeight="1" x14ac:dyDescent="0.45">
      <c r="A54" s="5">
        <v>52</v>
      </c>
      <c r="B54" s="5" t="s">
        <v>29</v>
      </c>
      <c r="C54" s="3" t="s">
        <v>30</v>
      </c>
      <c r="D54" s="3" t="s">
        <v>31</v>
      </c>
      <c r="E54" s="3" t="s">
        <v>30</v>
      </c>
      <c r="F54" s="3" t="s">
        <v>135</v>
      </c>
      <c r="G54" s="3" t="s">
        <v>137</v>
      </c>
      <c r="H54" s="3" t="s">
        <v>115</v>
      </c>
      <c r="I54" s="3" t="s">
        <v>116</v>
      </c>
      <c r="J54" s="3" t="s">
        <v>36</v>
      </c>
      <c r="K54" s="3" t="s">
        <v>37</v>
      </c>
      <c r="L54" s="3" t="s">
        <v>38</v>
      </c>
    </row>
    <row r="55" spans="1:12" ht="60" customHeight="1" x14ac:dyDescent="0.45">
      <c r="A55" s="4">
        <v>53</v>
      </c>
      <c r="B55" s="4" t="s">
        <v>23</v>
      </c>
      <c r="C55" s="3" t="s">
        <v>41</v>
      </c>
      <c r="D55" s="3" t="s">
        <v>25</v>
      </c>
      <c r="E55" s="3" t="s">
        <v>41</v>
      </c>
      <c r="F55" s="3" t="s">
        <v>138</v>
      </c>
      <c r="G55" s="3" t="s">
        <v>139</v>
      </c>
      <c r="H55" s="3" t="s">
        <v>115</v>
      </c>
      <c r="I55" s="3" t="s">
        <v>116</v>
      </c>
      <c r="J55" s="3" t="s">
        <v>36</v>
      </c>
      <c r="K55" s="3" t="s">
        <v>37</v>
      </c>
      <c r="L55" s="3" t="s">
        <v>38</v>
      </c>
    </row>
    <row r="56" spans="1:12" ht="60" customHeight="1" x14ac:dyDescent="0.45">
      <c r="A56" s="4">
        <v>54</v>
      </c>
      <c r="B56" s="4" t="s">
        <v>23</v>
      </c>
      <c r="C56" s="3" t="s">
        <v>52</v>
      </c>
      <c r="D56" s="3" t="s">
        <v>25</v>
      </c>
      <c r="E56" s="3" t="s">
        <v>52</v>
      </c>
      <c r="F56" s="3" t="s">
        <v>138</v>
      </c>
      <c r="G56" s="3" t="s">
        <v>140</v>
      </c>
      <c r="H56" s="3" t="s">
        <v>115</v>
      </c>
      <c r="I56" s="3" t="s">
        <v>116</v>
      </c>
      <c r="J56" s="3" t="s">
        <v>36</v>
      </c>
      <c r="K56" s="3" t="s">
        <v>37</v>
      </c>
      <c r="L56" s="3" t="s">
        <v>38</v>
      </c>
    </row>
    <row r="57" spans="1:12" ht="60" customHeight="1" x14ac:dyDescent="0.45">
      <c r="A57" s="4">
        <v>55</v>
      </c>
      <c r="B57" s="4" t="s">
        <v>23</v>
      </c>
      <c r="C57" s="3" t="s">
        <v>69</v>
      </c>
      <c r="D57" s="3" t="s">
        <v>25</v>
      </c>
      <c r="E57" s="3" t="s">
        <v>69</v>
      </c>
      <c r="F57" s="3" t="s">
        <v>141</v>
      </c>
      <c r="G57" s="3" t="s">
        <v>142</v>
      </c>
      <c r="H57" s="3" t="s">
        <v>115</v>
      </c>
      <c r="I57" s="3" t="s">
        <v>116</v>
      </c>
      <c r="J57" s="3" t="s">
        <v>36</v>
      </c>
      <c r="K57" s="3" t="s">
        <v>37</v>
      </c>
      <c r="L57" s="3" t="s">
        <v>38</v>
      </c>
    </row>
    <row r="58" spans="1:12" ht="60" customHeight="1" x14ac:dyDescent="0.45">
      <c r="A58" s="5">
        <v>56</v>
      </c>
      <c r="B58" s="5" t="s">
        <v>29</v>
      </c>
      <c r="C58" s="3" t="s">
        <v>120</v>
      </c>
      <c r="D58" s="3" t="s">
        <v>31</v>
      </c>
      <c r="E58" s="3" t="s">
        <v>120</v>
      </c>
      <c r="F58" s="3" t="s">
        <v>141</v>
      </c>
      <c r="G58" s="3" t="s">
        <v>143</v>
      </c>
      <c r="H58" s="3" t="s">
        <v>115</v>
      </c>
      <c r="I58" s="3" t="s">
        <v>116</v>
      </c>
      <c r="J58" s="3" t="s">
        <v>36</v>
      </c>
      <c r="K58" s="3" t="s">
        <v>37</v>
      </c>
      <c r="L58" s="3" t="s">
        <v>38</v>
      </c>
    </row>
    <row r="59" spans="1:12" ht="60" customHeight="1" x14ac:dyDescent="0.45">
      <c r="A59" s="4">
        <v>57</v>
      </c>
      <c r="B59" s="4" t="s">
        <v>23</v>
      </c>
      <c r="C59" s="3" t="s">
        <v>52</v>
      </c>
      <c r="D59" s="3" t="s">
        <v>25</v>
      </c>
      <c r="E59" s="3" t="s">
        <v>52</v>
      </c>
      <c r="F59" s="3" t="s">
        <v>144</v>
      </c>
      <c r="G59" s="3" t="s">
        <v>145</v>
      </c>
      <c r="H59" s="3" t="s">
        <v>115</v>
      </c>
      <c r="I59" s="3" t="s">
        <v>116</v>
      </c>
      <c r="J59" s="3" t="s">
        <v>36</v>
      </c>
      <c r="K59" s="3" t="s">
        <v>37</v>
      </c>
      <c r="L59" s="3" t="s">
        <v>38</v>
      </c>
    </row>
    <row r="60" spans="1:12" ht="60" customHeight="1" x14ac:dyDescent="0.45">
      <c r="A60" s="4">
        <v>58</v>
      </c>
      <c r="B60" s="4" t="s">
        <v>23</v>
      </c>
      <c r="C60" s="3" t="s">
        <v>41</v>
      </c>
      <c r="D60" s="3" t="s">
        <v>25</v>
      </c>
      <c r="E60" s="3" t="s">
        <v>41</v>
      </c>
      <c r="F60" s="3" t="s">
        <v>146</v>
      </c>
      <c r="G60" s="3" t="s">
        <v>147</v>
      </c>
      <c r="H60" s="3" t="s">
        <v>148</v>
      </c>
      <c r="I60" s="3" t="s">
        <v>149</v>
      </c>
      <c r="J60" s="3" t="s">
        <v>82</v>
      </c>
      <c r="K60" s="3" t="s">
        <v>83</v>
      </c>
      <c r="L60" s="3" t="s">
        <v>22</v>
      </c>
    </row>
    <row r="61" spans="1:12" ht="60" customHeight="1" x14ac:dyDescent="0.45">
      <c r="A61" s="4">
        <v>59</v>
      </c>
      <c r="B61" s="4" t="s">
        <v>23</v>
      </c>
      <c r="C61" s="3" t="s">
        <v>52</v>
      </c>
      <c r="D61" s="3" t="s">
        <v>25</v>
      </c>
      <c r="E61" s="3" t="s">
        <v>52</v>
      </c>
      <c r="F61" s="3" t="s">
        <v>150</v>
      </c>
      <c r="G61" s="3" t="s">
        <v>151</v>
      </c>
      <c r="H61" s="3" t="s">
        <v>148</v>
      </c>
      <c r="I61" s="3" t="s">
        <v>149</v>
      </c>
      <c r="J61" s="3" t="s">
        <v>82</v>
      </c>
      <c r="K61" s="3" t="s">
        <v>83</v>
      </c>
      <c r="L61" s="3" t="s">
        <v>22</v>
      </c>
    </row>
    <row r="62" spans="1:12" ht="60" customHeight="1" x14ac:dyDescent="0.45">
      <c r="A62" s="4">
        <v>60</v>
      </c>
      <c r="B62" s="4" t="s">
        <v>23</v>
      </c>
      <c r="C62" s="3" t="s">
        <v>52</v>
      </c>
      <c r="D62" s="3" t="s">
        <v>25</v>
      </c>
      <c r="E62" s="3" t="s">
        <v>52</v>
      </c>
      <c r="F62" s="3" t="s">
        <v>152</v>
      </c>
      <c r="G62" s="3" t="s">
        <v>153</v>
      </c>
      <c r="H62" s="3" t="s">
        <v>148</v>
      </c>
      <c r="I62" s="3" t="s">
        <v>149</v>
      </c>
      <c r="J62" s="3" t="s">
        <v>82</v>
      </c>
      <c r="K62" s="3" t="s">
        <v>83</v>
      </c>
      <c r="L62" s="3" t="s">
        <v>22</v>
      </c>
    </row>
    <row r="63" spans="1:12" ht="60" customHeight="1" x14ac:dyDescent="0.45">
      <c r="A63" s="4">
        <v>61</v>
      </c>
      <c r="B63" s="4" t="s">
        <v>23</v>
      </c>
      <c r="C63" s="3" t="s">
        <v>69</v>
      </c>
      <c r="D63" s="3" t="s">
        <v>25</v>
      </c>
      <c r="E63" s="3" t="s">
        <v>69</v>
      </c>
      <c r="F63" s="3" t="s">
        <v>154</v>
      </c>
      <c r="G63" s="3" t="s">
        <v>155</v>
      </c>
      <c r="H63" s="3" t="s">
        <v>148</v>
      </c>
      <c r="I63" s="3" t="s">
        <v>149</v>
      </c>
      <c r="J63" s="3" t="s">
        <v>82</v>
      </c>
      <c r="K63" s="3" t="s">
        <v>83</v>
      </c>
      <c r="L63" s="3" t="s">
        <v>22</v>
      </c>
    </row>
    <row r="64" spans="1:12" ht="60" customHeight="1" x14ac:dyDescent="0.45">
      <c r="A64" s="4">
        <v>62</v>
      </c>
      <c r="B64" s="4" t="s">
        <v>23</v>
      </c>
      <c r="C64" s="3" t="s">
        <v>69</v>
      </c>
      <c r="D64" s="3" t="s">
        <v>25</v>
      </c>
      <c r="E64" s="3" t="s">
        <v>69</v>
      </c>
      <c r="F64" s="3" t="s">
        <v>156</v>
      </c>
      <c r="G64" s="3" t="s">
        <v>157</v>
      </c>
      <c r="H64" s="3" t="s">
        <v>158</v>
      </c>
      <c r="I64" s="3" t="s">
        <v>159</v>
      </c>
      <c r="J64" s="3" t="s">
        <v>92</v>
      </c>
      <c r="K64" s="3" t="s">
        <v>93</v>
      </c>
      <c r="L64" s="3" t="s">
        <v>38</v>
      </c>
    </row>
    <row r="65" spans="1:12" ht="60" customHeight="1" x14ac:dyDescent="0.45">
      <c r="A65" s="2">
        <v>63</v>
      </c>
      <c r="B65" s="2" t="s">
        <v>13</v>
      </c>
      <c r="C65" s="3" t="s">
        <v>27</v>
      </c>
      <c r="D65" s="3" t="s">
        <v>15</v>
      </c>
      <c r="E65" s="3" t="s">
        <v>27</v>
      </c>
      <c r="F65" s="3" t="s">
        <v>156</v>
      </c>
      <c r="G65" s="3" t="s">
        <v>160</v>
      </c>
      <c r="H65" s="3" t="s">
        <v>158</v>
      </c>
      <c r="I65" s="3" t="s">
        <v>159</v>
      </c>
      <c r="J65" s="3" t="s">
        <v>92</v>
      </c>
      <c r="K65" s="3" t="s">
        <v>93</v>
      </c>
      <c r="L65" s="3" t="s">
        <v>38</v>
      </c>
    </row>
    <row r="66" spans="1:12" ht="60" customHeight="1" x14ac:dyDescent="0.45">
      <c r="A66" s="4">
        <v>64</v>
      </c>
      <c r="B66" s="4" t="s">
        <v>23</v>
      </c>
      <c r="C66" s="3" t="s">
        <v>69</v>
      </c>
      <c r="D66" s="3" t="s">
        <v>25</v>
      </c>
      <c r="E66" s="3" t="s">
        <v>69</v>
      </c>
      <c r="F66" s="3" t="s">
        <v>161</v>
      </c>
      <c r="G66" s="3" t="s">
        <v>162</v>
      </c>
      <c r="H66" s="3" t="s">
        <v>158</v>
      </c>
      <c r="I66" s="3" t="s">
        <v>159</v>
      </c>
      <c r="J66" s="3" t="s">
        <v>92</v>
      </c>
      <c r="K66" s="3" t="s">
        <v>93</v>
      </c>
      <c r="L66" s="3" t="s">
        <v>38</v>
      </c>
    </row>
    <row r="67" spans="1:12" ht="60" customHeight="1" x14ac:dyDescent="0.45">
      <c r="A67" s="4">
        <v>65</v>
      </c>
      <c r="B67" s="4" t="s">
        <v>23</v>
      </c>
      <c r="C67" s="3" t="s">
        <v>60</v>
      </c>
      <c r="D67" s="3" t="s">
        <v>25</v>
      </c>
      <c r="E67" s="3" t="s">
        <v>60</v>
      </c>
      <c r="F67" s="3" t="s">
        <v>163</v>
      </c>
      <c r="G67" s="3" t="s">
        <v>164</v>
      </c>
      <c r="H67" s="3" t="s">
        <v>158</v>
      </c>
      <c r="I67" s="3" t="s">
        <v>159</v>
      </c>
      <c r="J67" s="3" t="s">
        <v>92</v>
      </c>
      <c r="K67" s="3" t="s">
        <v>93</v>
      </c>
      <c r="L67" s="3" t="s">
        <v>38</v>
      </c>
    </row>
    <row r="68" spans="1:12" ht="60" customHeight="1" x14ac:dyDescent="0.45">
      <c r="A68" s="2">
        <v>66</v>
      </c>
      <c r="B68" s="2" t="s">
        <v>13</v>
      </c>
      <c r="C68" s="3" t="s">
        <v>27</v>
      </c>
      <c r="D68" s="3" t="s">
        <v>15</v>
      </c>
      <c r="E68" s="3" t="s">
        <v>27</v>
      </c>
      <c r="F68" s="3" t="s">
        <v>165</v>
      </c>
      <c r="G68" s="3" t="s">
        <v>166</v>
      </c>
      <c r="H68" s="3" t="s">
        <v>158</v>
      </c>
      <c r="I68" s="3" t="s">
        <v>159</v>
      </c>
      <c r="J68" s="3" t="s">
        <v>92</v>
      </c>
      <c r="K68" s="3" t="s">
        <v>93</v>
      </c>
      <c r="L68" s="3" t="s">
        <v>38</v>
      </c>
    </row>
    <row r="69" spans="1:12" ht="60" customHeight="1" x14ac:dyDescent="0.45">
      <c r="A69" s="4">
        <v>67</v>
      </c>
      <c r="B69" s="4" t="s">
        <v>23</v>
      </c>
      <c r="C69" s="3" t="s">
        <v>60</v>
      </c>
      <c r="D69" s="3" t="s">
        <v>25</v>
      </c>
      <c r="E69" s="3" t="s">
        <v>60</v>
      </c>
      <c r="F69" s="3" t="s">
        <v>165</v>
      </c>
      <c r="G69" s="3" t="s">
        <v>167</v>
      </c>
      <c r="H69" s="3" t="s">
        <v>158</v>
      </c>
      <c r="I69" s="3" t="s">
        <v>159</v>
      </c>
      <c r="J69" s="3" t="s">
        <v>92</v>
      </c>
      <c r="K69" s="3" t="s">
        <v>93</v>
      </c>
      <c r="L69" s="3" t="s">
        <v>38</v>
      </c>
    </row>
    <row r="70" spans="1:12" ht="60" customHeight="1" x14ac:dyDescent="0.45">
      <c r="A70" s="4">
        <v>68</v>
      </c>
      <c r="B70" s="4" t="s">
        <v>23</v>
      </c>
      <c r="C70" s="3" t="s">
        <v>24</v>
      </c>
      <c r="D70" s="3" t="s">
        <v>25</v>
      </c>
      <c r="E70" s="3" t="s">
        <v>24</v>
      </c>
      <c r="F70" s="3" t="s">
        <v>168</v>
      </c>
      <c r="G70" s="3" t="s">
        <v>169</v>
      </c>
      <c r="H70" s="3" t="s">
        <v>158</v>
      </c>
      <c r="I70" s="3" t="s">
        <v>159</v>
      </c>
      <c r="J70" s="3" t="s">
        <v>92</v>
      </c>
      <c r="K70" s="3" t="s">
        <v>93</v>
      </c>
      <c r="L70" s="3" t="s">
        <v>38</v>
      </c>
    </row>
    <row r="71" spans="1:12" ht="60" customHeight="1" x14ac:dyDescent="0.45">
      <c r="A71" s="4">
        <v>69</v>
      </c>
      <c r="B71" s="4" t="s">
        <v>23</v>
      </c>
      <c r="C71" s="3" t="s">
        <v>69</v>
      </c>
      <c r="D71" s="3" t="s">
        <v>25</v>
      </c>
      <c r="E71" s="3" t="s">
        <v>69</v>
      </c>
      <c r="F71" s="3" t="s">
        <v>168</v>
      </c>
      <c r="G71" s="3" t="s">
        <v>170</v>
      </c>
      <c r="H71" s="3" t="s">
        <v>158</v>
      </c>
      <c r="I71" s="3" t="s">
        <v>159</v>
      </c>
      <c r="J71" s="3" t="s">
        <v>92</v>
      </c>
      <c r="K71" s="3" t="s">
        <v>93</v>
      </c>
      <c r="L71" s="3" t="s">
        <v>38</v>
      </c>
    </row>
    <row r="72" spans="1:12" ht="60" customHeight="1" x14ac:dyDescent="0.45">
      <c r="A72" s="5">
        <v>70</v>
      </c>
      <c r="B72" s="5" t="s">
        <v>29</v>
      </c>
      <c r="C72" s="3" t="s">
        <v>30</v>
      </c>
      <c r="D72" s="3" t="s">
        <v>31</v>
      </c>
      <c r="E72" s="3" t="s">
        <v>30</v>
      </c>
      <c r="F72" s="3" t="s">
        <v>171</v>
      </c>
      <c r="G72" s="3" t="s">
        <v>172</v>
      </c>
      <c r="H72" s="3" t="s">
        <v>158</v>
      </c>
      <c r="I72" s="3" t="s">
        <v>159</v>
      </c>
      <c r="J72" s="3" t="s">
        <v>92</v>
      </c>
      <c r="K72" s="3" t="s">
        <v>93</v>
      </c>
      <c r="L72" s="3" t="s">
        <v>38</v>
      </c>
    </row>
    <row r="73" spans="1:12" ht="60" customHeight="1" x14ac:dyDescent="0.45">
      <c r="A73" s="4">
        <v>71</v>
      </c>
      <c r="B73" s="4" t="s">
        <v>23</v>
      </c>
      <c r="C73" s="3" t="s">
        <v>69</v>
      </c>
      <c r="D73" s="3" t="s">
        <v>25</v>
      </c>
      <c r="E73" s="3" t="s">
        <v>69</v>
      </c>
      <c r="F73" s="3" t="s">
        <v>173</v>
      </c>
      <c r="G73" s="3" t="s">
        <v>174</v>
      </c>
      <c r="H73" s="3" t="s">
        <v>158</v>
      </c>
      <c r="I73" s="3" t="s">
        <v>159</v>
      </c>
      <c r="J73" s="3" t="s">
        <v>92</v>
      </c>
      <c r="K73" s="3" t="s">
        <v>93</v>
      </c>
      <c r="L73" s="3" t="s">
        <v>38</v>
      </c>
    </row>
    <row r="74" spans="1:12" ht="60" customHeight="1" x14ac:dyDescent="0.45">
      <c r="A74" s="4">
        <v>72</v>
      </c>
      <c r="B74" s="4" t="s">
        <v>23</v>
      </c>
      <c r="C74" s="3" t="s">
        <v>52</v>
      </c>
      <c r="D74" s="3" t="s">
        <v>25</v>
      </c>
      <c r="E74" s="3" t="s">
        <v>52</v>
      </c>
      <c r="F74" s="3" t="s">
        <v>173</v>
      </c>
      <c r="G74" s="3" t="s">
        <v>175</v>
      </c>
      <c r="H74" s="3" t="s">
        <v>158</v>
      </c>
      <c r="I74" s="3" t="s">
        <v>159</v>
      </c>
      <c r="J74" s="3" t="s">
        <v>92</v>
      </c>
      <c r="K74" s="3" t="s">
        <v>93</v>
      </c>
      <c r="L74" s="3" t="s">
        <v>38</v>
      </c>
    </row>
    <row r="75" spans="1:12" ht="60" customHeight="1" x14ac:dyDescent="0.45">
      <c r="A75" s="4">
        <v>73</v>
      </c>
      <c r="B75" s="4" t="s">
        <v>23</v>
      </c>
      <c r="C75" s="3" t="s">
        <v>60</v>
      </c>
      <c r="D75" s="3" t="s">
        <v>25</v>
      </c>
      <c r="E75" s="3" t="s">
        <v>60</v>
      </c>
      <c r="F75" s="3" t="s">
        <v>173</v>
      </c>
      <c r="G75" s="3" t="s">
        <v>176</v>
      </c>
      <c r="H75" s="3" t="s">
        <v>158</v>
      </c>
      <c r="I75" s="3" t="s">
        <v>159</v>
      </c>
      <c r="J75" s="3" t="s">
        <v>92</v>
      </c>
      <c r="K75" s="3" t="s">
        <v>93</v>
      </c>
      <c r="L75" s="3" t="s">
        <v>38</v>
      </c>
    </row>
    <row r="76" spans="1:12" ht="60" customHeight="1" x14ac:dyDescent="0.45">
      <c r="A76" s="4">
        <v>74</v>
      </c>
      <c r="B76" s="4" t="s">
        <v>23</v>
      </c>
      <c r="C76" s="3" t="s">
        <v>41</v>
      </c>
      <c r="D76" s="3" t="s">
        <v>25</v>
      </c>
      <c r="E76" s="3" t="s">
        <v>41</v>
      </c>
      <c r="F76" s="3" t="s">
        <v>177</v>
      </c>
      <c r="G76" s="3" t="s">
        <v>178</v>
      </c>
      <c r="H76" s="3" t="s">
        <v>179</v>
      </c>
      <c r="I76" s="3" t="s">
        <v>180</v>
      </c>
      <c r="J76" s="3" t="s">
        <v>36</v>
      </c>
      <c r="K76" s="3" t="s">
        <v>37</v>
      </c>
      <c r="L76" s="3" t="s">
        <v>38</v>
      </c>
    </row>
    <row r="77" spans="1:12" ht="60" customHeight="1" x14ac:dyDescent="0.45">
      <c r="A77" s="4">
        <v>75</v>
      </c>
      <c r="B77" s="4" t="s">
        <v>23</v>
      </c>
      <c r="C77" s="3" t="s">
        <v>52</v>
      </c>
      <c r="D77" s="3" t="s">
        <v>25</v>
      </c>
      <c r="E77" s="3" t="s">
        <v>52</v>
      </c>
      <c r="F77" s="3" t="s">
        <v>181</v>
      </c>
      <c r="G77" s="3" t="s">
        <v>182</v>
      </c>
      <c r="H77" s="3" t="s">
        <v>179</v>
      </c>
      <c r="I77" s="3" t="s">
        <v>180</v>
      </c>
      <c r="J77" s="3" t="s">
        <v>36</v>
      </c>
      <c r="K77" s="3" t="s">
        <v>37</v>
      </c>
      <c r="L77" s="3" t="s">
        <v>38</v>
      </c>
    </row>
    <row r="78" spans="1:12" ht="60" customHeight="1" x14ac:dyDescent="0.45">
      <c r="A78" s="5">
        <v>76</v>
      </c>
      <c r="B78" s="5" t="s">
        <v>29</v>
      </c>
      <c r="C78" s="3" t="s">
        <v>30</v>
      </c>
      <c r="D78" s="3" t="s">
        <v>31</v>
      </c>
      <c r="E78" s="3" t="s">
        <v>30</v>
      </c>
      <c r="F78" s="3" t="s">
        <v>183</v>
      </c>
      <c r="G78" s="3" t="s">
        <v>184</v>
      </c>
      <c r="H78" s="3" t="s">
        <v>179</v>
      </c>
      <c r="I78" s="3" t="s">
        <v>180</v>
      </c>
      <c r="J78" s="3" t="s">
        <v>36</v>
      </c>
      <c r="K78" s="3" t="s">
        <v>37</v>
      </c>
      <c r="L78" s="3" t="s">
        <v>38</v>
      </c>
    </row>
    <row r="79" spans="1:12" ht="60" customHeight="1" x14ac:dyDescent="0.45">
      <c r="A79" s="4">
        <v>77</v>
      </c>
      <c r="B79" s="4" t="s">
        <v>23</v>
      </c>
      <c r="C79" s="3" t="s">
        <v>52</v>
      </c>
      <c r="D79" s="3" t="s">
        <v>25</v>
      </c>
      <c r="E79" s="3" t="s">
        <v>52</v>
      </c>
      <c r="F79" s="3" t="s">
        <v>185</v>
      </c>
      <c r="G79" s="3" t="s">
        <v>186</v>
      </c>
      <c r="H79" s="3" t="s">
        <v>179</v>
      </c>
      <c r="I79" s="3" t="s">
        <v>180</v>
      </c>
      <c r="J79" s="3" t="s">
        <v>36</v>
      </c>
      <c r="K79" s="3" t="s">
        <v>37</v>
      </c>
      <c r="L79" s="3" t="s">
        <v>38</v>
      </c>
    </row>
    <row r="80" spans="1:12" ht="60" customHeight="1" x14ac:dyDescent="0.45">
      <c r="A80" s="4">
        <v>78</v>
      </c>
      <c r="B80" s="4" t="s">
        <v>23</v>
      </c>
      <c r="C80" s="3" t="s">
        <v>52</v>
      </c>
      <c r="D80" s="3" t="s">
        <v>25</v>
      </c>
      <c r="E80" s="3" t="s">
        <v>52</v>
      </c>
      <c r="F80" s="3" t="s">
        <v>185</v>
      </c>
      <c r="G80" s="3" t="s">
        <v>187</v>
      </c>
      <c r="H80" s="3" t="s">
        <v>179</v>
      </c>
      <c r="I80" s="3" t="s">
        <v>180</v>
      </c>
      <c r="J80" s="3" t="s">
        <v>36</v>
      </c>
      <c r="K80" s="3" t="s">
        <v>37</v>
      </c>
      <c r="L80" s="3" t="s">
        <v>38</v>
      </c>
    </row>
    <row r="81" spans="1:12" ht="60" customHeight="1" x14ac:dyDescent="0.45">
      <c r="A81" s="4">
        <v>79</v>
      </c>
      <c r="B81" s="4" t="s">
        <v>23</v>
      </c>
      <c r="C81" s="3" t="s">
        <v>52</v>
      </c>
      <c r="D81" s="3" t="s">
        <v>25</v>
      </c>
      <c r="E81" s="3" t="s">
        <v>52</v>
      </c>
      <c r="F81" s="3" t="s">
        <v>188</v>
      </c>
      <c r="G81" s="3" t="s">
        <v>189</v>
      </c>
      <c r="H81" s="3" t="s">
        <v>179</v>
      </c>
      <c r="I81" s="3" t="s">
        <v>180</v>
      </c>
      <c r="J81" s="3" t="s">
        <v>36</v>
      </c>
      <c r="K81" s="3" t="s">
        <v>37</v>
      </c>
      <c r="L81" s="3" t="s">
        <v>38</v>
      </c>
    </row>
    <row r="82" spans="1:12" ht="60" customHeight="1" x14ac:dyDescent="0.45">
      <c r="A82" s="5">
        <v>80</v>
      </c>
      <c r="B82" s="5" t="s">
        <v>29</v>
      </c>
      <c r="C82" s="3" t="s">
        <v>30</v>
      </c>
      <c r="D82" s="3" t="s">
        <v>31</v>
      </c>
      <c r="E82" s="3" t="s">
        <v>30</v>
      </c>
      <c r="F82" s="3" t="s">
        <v>190</v>
      </c>
      <c r="G82" s="3" t="s">
        <v>191</v>
      </c>
      <c r="H82" s="3" t="s">
        <v>179</v>
      </c>
      <c r="I82" s="3" t="s">
        <v>180</v>
      </c>
      <c r="J82" s="3" t="s">
        <v>36</v>
      </c>
      <c r="K82" s="3" t="s">
        <v>37</v>
      </c>
      <c r="L82" s="3" t="s">
        <v>38</v>
      </c>
    </row>
    <row r="83" spans="1:12" ht="60" customHeight="1" x14ac:dyDescent="0.45">
      <c r="A83" s="4">
        <v>81</v>
      </c>
      <c r="B83" s="4" t="s">
        <v>23</v>
      </c>
      <c r="C83" s="3" t="s">
        <v>52</v>
      </c>
      <c r="D83" s="3" t="s">
        <v>25</v>
      </c>
      <c r="E83" s="3" t="s">
        <v>52</v>
      </c>
      <c r="F83" s="3" t="s">
        <v>192</v>
      </c>
      <c r="G83" s="3" t="s">
        <v>193</v>
      </c>
      <c r="H83" s="3" t="s">
        <v>194</v>
      </c>
      <c r="I83" s="3" t="s">
        <v>195</v>
      </c>
      <c r="J83" s="3" t="s">
        <v>82</v>
      </c>
      <c r="K83" s="3" t="s">
        <v>83</v>
      </c>
      <c r="L83" s="3" t="s">
        <v>22</v>
      </c>
    </row>
    <row r="84" spans="1:12" ht="60" customHeight="1" x14ac:dyDescent="0.45">
      <c r="A84" s="5">
        <v>82</v>
      </c>
      <c r="B84" s="5" t="s">
        <v>29</v>
      </c>
      <c r="C84" s="3" t="s">
        <v>30</v>
      </c>
      <c r="D84" s="3" t="s">
        <v>31</v>
      </c>
      <c r="E84" s="3" t="s">
        <v>30</v>
      </c>
      <c r="F84" s="3" t="s">
        <v>196</v>
      </c>
      <c r="G84" s="3" t="s">
        <v>197</v>
      </c>
      <c r="H84" s="3" t="s">
        <v>194</v>
      </c>
      <c r="I84" s="3" t="s">
        <v>195</v>
      </c>
      <c r="J84" s="3" t="s">
        <v>82</v>
      </c>
      <c r="K84" s="3" t="s">
        <v>83</v>
      </c>
      <c r="L84" s="3" t="s">
        <v>22</v>
      </c>
    </row>
    <row r="85" spans="1:12" ht="60" customHeight="1" x14ac:dyDescent="0.45">
      <c r="A85" s="4">
        <v>83</v>
      </c>
      <c r="B85" s="4" t="s">
        <v>23</v>
      </c>
      <c r="C85" s="3" t="s">
        <v>24</v>
      </c>
      <c r="D85" s="3" t="s">
        <v>25</v>
      </c>
      <c r="E85" s="3" t="s">
        <v>24</v>
      </c>
      <c r="F85" s="3" t="s">
        <v>198</v>
      </c>
      <c r="G85" s="3" t="s">
        <v>199</v>
      </c>
      <c r="H85" s="3" t="s">
        <v>194</v>
      </c>
      <c r="I85" s="3" t="s">
        <v>195</v>
      </c>
      <c r="J85" s="3" t="s">
        <v>82</v>
      </c>
      <c r="K85" s="3" t="s">
        <v>83</v>
      </c>
      <c r="L85" s="3" t="s">
        <v>22</v>
      </c>
    </row>
    <row r="86" spans="1:12" ht="60" customHeight="1" x14ac:dyDescent="0.45">
      <c r="A86" s="4">
        <v>84</v>
      </c>
      <c r="B86" s="4" t="s">
        <v>23</v>
      </c>
      <c r="C86" s="3" t="s">
        <v>52</v>
      </c>
      <c r="D86" s="3" t="s">
        <v>25</v>
      </c>
      <c r="E86" s="3" t="s">
        <v>52</v>
      </c>
      <c r="F86" s="3" t="s">
        <v>198</v>
      </c>
      <c r="G86" s="3" t="s">
        <v>200</v>
      </c>
      <c r="H86" s="3" t="s">
        <v>194</v>
      </c>
      <c r="I86" s="3" t="s">
        <v>195</v>
      </c>
      <c r="J86" s="3" t="s">
        <v>82</v>
      </c>
      <c r="K86" s="3" t="s">
        <v>83</v>
      </c>
      <c r="L86" s="3" t="s">
        <v>22</v>
      </c>
    </row>
    <row r="87" spans="1:12" ht="60" customHeight="1" x14ac:dyDescent="0.45">
      <c r="A87" s="4">
        <v>85</v>
      </c>
      <c r="B87" s="4" t="s">
        <v>23</v>
      </c>
      <c r="C87" s="3" t="s">
        <v>60</v>
      </c>
      <c r="D87" s="3" t="s">
        <v>25</v>
      </c>
      <c r="E87" s="3" t="s">
        <v>60</v>
      </c>
      <c r="F87" s="3" t="s">
        <v>201</v>
      </c>
      <c r="G87" s="3" t="s">
        <v>202</v>
      </c>
      <c r="H87" s="3" t="s">
        <v>194</v>
      </c>
      <c r="I87" s="3" t="s">
        <v>195</v>
      </c>
      <c r="J87" s="3" t="s">
        <v>82</v>
      </c>
      <c r="K87" s="3" t="s">
        <v>83</v>
      </c>
      <c r="L87" s="3" t="s">
        <v>22</v>
      </c>
    </row>
    <row r="88" spans="1:12" ht="60" customHeight="1" x14ac:dyDescent="0.45">
      <c r="A88" s="4">
        <v>86</v>
      </c>
      <c r="B88" s="4" t="s">
        <v>23</v>
      </c>
      <c r="C88" s="3" t="s">
        <v>69</v>
      </c>
      <c r="D88" s="3" t="s">
        <v>25</v>
      </c>
      <c r="E88" s="3" t="s">
        <v>69</v>
      </c>
      <c r="F88" s="3" t="s">
        <v>203</v>
      </c>
      <c r="G88" s="3" t="s">
        <v>204</v>
      </c>
      <c r="H88" s="3" t="s">
        <v>194</v>
      </c>
      <c r="I88" s="3" t="s">
        <v>195</v>
      </c>
      <c r="J88" s="3" t="s">
        <v>82</v>
      </c>
      <c r="K88" s="3" t="s">
        <v>83</v>
      </c>
      <c r="L88" s="3" t="s">
        <v>22</v>
      </c>
    </row>
    <row r="89" spans="1:12" ht="60" customHeight="1" x14ac:dyDescent="0.45">
      <c r="A89" s="4">
        <v>87</v>
      </c>
      <c r="B89" s="4" t="s">
        <v>23</v>
      </c>
      <c r="C89" s="3" t="s">
        <v>39</v>
      </c>
      <c r="D89" s="3" t="s">
        <v>25</v>
      </c>
      <c r="E89" s="3" t="s">
        <v>39</v>
      </c>
      <c r="F89" s="3" t="s">
        <v>205</v>
      </c>
      <c r="G89" s="3" t="s">
        <v>206</v>
      </c>
      <c r="H89" s="3" t="s">
        <v>194</v>
      </c>
      <c r="I89" s="3" t="s">
        <v>195</v>
      </c>
      <c r="J89" s="3" t="s">
        <v>82</v>
      </c>
      <c r="K89" s="3" t="s">
        <v>83</v>
      </c>
      <c r="L89" s="3" t="s">
        <v>22</v>
      </c>
    </row>
    <row r="90" spans="1:12" ht="60" customHeight="1" x14ac:dyDescent="0.45">
      <c r="A90" s="5">
        <v>88</v>
      </c>
      <c r="B90" s="5" t="s">
        <v>29</v>
      </c>
      <c r="C90" s="3" t="s">
        <v>120</v>
      </c>
      <c r="D90" s="3" t="s">
        <v>31</v>
      </c>
      <c r="E90" s="3" t="s">
        <v>120</v>
      </c>
      <c r="F90" s="3" t="s">
        <v>207</v>
      </c>
      <c r="G90" s="3" t="s">
        <v>208</v>
      </c>
      <c r="H90" s="3" t="s">
        <v>194</v>
      </c>
      <c r="I90" s="3" t="s">
        <v>195</v>
      </c>
      <c r="J90" s="3" t="s">
        <v>82</v>
      </c>
      <c r="K90" s="3" t="s">
        <v>83</v>
      </c>
      <c r="L90" s="3" t="s">
        <v>22</v>
      </c>
    </row>
  </sheetData>
  <mergeCells count="1">
    <mergeCell ref="A1:L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7"/>
  <sheetViews>
    <sheetView workbookViewId="0">
      <selection activeCell="D4" sqref="D4"/>
    </sheetView>
  </sheetViews>
  <sheetFormatPr defaultRowHeight="14.25" x14ac:dyDescent="0.45"/>
  <cols>
    <col min="1" max="1" width="8" customWidth="1"/>
    <col min="2" max="10" width="22" customWidth="1"/>
    <col min="12" max="12" width="10" customWidth="1"/>
  </cols>
  <sheetData>
    <row r="1" spans="1:15" x14ac:dyDescent="0.45">
      <c r="A1" s="10" t="s">
        <v>209</v>
      </c>
      <c r="B1" s="9"/>
      <c r="C1" s="9"/>
      <c r="D1" s="9"/>
      <c r="E1" s="9"/>
      <c r="F1" s="9"/>
      <c r="G1" s="9"/>
      <c r="H1" s="9"/>
      <c r="I1" s="9"/>
      <c r="J1" s="9"/>
      <c r="K1" s="9"/>
      <c r="L1" s="9"/>
    </row>
    <row r="2" spans="1:15" x14ac:dyDescent="0.45">
      <c r="A2" s="1" t="s">
        <v>2</v>
      </c>
      <c r="B2" s="1" t="s">
        <v>4</v>
      </c>
      <c r="C2" s="1" t="s">
        <v>18</v>
      </c>
      <c r="D2" s="1" t="s">
        <v>34</v>
      </c>
      <c r="E2" s="1" t="s">
        <v>80</v>
      </c>
      <c r="F2" s="1" t="s">
        <v>90</v>
      </c>
      <c r="G2" s="1" t="s">
        <v>115</v>
      </c>
      <c r="H2" s="1" t="s">
        <v>148</v>
      </c>
      <c r="I2" s="1" t="s">
        <v>158</v>
      </c>
      <c r="J2" s="1" t="s">
        <v>179</v>
      </c>
      <c r="K2" s="1" t="s">
        <v>194</v>
      </c>
      <c r="L2" s="1" t="s">
        <v>210</v>
      </c>
      <c r="M2" s="1"/>
      <c r="N2" s="1" t="s">
        <v>2</v>
      </c>
      <c r="O2" s="1" t="s">
        <v>211</v>
      </c>
    </row>
    <row r="3" spans="1:15" x14ac:dyDescent="0.45">
      <c r="A3" s="6" t="s">
        <v>23</v>
      </c>
      <c r="B3">
        <f>COUNTIFS('Coded Passages'!$B:$B,$A3,'Coded Passages'!$H:$H,B$2)</f>
        <v>0</v>
      </c>
      <c r="C3">
        <f>COUNTIFS('Coded Passages'!$B:$B,$A3,'Coded Passages'!$H:$H,C$2)</f>
        <v>1</v>
      </c>
      <c r="D3">
        <f>COUNTIFS('Coded Passages'!$B:$B,$A3,'Coded Passages'!$H:$H,D$2)</f>
        <v>13</v>
      </c>
      <c r="E3">
        <f>COUNTIFS('Coded Passages'!$B:$B,$A3,'Coded Passages'!$H:$H,E$2)</f>
        <v>2</v>
      </c>
      <c r="F3">
        <f>COUNTIFS('Coded Passages'!$B:$B,$A3,'Coded Passages'!$H:$H,F$2)</f>
        <v>8</v>
      </c>
      <c r="G3">
        <f>COUNTIFS('Coded Passages'!$B:$B,$A3,'Coded Passages'!$H:$H,G$2)</f>
        <v>7</v>
      </c>
      <c r="H3">
        <f>COUNTIFS('Coded Passages'!$B:$B,$A3,'Coded Passages'!$H:$H,H$2)</f>
        <v>4</v>
      </c>
      <c r="I3">
        <f>COUNTIFS('Coded Passages'!$B:$B,$A3,'Coded Passages'!$H:$H,I$2)</f>
        <v>9</v>
      </c>
      <c r="J3">
        <f>COUNTIFS('Coded Passages'!$B:$B,$A3,'Coded Passages'!$H:$H,J$2)</f>
        <v>5</v>
      </c>
      <c r="L3">
        <f>SUM(C3:K3)</f>
        <v>49</v>
      </c>
      <c r="N3" t="s">
        <v>23</v>
      </c>
      <c r="O3">
        <f>L3</f>
        <v>49</v>
      </c>
    </row>
    <row r="4" spans="1:15" x14ac:dyDescent="0.45">
      <c r="A4" s="6" t="s">
        <v>13</v>
      </c>
      <c r="B4">
        <f>COUNTIFS('Coded Passages'!$B:$B,$A4,'Coded Passages'!$H:$H,B$2)</f>
        <v>0</v>
      </c>
      <c r="C4">
        <f>COUNTIFS('Coded Passages'!$B:$B,$A4,'Coded Passages'!$H:$H,C$2)</f>
        <v>2</v>
      </c>
      <c r="D4">
        <f>COUNTIFS('Coded Passages'!$B:$B,$A4,'Coded Passages'!$H:$H,D$2)</f>
        <v>4</v>
      </c>
      <c r="E4">
        <f>COUNTIFS('Coded Passages'!$B:$B,$A4,'Coded Passages'!$H:$H,E$2)</f>
        <v>1</v>
      </c>
      <c r="F4">
        <f>COUNTIFS('Coded Passages'!$B:$B,$A4,'Coded Passages'!$H:$H,F$2)</f>
        <v>1</v>
      </c>
      <c r="G4">
        <f>COUNTIFS('Coded Passages'!$B:$B,$A4,'Coded Passages'!$H:$H,G$2)</f>
        <v>6</v>
      </c>
      <c r="H4">
        <f>COUNTIFS('Coded Passages'!$B:$B,$A4,'Coded Passages'!$H:$H,H$2)</f>
        <v>0</v>
      </c>
      <c r="I4">
        <f>COUNTIFS('Coded Passages'!$B:$B,$A4,'Coded Passages'!$H:$H,I$2)</f>
        <v>2</v>
      </c>
      <c r="J4">
        <f>COUNTIFS('Coded Passages'!$B:$B,$A4,'Coded Passages'!$H:$H,J$2)</f>
        <v>0</v>
      </c>
      <c r="L4">
        <f>SUM(C4:K4)</f>
        <v>16</v>
      </c>
      <c r="N4" t="s">
        <v>13</v>
      </c>
      <c r="O4">
        <f>L4</f>
        <v>16</v>
      </c>
    </row>
    <row r="5" spans="1:15" x14ac:dyDescent="0.45">
      <c r="A5" s="6" t="s">
        <v>29</v>
      </c>
      <c r="B5">
        <f>COUNTIFS('Coded Passages'!$B:$B,$A5,'Coded Passages'!$H:$H,B$2)</f>
        <v>0</v>
      </c>
      <c r="C5">
        <f>COUNTIFS('Coded Passages'!$B:$B,$A5,'Coded Passages'!$H:$H,C$2)</f>
        <v>0</v>
      </c>
      <c r="D5">
        <f>COUNTIFS('Coded Passages'!$B:$B,$A5,'Coded Passages'!$H:$H,D$2)</f>
        <v>2</v>
      </c>
      <c r="E5">
        <f>COUNTIFS('Coded Passages'!$B:$B,$A5,'Coded Passages'!$H:$H,E$2)</f>
        <v>0</v>
      </c>
      <c r="F5">
        <f>COUNTIFS('Coded Passages'!$B:$B,$A5,'Coded Passages'!$H:$H,F$2)</f>
        <v>4</v>
      </c>
      <c r="G5">
        <f>COUNTIFS('Coded Passages'!$B:$B,$A5,'Coded Passages'!$H:$H,G$2)</f>
        <v>6</v>
      </c>
      <c r="H5">
        <f>COUNTIFS('Coded Passages'!$B:$B,$A5,'Coded Passages'!$H:$H,H$2)</f>
        <v>0</v>
      </c>
      <c r="I5">
        <f>COUNTIFS('Coded Passages'!$B:$B,$A5,'Coded Passages'!$H:$H,I$2)</f>
        <v>1</v>
      </c>
      <c r="J5">
        <f>COUNTIFS('Coded Passages'!$B:$B,$A5,'Coded Passages'!$H:$H,J$2)</f>
        <v>2</v>
      </c>
      <c r="L5">
        <f>SUM(C5:K5)</f>
        <v>15</v>
      </c>
      <c r="N5" t="s">
        <v>29</v>
      </c>
      <c r="O5">
        <f>L5</f>
        <v>15</v>
      </c>
    </row>
    <row r="6" spans="1:15" x14ac:dyDescent="0.45">
      <c r="A6" s="6" t="s">
        <v>212</v>
      </c>
      <c r="B6">
        <f>COUNTIFS('Coded Passages'!$B:$B,$A6,'Coded Passages'!$H:$H,B$2)</f>
        <v>0</v>
      </c>
      <c r="C6">
        <f>COUNTIFS('Coded Passages'!$B:$B,$A6,'Coded Passages'!$H:$H,C$2)</f>
        <v>0</v>
      </c>
      <c r="D6">
        <f>COUNTIFS('Coded Passages'!$B:$B,$A6,'Coded Passages'!$H:$H,D$2)</f>
        <v>0</v>
      </c>
      <c r="E6">
        <f>COUNTIFS('Coded Passages'!$B:$B,$A6,'Coded Passages'!$H:$H,E$2)</f>
        <v>0</v>
      </c>
      <c r="F6">
        <f>COUNTIFS('Coded Passages'!$B:$B,$A6,'Coded Passages'!$H:$H,F$2)</f>
        <v>0</v>
      </c>
      <c r="G6">
        <f>COUNTIFS('Coded Passages'!$B:$B,$A6,'Coded Passages'!$H:$H,G$2)</f>
        <v>0</v>
      </c>
      <c r="H6">
        <f>COUNTIFS('Coded Passages'!$B:$B,$A6,'Coded Passages'!$H:$H,H$2)</f>
        <v>0</v>
      </c>
      <c r="I6">
        <f>COUNTIFS('Coded Passages'!$B:$B,$A6,'Coded Passages'!$H:$H,I$2)</f>
        <v>0</v>
      </c>
      <c r="J6">
        <f>COUNTIFS('Coded Passages'!$B:$B,$A6,'Coded Passages'!$H:$H,J$2)</f>
        <v>0</v>
      </c>
      <c r="L6">
        <f>SUM(C6:K6)</f>
        <v>0</v>
      </c>
      <c r="N6" t="s">
        <v>212</v>
      </c>
      <c r="O6">
        <f>L6</f>
        <v>0</v>
      </c>
    </row>
    <row r="7" spans="1:15" x14ac:dyDescent="0.45">
      <c r="A7" s="6" t="s">
        <v>210</v>
      </c>
      <c r="B7" s="6" t="s">
        <v>213</v>
      </c>
      <c r="C7" s="6">
        <f t="shared" ref="C7:L7" si="0">SUM(C3:C6)</f>
        <v>3</v>
      </c>
      <c r="D7" s="6">
        <f t="shared" si="0"/>
        <v>19</v>
      </c>
      <c r="E7" s="6">
        <f t="shared" si="0"/>
        <v>3</v>
      </c>
      <c r="F7" s="6">
        <f t="shared" si="0"/>
        <v>13</v>
      </c>
      <c r="G7" s="6">
        <f t="shared" si="0"/>
        <v>19</v>
      </c>
      <c r="H7" s="6">
        <f t="shared" si="0"/>
        <v>4</v>
      </c>
      <c r="I7" s="6">
        <f t="shared" si="0"/>
        <v>12</v>
      </c>
      <c r="J7" s="6">
        <f t="shared" si="0"/>
        <v>7</v>
      </c>
      <c r="K7" s="6">
        <f t="shared" si="0"/>
        <v>0</v>
      </c>
      <c r="L7" s="6">
        <f t="shared" si="0"/>
        <v>80</v>
      </c>
    </row>
  </sheetData>
  <mergeCells count="1">
    <mergeCell ref="A1:L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7"/>
  <sheetViews>
    <sheetView workbookViewId="0">
      <selection sqref="A1:L1"/>
    </sheetView>
  </sheetViews>
  <sheetFormatPr defaultRowHeight="14.25" x14ac:dyDescent="0.45"/>
  <cols>
    <col min="1" max="1" width="7" customWidth="1"/>
    <col min="2" max="10" width="20" customWidth="1"/>
  </cols>
  <sheetData>
    <row r="1" spans="1:15" x14ac:dyDescent="0.45">
      <c r="A1" s="10" t="s">
        <v>214</v>
      </c>
      <c r="B1" s="9"/>
      <c r="C1" s="9"/>
      <c r="D1" s="9"/>
      <c r="E1" s="9"/>
      <c r="F1" s="9"/>
      <c r="G1" s="9"/>
      <c r="H1" s="9"/>
      <c r="I1" s="9"/>
      <c r="J1" s="9"/>
      <c r="K1" s="9"/>
      <c r="L1" s="9"/>
    </row>
    <row r="2" spans="1:15" x14ac:dyDescent="0.45">
      <c r="A2" s="1" t="s">
        <v>215</v>
      </c>
      <c r="B2" s="1" t="s">
        <v>216</v>
      </c>
      <c r="C2" s="1" t="s">
        <v>18</v>
      </c>
      <c r="D2" s="1" t="s">
        <v>34</v>
      </c>
      <c r="E2" s="1" t="s">
        <v>80</v>
      </c>
      <c r="F2" s="1" t="s">
        <v>90</v>
      </c>
      <c r="G2" s="1" t="s">
        <v>115</v>
      </c>
      <c r="H2" s="1" t="s">
        <v>148</v>
      </c>
      <c r="I2" s="1" t="s">
        <v>158</v>
      </c>
      <c r="J2" s="1" t="s">
        <v>179</v>
      </c>
      <c r="K2" s="1" t="s">
        <v>194</v>
      </c>
      <c r="L2" s="1" t="s">
        <v>210</v>
      </c>
      <c r="M2" s="1"/>
      <c r="N2" s="1" t="s">
        <v>216</v>
      </c>
      <c r="O2" s="1" t="s">
        <v>211</v>
      </c>
    </row>
    <row r="3" spans="1:15" x14ac:dyDescent="0.45">
      <c r="A3" t="s">
        <v>23</v>
      </c>
      <c r="B3" t="str">
        <f ca="1">COUNTIFS('Coded Passages'!$B:$B,$A3,'Coded Passages'!$C:$C,$B3,'Coded Passages'!$H:$H,B$2)</f>
        <v/>
      </c>
      <c r="C3" t="str">
        <f ca="1">COUNTIFS('Coded Passages'!$B:$B,$A3,'Coded Passages'!$C:$C,$B3,'Coded Passages'!$H:$H,C$2)</f>
        <v/>
      </c>
      <c r="D3" t="str">
        <f ca="1">COUNTIFS('Coded Passages'!$B:$B,$A3,'Coded Passages'!$C:$C,$B3,'Coded Passages'!$H:$H,D$2)</f>
        <v/>
      </c>
      <c r="E3" t="str">
        <f ca="1">COUNTIFS('Coded Passages'!$B:$B,$A3,'Coded Passages'!$C:$C,$B3,'Coded Passages'!$H:$H,E$2)</f>
        <v/>
      </c>
      <c r="F3" t="str">
        <f ca="1">COUNTIFS('Coded Passages'!$B:$B,$A3,'Coded Passages'!$C:$C,$B3,'Coded Passages'!$H:$H,F$2)</f>
        <v/>
      </c>
      <c r="G3" t="str">
        <f ca="1">COUNTIFS('Coded Passages'!$B:$B,$A3,'Coded Passages'!$C:$C,$B3,'Coded Passages'!$H:$H,G$2)</f>
        <v/>
      </c>
      <c r="H3" t="str">
        <f ca="1">COUNTIFS('Coded Passages'!$B:$B,$A3,'Coded Passages'!$C:$C,$B3,'Coded Passages'!$H:$H,H$2)</f>
        <v/>
      </c>
      <c r="I3" t="str">
        <f ca="1">COUNTIFS('Coded Passages'!$B:$B,$A3,'Coded Passages'!$C:$C,$B3,'Coded Passages'!$H:$H,I$2)</f>
        <v/>
      </c>
      <c r="J3" t="str">
        <f ca="1">COUNTIFS('Coded Passages'!$B:$B,$A3,'Coded Passages'!$C:$C,$B3,'Coded Passages'!$H:$H,J$2)</f>
        <v/>
      </c>
      <c r="L3" t="str">
        <f t="shared" ref="L3:L16" ca="1" si="0">SUM(C3:K3)</f>
        <v/>
      </c>
      <c r="N3" t="s">
        <v>217</v>
      </c>
      <c r="O3" t="str">
        <f t="shared" ref="O3:O16" ca="1" si="1">L3</f>
        <v/>
      </c>
    </row>
    <row r="4" spans="1:15" x14ac:dyDescent="0.45">
      <c r="A4" t="s">
        <v>23</v>
      </c>
      <c r="B4" t="str">
        <f ca="1">COUNTIFS('Coded Passages'!$B:$B,$A4,'Coded Passages'!$C:$C,$B4,'Coded Passages'!$H:$H,B$2)</f>
        <v/>
      </c>
      <c r="C4" t="str">
        <f ca="1">COUNTIFS('Coded Passages'!$B:$B,$A4,'Coded Passages'!$C:$C,$B4,'Coded Passages'!$H:$H,C$2)</f>
        <v/>
      </c>
      <c r="D4" t="str">
        <f ca="1">COUNTIFS('Coded Passages'!$B:$B,$A4,'Coded Passages'!$C:$C,$B4,'Coded Passages'!$H:$H,D$2)</f>
        <v/>
      </c>
      <c r="E4" t="str">
        <f ca="1">COUNTIFS('Coded Passages'!$B:$B,$A4,'Coded Passages'!$C:$C,$B4,'Coded Passages'!$H:$H,E$2)</f>
        <v/>
      </c>
      <c r="F4" t="str">
        <f ca="1">COUNTIFS('Coded Passages'!$B:$B,$A4,'Coded Passages'!$C:$C,$B4,'Coded Passages'!$H:$H,F$2)</f>
        <v/>
      </c>
      <c r="G4" t="str">
        <f ca="1">COUNTIFS('Coded Passages'!$B:$B,$A4,'Coded Passages'!$C:$C,$B4,'Coded Passages'!$H:$H,G$2)</f>
        <v/>
      </c>
      <c r="H4" t="str">
        <f ca="1">COUNTIFS('Coded Passages'!$B:$B,$A4,'Coded Passages'!$C:$C,$B4,'Coded Passages'!$H:$H,H$2)</f>
        <v/>
      </c>
      <c r="I4" t="str">
        <f ca="1">COUNTIFS('Coded Passages'!$B:$B,$A4,'Coded Passages'!$C:$C,$B4,'Coded Passages'!$H:$H,I$2)</f>
        <v/>
      </c>
      <c r="J4" t="str">
        <f ca="1">COUNTIFS('Coded Passages'!$B:$B,$A4,'Coded Passages'!$C:$C,$B4,'Coded Passages'!$H:$H,J$2)</f>
        <v/>
      </c>
      <c r="L4" t="str">
        <f t="shared" ca="1" si="0"/>
        <v/>
      </c>
      <c r="N4" t="s">
        <v>218</v>
      </c>
      <c r="O4" t="str">
        <f t="shared" ca="1" si="1"/>
        <v/>
      </c>
    </row>
    <row r="5" spans="1:15" x14ac:dyDescent="0.45">
      <c r="A5" t="s">
        <v>23</v>
      </c>
      <c r="B5" t="str">
        <f ca="1">COUNTIFS('Coded Passages'!$B:$B,$A5,'Coded Passages'!$C:$C,$B5,'Coded Passages'!$H:$H,B$2)</f>
        <v/>
      </c>
      <c r="C5" t="str">
        <f ca="1">COUNTIFS('Coded Passages'!$B:$B,$A5,'Coded Passages'!$C:$C,$B5,'Coded Passages'!$H:$H,C$2)</f>
        <v/>
      </c>
      <c r="D5" t="str">
        <f ca="1">COUNTIFS('Coded Passages'!$B:$B,$A5,'Coded Passages'!$C:$C,$B5,'Coded Passages'!$H:$H,D$2)</f>
        <v/>
      </c>
      <c r="E5" t="str">
        <f ca="1">COUNTIFS('Coded Passages'!$B:$B,$A5,'Coded Passages'!$C:$C,$B5,'Coded Passages'!$H:$H,E$2)</f>
        <v/>
      </c>
      <c r="F5" t="str">
        <f ca="1">COUNTIFS('Coded Passages'!$B:$B,$A5,'Coded Passages'!$C:$C,$B5,'Coded Passages'!$H:$H,F$2)</f>
        <v/>
      </c>
      <c r="G5" t="str">
        <f ca="1">COUNTIFS('Coded Passages'!$B:$B,$A5,'Coded Passages'!$C:$C,$B5,'Coded Passages'!$H:$H,G$2)</f>
        <v/>
      </c>
      <c r="H5" t="str">
        <f ca="1">COUNTIFS('Coded Passages'!$B:$B,$A5,'Coded Passages'!$C:$C,$B5,'Coded Passages'!$H:$H,H$2)</f>
        <v/>
      </c>
      <c r="I5" t="str">
        <f ca="1">COUNTIFS('Coded Passages'!$B:$B,$A5,'Coded Passages'!$C:$C,$B5,'Coded Passages'!$H:$H,I$2)</f>
        <v/>
      </c>
      <c r="J5" t="str">
        <f ca="1">COUNTIFS('Coded Passages'!$B:$B,$A5,'Coded Passages'!$C:$C,$B5,'Coded Passages'!$H:$H,J$2)</f>
        <v/>
      </c>
      <c r="L5" t="str">
        <f t="shared" ca="1" si="0"/>
        <v/>
      </c>
      <c r="N5" t="s">
        <v>219</v>
      </c>
      <c r="O5" t="str">
        <f t="shared" ca="1" si="1"/>
        <v/>
      </c>
    </row>
    <row r="6" spans="1:15" x14ac:dyDescent="0.45">
      <c r="A6" t="s">
        <v>23</v>
      </c>
      <c r="B6" t="str">
        <f ca="1">COUNTIFS('Coded Passages'!$B:$B,$A6,'Coded Passages'!$C:$C,$B6,'Coded Passages'!$H:$H,B$2)</f>
        <v/>
      </c>
      <c r="C6" t="str">
        <f ca="1">COUNTIFS('Coded Passages'!$B:$B,$A6,'Coded Passages'!$C:$C,$B6,'Coded Passages'!$H:$H,C$2)</f>
        <v/>
      </c>
      <c r="D6" t="str">
        <f ca="1">COUNTIFS('Coded Passages'!$B:$B,$A6,'Coded Passages'!$C:$C,$B6,'Coded Passages'!$H:$H,D$2)</f>
        <v/>
      </c>
      <c r="E6" t="str">
        <f ca="1">COUNTIFS('Coded Passages'!$B:$B,$A6,'Coded Passages'!$C:$C,$B6,'Coded Passages'!$H:$H,E$2)</f>
        <v/>
      </c>
      <c r="F6" t="str">
        <f ca="1">COUNTIFS('Coded Passages'!$B:$B,$A6,'Coded Passages'!$C:$C,$B6,'Coded Passages'!$H:$H,F$2)</f>
        <v/>
      </c>
      <c r="G6" t="str">
        <f ca="1">COUNTIFS('Coded Passages'!$B:$B,$A6,'Coded Passages'!$C:$C,$B6,'Coded Passages'!$H:$H,G$2)</f>
        <v/>
      </c>
      <c r="H6" t="str">
        <f ca="1">COUNTIFS('Coded Passages'!$B:$B,$A6,'Coded Passages'!$C:$C,$B6,'Coded Passages'!$H:$H,H$2)</f>
        <v/>
      </c>
      <c r="I6" t="str">
        <f ca="1">COUNTIFS('Coded Passages'!$B:$B,$A6,'Coded Passages'!$C:$C,$B6,'Coded Passages'!$H:$H,I$2)</f>
        <v/>
      </c>
      <c r="J6" t="str">
        <f ca="1">COUNTIFS('Coded Passages'!$B:$B,$A6,'Coded Passages'!$C:$C,$B6,'Coded Passages'!$H:$H,J$2)</f>
        <v/>
      </c>
      <c r="L6" t="str">
        <f t="shared" ca="1" si="0"/>
        <v/>
      </c>
      <c r="N6" t="s">
        <v>220</v>
      </c>
      <c r="O6" t="str">
        <f t="shared" ca="1" si="1"/>
        <v/>
      </c>
    </row>
    <row r="7" spans="1:15" x14ac:dyDescent="0.45">
      <c r="A7" t="s">
        <v>23</v>
      </c>
      <c r="B7" t="str">
        <f ca="1">COUNTIFS('Coded Passages'!$B:$B,$A7,'Coded Passages'!$C:$C,$B7,'Coded Passages'!$H:$H,B$2)</f>
        <v/>
      </c>
      <c r="C7" t="str">
        <f ca="1">COUNTIFS('Coded Passages'!$B:$B,$A7,'Coded Passages'!$C:$C,$B7,'Coded Passages'!$H:$H,C$2)</f>
        <v/>
      </c>
      <c r="D7" t="str">
        <f ca="1">COUNTIFS('Coded Passages'!$B:$B,$A7,'Coded Passages'!$C:$C,$B7,'Coded Passages'!$H:$H,D$2)</f>
        <v/>
      </c>
      <c r="E7" t="str">
        <f ca="1">COUNTIFS('Coded Passages'!$B:$B,$A7,'Coded Passages'!$C:$C,$B7,'Coded Passages'!$H:$H,E$2)</f>
        <v/>
      </c>
      <c r="F7" t="str">
        <f ca="1">COUNTIFS('Coded Passages'!$B:$B,$A7,'Coded Passages'!$C:$C,$B7,'Coded Passages'!$H:$H,F$2)</f>
        <v/>
      </c>
      <c r="G7" t="str">
        <f ca="1">COUNTIFS('Coded Passages'!$B:$B,$A7,'Coded Passages'!$C:$C,$B7,'Coded Passages'!$H:$H,G$2)</f>
        <v/>
      </c>
      <c r="H7" t="str">
        <f ca="1">COUNTIFS('Coded Passages'!$B:$B,$A7,'Coded Passages'!$C:$C,$B7,'Coded Passages'!$H:$H,H$2)</f>
        <v/>
      </c>
      <c r="I7" t="str">
        <f ca="1">COUNTIFS('Coded Passages'!$B:$B,$A7,'Coded Passages'!$C:$C,$B7,'Coded Passages'!$H:$H,I$2)</f>
        <v/>
      </c>
      <c r="J7" t="str">
        <f ca="1">COUNTIFS('Coded Passages'!$B:$B,$A7,'Coded Passages'!$C:$C,$B7,'Coded Passages'!$H:$H,J$2)</f>
        <v/>
      </c>
      <c r="L7" t="str">
        <f t="shared" ca="1" si="0"/>
        <v/>
      </c>
      <c r="N7" t="s">
        <v>221</v>
      </c>
      <c r="O7" t="str">
        <f t="shared" ca="1" si="1"/>
        <v/>
      </c>
    </row>
    <row r="8" spans="1:15" x14ac:dyDescent="0.45">
      <c r="A8" t="s">
        <v>23</v>
      </c>
      <c r="B8" t="str">
        <f ca="1">COUNTIFS('Coded Passages'!$B:$B,$A8,'Coded Passages'!$C:$C,$B8,'Coded Passages'!$H:$H,B$2)</f>
        <v/>
      </c>
      <c r="C8" t="str">
        <f ca="1">COUNTIFS('Coded Passages'!$B:$B,$A8,'Coded Passages'!$C:$C,$B8,'Coded Passages'!$H:$H,C$2)</f>
        <v/>
      </c>
      <c r="D8" t="str">
        <f ca="1">COUNTIFS('Coded Passages'!$B:$B,$A8,'Coded Passages'!$C:$C,$B8,'Coded Passages'!$H:$H,D$2)</f>
        <v/>
      </c>
      <c r="E8" t="str">
        <f ca="1">COUNTIFS('Coded Passages'!$B:$B,$A8,'Coded Passages'!$C:$C,$B8,'Coded Passages'!$H:$H,E$2)</f>
        <v/>
      </c>
      <c r="F8" t="str">
        <f ca="1">COUNTIFS('Coded Passages'!$B:$B,$A8,'Coded Passages'!$C:$C,$B8,'Coded Passages'!$H:$H,F$2)</f>
        <v/>
      </c>
      <c r="G8" t="str">
        <f ca="1">COUNTIFS('Coded Passages'!$B:$B,$A8,'Coded Passages'!$C:$C,$B8,'Coded Passages'!$H:$H,G$2)</f>
        <v/>
      </c>
      <c r="H8" t="str">
        <f ca="1">COUNTIFS('Coded Passages'!$B:$B,$A8,'Coded Passages'!$C:$C,$B8,'Coded Passages'!$H:$H,H$2)</f>
        <v/>
      </c>
      <c r="I8" t="str">
        <f ca="1">COUNTIFS('Coded Passages'!$B:$B,$A8,'Coded Passages'!$C:$C,$B8,'Coded Passages'!$H:$H,I$2)</f>
        <v/>
      </c>
      <c r="J8" t="str">
        <f ca="1">COUNTIFS('Coded Passages'!$B:$B,$A8,'Coded Passages'!$C:$C,$B8,'Coded Passages'!$H:$H,J$2)</f>
        <v/>
      </c>
      <c r="L8" t="str">
        <f t="shared" ca="1" si="0"/>
        <v/>
      </c>
      <c r="N8" t="s">
        <v>222</v>
      </c>
      <c r="O8" t="str">
        <f t="shared" ca="1" si="1"/>
        <v/>
      </c>
    </row>
    <row r="9" spans="1:15" x14ac:dyDescent="0.45">
      <c r="A9" t="s">
        <v>13</v>
      </c>
      <c r="B9" t="str">
        <f ca="1">COUNTIFS('Coded Passages'!$B:$B,$A9,'Coded Passages'!$C:$C,$B9,'Coded Passages'!$H:$H,B$2)</f>
        <v/>
      </c>
      <c r="C9" t="str">
        <f ca="1">COUNTIFS('Coded Passages'!$B:$B,$A9,'Coded Passages'!$C:$C,$B9,'Coded Passages'!$H:$H,C$2)</f>
        <v/>
      </c>
      <c r="D9" t="str">
        <f ca="1">COUNTIFS('Coded Passages'!$B:$B,$A9,'Coded Passages'!$C:$C,$B9,'Coded Passages'!$H:$H,D$2)</f>
        <v/>
      </c>
      <c r="E9" t="str">
        <f ca="1">COUNTIFS('Coded Passages'!$B:$B,$A9,'Coded Passages'!$C:$C,$B9,'Coded Passages'!$H:$H,E$2)</f>
        <v/>
      </c>
      <c r="F9" t="str">
        <f ca="1">COUNTIFS('Coded Passages'!$B:$B,$A9,'Coded Passages'!$C:$C,$B9,'Coded Passages'!$H:$H,F$2)</f>
        <v/>
      </c>
      <c r="G9" t="str">
        <f ca="1">COUNTIFS('Coded Passages'!$B:$B,$A9,'Coded Passages'!$C:$C,$B9,'Coded Passages'!$H:$H,G$2)</f>
        <v/>
      </c>
      <c r="H9" t="str">
        <f ca="1">COUNTIFS('Coded Passages'!$B:$B,$A9,'Coded Passages'!$C:$C,$B9,'Coded Passages'!$H:$H,H$2)</f>
        <v/>
      </c>
      <c r="I9" t="str">
        <f ca="1">COUNTIFS('Coded Passages'!$B:$B,$A9,'Coded Passages'!$C:$C,$B9,'Coded Passages'!$H:$H,I$2)</f>
        <v/>
      </c>
      <c r="J9" t="str">
        <f ca="1">COUNTIFS('Coded Passages'!$B:$B,$A9,'Coded Passages'!$C:$C,$B9,'Coded Passages'!$H:$H,J$2)</f>
        <v/>
      </c>
      <c r="L9" t="str">
        <f t="shared" ca="1" si="0"/>
        <v/>
      </c>
      <c r="N9" t="s">
        <v>223</v>
      </c>
      <c r="O9" t="str">
        <f t="shared" ca="1" si="1"/>
        <v/>
      </c>
    </row>
    <row r="10" spans="1:15" x14ac:dyDescent="0.45">
      <c r="A10" t="s">
        <v>13</v>
      </c>
      <c r="B10" t="str">
        <f ca="1">COUNTIFS('Coded Passages'!$B:$B,$A10,'Coded Passages'!$C:$C,$B10,'Coded Passages'!$H:$H,B$2)</f>
        <v/>
      </c>
      <c r="C10" t="str">
        <f ca="1">COUNTIFS('Coded Passages'!$B:$B,$A10,'Coded Passages'!$C:$C,$B10,'Coded Passages'!$H:$H,C$2)</f>
        <v/>
      </c>
      <c r="D10" t="str">
        <f ca="1">COUNTIFS('Coded Passages'!$B:$B,$A10,'Coded Passages'!$C:$C,$B10,'Coded Passages'!$H:$H,D$2)</f>
        <v/>
      </c>
      <c r="E10" t="str">
        <f ca="1">COUNTIFS('Coded Passages'!$B:$B,$A10,'Coded Passages'!$C:$C,$B10,'Coded Passages'!$H:$H,E$2)</f>
        <v/>
      </c>
      <c r="F10" t="str">
        <f ca="1">COUNTIFS('Coded Passages'!$B:$B,$A10,'Coded Passages'!$C:$C,$B10,'Coded Passages'!$H:$H,F$2)</f>
        <v/>
      </c>
      <c r="G10" t="str">
        <f ca="1">COUNTIFS('Coded Passages'!$B:$B,$A10,'Coded Passages'!$C:$C,$B10,'Coded Passages'!$H:$H,G$2)</f>
        <v/>
      </c>
      <c r="H10" t="str">
        <f ca="1">COUNTIFS('Coded Passages'!$B:$B,$A10,'Coded Passages'!$C:$C,$B10,'Coded Passages'!$H:$H,H$2)</f>
        <v/>
      </c>
      <c r="I10" t="str">
        <f ca="1">COUNTIFS('Coded Passages'!$B:$B,$A10,'Coded Passages'!$C:$C,$B10,'Coded Passages'!$H:$H,I$2)</f>
        <v/>
      </c>
      <c r="J10" t="str">
        <f ca="1">COUNTIFS('Coded Passages'!$B:$B,$A10,'Coded Passages'!$C:$C,$B10,'Coded Passages'!$H:$H,J$2)</f>
        <v/>
      </c>
      <c r="L10" t="str">
        <f t="shared" ca="1" si="0"/>
        <v/>
      </c>
      <c r="N10" t="s">
        <v>224</v>
      </c>
      <c r="O10" t="str">
        <f t="shared" ca="1" si="1"/>
        <v/>
      </c>
    </row>
    <row r="11" spans="1:15" x14ac:dyDescent="0.45">
      <c r="A11" t="s">
        <v>13</v>
      </c>
      <c r="B11" t="str">
        <f ca="1">COUNTIFS('Coded Passages'!$B:$B,$A11,'Coded Passages'!$C:$C,$B11,'Coded Passages'!$H:$H,B$2)</f>
        <v/>
      </c>
      <c r="C11" t="str">
        <f ca="1">COUNTIFS('Coded Passages'!$B:$B,$A11,'Coded Passages'!$C:$C,$B11,'Coded Passages'!$H:$H,C$2)</f>
        <v/>
      </c>
      <c r="D11" t="str">
        <f ca="1">COUNTIFS('Coded Passages'!$B:$B,$A11,'Coded Passages'!$C:$C,$B11,'Coded Passages'!$H:$H,D$2)</f>
        <v/>
      </c>
      <c r="E11" t="str">
        <f ca="1">COUNTIFS('Coded Passages'!$B:$B,$A11,'Coded Passages'!$C:$C,$B11,'Coded Passages'!$H:$H,E$2)</f>
        <v/>
      </c>
      <c r="F11" t="str">
        <f ca="1">COUNTIFS('Coded Passages'!$B:$B,$A11,'Coded Passages'!$C:$C,$B11,'Coded Passages'!$H:$H,F$2)</f>
        <v/>
      </c>
      <c r="G11" t="str">
        <f ca="1">COUNTIFS('Coded Passages'!$B:$B,$A11,'Coded Passages'!$C:$C,$B11,'Coded Passages'!$H:$H,G$2)</f>
        <v/>
      </c>
      <c r="H11" t="str">
        <f ca="1">COUNTIFS('Coded Passages'!$B:$B,$A11,'Coded Passages'!$C:$C,$B11,'Coded Passages'!$H:$H,H$2)</f>
        <v/>
      </c>
      <c r="I11" t="str">
        <f ca="1">COUNTIFS('Coded Passages'!$B:$B,$A11,'Coded Passages'!$C:$C,$B11,'Coded Passages'!$H:$H,I$2)</f>
        <v/>
      </c>
      <c r="J11" t="str">
        <f ca="1">COUNTIFS('Coded Passages'!$B:$B,$A11,'Coded Passages'!$C:$C,$B11,'Coded Passages'!$H:$H,J$2)</f>
        <v/>
      </c>
      <c r="L11" t="str">
        <f t="shared" ca="1" si="0"/>
        <v/>
      </c>
      <c r="N11" t="s">
        <v>225</v>
      </c>
      <c r="O11" t="str">
        <f t="shared" ca="1" si="1"/>
        <v/>
      </c>
    </row>
    <row r="12" spans="1:15" x14ac:dyDescent="0.45">
      <c r="A12" t="s">
        <v>13</v>
      </c>
      <c r="B12" t="str">
        <f ca="1">COUNTIFS('Coded Passages'!$B:$B,$A12,'Coded Passages'!$C:$C,$B12,'Coded Passages'!$H:$H,B$2)</f>
        <v/>
      </c>
      <c r="C12" t="str">
        <f ca="1">COUNTIFS('Coded Passages'!$B:$B,$A12,'Coded Passages'!$C:$C,$B12,'Coded Passages'!$H:$H,C$2)</f>
        <v/>
      </c>
      <c r="D12" t="str">
        <f ca="1">COUNTIFS('Coded Passages'!$B:$B,$A12,'Coded Passages'!$C:$C,$B12,'Coded Passages'!$H:$H,D$2)</f>
        <v/>
      </c>
      <c r="E12" t="str">
        <f ca="1">COUNTIFS('Coded Passages'!$B:$B,$A12,'Coded Passages'!$C:$C,$B12,'Coded Passages'!$H:$H,E$2)</f>
        <v/>
      </c>
      <c r="F12" t="str">
        <f ca="1">COUNTIFS('Coded Passages'!$B:$B,$A12,'Coded Passages'!$C:$C,$B12,'Coded Passages'!$H:$H,F$2)</f>
        <v/>
      </c>
      <c r="G12" t="str">
        <f ca="1">COUNTIFS('Coded Passages'!$B:$B,$A12,'Coded Passages'!$C:$C,$B12,'Coded Passages'!$H:$H,G$2)</f>
        <v/>
      </c>
      <c r="H12" t="str">
        <f ca="1">COUNTIFS('Coded Passages'!$B:$B,$A12,'Coded Passages'!$C:$C,$B12,'Coded Passages'!$H:$H,H$2)</f>
        <v/>
      </c>
      <c r="I12" t="str">
        <f ca="1">COUNTIFS('Coded Passages'!$B:$B,$A12,'Coded Passages'!$C:$C,$B12,'Coded Passages'!$H:$H,I$2)</f>
        <v/>
      </c>
      <c r="J12" t="str">
        <f ca="1">COUNTIFS('Coded Passages'!$B:$B,$A12,'Coded Passages'!$C:$C,$B12,'Coded Passages'!$H:$H,J$2)</f>
        <v/>
      </c>
      <c r="L12" t="str">
        <f t="shared" ca="1" si="0"/>
        <v/>
      </c>
      <c r="N12" t="s">
        <v>226</v>
      </c>
      <c r="O12" t="str">
        <f t="shared" ca="1" si="1"/>
        <v/>
      </c>
    </row>
    <row r="13" spans="1:15" x14ac:dyDescent="0.45">
      <c r="A13" t="s">
        <v>13</v>
      </c>
      <c r="B13" t="str">
        <f ca="1">COUNTIFS('Coded Passages'!$B:$B,$A13,'Coded Passages'!$C:$C,$B13,'Coded Passages'!$H:$H,B$2)</f>
        <v/>
      </c>
      <c r="C13" t="str">
        <f ca="1">COUNTIFS('Coded Passages'!$B:$B,$A13,'Coded Passages'!$C:$C,$B13,'Coded Passages'!$H:$H,C$2)</f>
        <v/>
      </c>
      <c r="D13" t="str">
        <f ca="1">COUNTIFS('Coded Passages'!$B:$B,$A13,'Coded Passages'!$C:$C,$B13,'Coded Passages'!$H:$H,D$2)</f>
        <v/>
      </c>
      <c r="E13" t="str">
        <f ca="1">COUNTIFS('Coded Passages'!$B:$B,$A13,'Coded Passages'!$C:$C,$B13,'Coded Passages'!$H:$H,E$2)</f>
        <v/>
      </c>
      <c r="F13" t="str">
        <f ca="1">COUNTIFS('Coded Passages'!$B:$B,$A13,'Coded Passages'!$C:$C,$B13,'Coded Passages'!$H:$H,F$2)</f>
        <v/>
      </c>
      <c r="G13" t="str">
        <f ca="1">COUNTIFS('Coded Passages'!$B:$B,$A13,'Coded Passages'!$C:$C,$B13,'Coded Passages'!$H:$H,G$2)</f>
        <v/>
      </c>
      <c r="H13" t="str">
        <f ca="1">COUNTIFS('Coded Passages'!$B:$B,$A13,'Coded Passages'!$C:$C,$B13,'Coded Passages'!$H:$H,H$2)</f>
        <v/>
      </c>
      <c r="I13" t="str">
        <f ca="1">COUNTIFS('Coded Passages'!$B:$B,$A13,'Coded Passages'!$C:$C,$B13,'Coded Passages'!$H:$H,I$2)</f>
        <v/>
      </c>
      <c r="J13" t="str">
        <f ca="1">COUNTIFS('Coded Passages'!$B:$B,$A13,'Coded Passages'!$C:$C,$B13,'Coded Passages'!$H:$H,J$2)</f>
        <v/>
      </c>
      <c r="L13" t="str">
        <f t="shared" ca="1" si="0"/>
        <v/>
      </c>
      <c r="N13" t="s">
        <v>227</v>
      </c>
      <c r="O13" t="str">
        <f t="shared" ca="1" si="1"/>
        <v/>
      </c>
    </row>
    <row r="14" spans="1:15" x14ac:dyDescent="0.45">
      <c r="A14" t="s">
        <v>29</v>
      </c>
      <c r="B14" t="str">
        <f ca="1">COUNTIFS('Coded Passages'!$B:$B,$A14,'Coded Passages'!$C:$C,$B14,'Coded Passages'!$H:$H,B$2)</f>
        <v/>
      </c>
      <c r="C14" t="str">
        <f ca="1">COUNTIFS('Coded Passages'!$B:$B,$A14,'Coded Passages'!$C:$C,$B14,'Coded Passages'!$H:$H,C$2)</f>
        <v/>
      </c>
      <c r="D14" t="str">
        <f ca="1">COUNTIFS('Coded Passages'!$B:$B,$A14,'Coded Passages'!$C:$C,$B14,'Coded Passages'!$H:$H,D$2)</f>
        <v/>
      </c>
      <c r="E14" t="str">
        <f ca="1">COUNTIFS('Coded Passages'!$B:$B,$A14,'Coded Passages'!$C:$C,$B14,'Coded Passages'!$H:$H,E$2)</f>
        <v/>
      </c>
      <c r="F14" t="str">
        <f ca="1">COUNTIFS('Coded Passages'!$B:$B,$A14,'Coded Passages'!$C:$C,$B14,'Coded Passages'!$H:$H,F$2)</f>
        <v/>
      </c>
      <c r="G14" t="str">
        <f ca="1">COUNTIFS('Coded Passages'!$B:$B,$A14,'Coded Passages'!$C:$C,$B14,'Coded Passages'!$H:$H,G$2)</f>
        <v/>
      </c>
      <c r="H14" t="str">
        <f ca="1">COUNTIFS('Coded Passages'!$B:$B,$A14,'Coded Passages'!$C:$C,$B14,'Coded Passages'!$H:$H,H$2)</f>
        <v/>
      </c>
      <c r="I14" t="str">
        <f ca="1">COUNTIFS('Coded Passages'!$B:$B,$A14,'Coded Passages'!$C:$C,$B14,'Coded Passages'!$H:$H,I$2)</f>
        <v/>
      </c>
      <c r="J14" t="str">
        <f ca="1">COUNTIFS('Coded Passages'!$B:$B,$A14,'Coded Passages'!$C:$C,$B14,'Coded Passages'!$H:$H,J$2)</f>
        <v/>
      </c>
      <c r="L14" t="str">
        <f t="shared" ca="1" si="0"/>
        <v/>
      </c>
      <c r="N14" t="s">
        <v>228</v>
      </c>
      <c r="O14" t="str">
        <f t="shared" ca="1" si="1"/>
        <v/>
      </c>
    </row>
    <row r="15" spans="1:15" x14ac:dyDescent="0.45">
      <c r="A15" t="s">
        <v>29</v>
      </c>
      <c r="B15" t="str">
        <f ca="1">COUNTIFS('Coded Passages'!$B:$B,$A15,'Coded Passages'!$C:$C,$B15,'Coded Passages'!$H:$H,B$2)</f>
        <v/>
      </c>
      <c r="C15" t="str">
        <f ca="1">COUNTIFS('Coded Passages'!$B:$B,$A15,'Coded Passages'!$C:$C,$B15,'Coded Passages'!$H:$H,C$2)</f>
        <v/>
      </c>
      <c r="D15" t="str">
        <f ca="1">COUNTIFS('Coded Passages'!$B:$B,$A15,'Coded Passages'!$C:$C,$B15,'Coded Passages'!$H:$H,D$2)</f>
        <v/>
      </c>
      <c r="E15" t="str">
        <f ca="1">COUNTIFS('Coded Passages'!$B:$B,$A15,'Coded Passages'!$C:$C,$B15,'Coded Passages'!$H:$H,E$2)</f>
        <v/>
      </c>
      <c r="F15" t="str">
        <f ca="1">COUNTIFS('Coded Passages'!$B:$B,$A15,'Coded Passages'!$C:$C,$B15,'Coded Passages'!$H:$H,F$2)</f>
        <v/>
      </c>
      <c r="G15" t="str">
        <f ca="1">COUNTIFS('Coded Passages'!$B:$B,$A15,'Coded Passages'!$C:$C,$B15,'Coded Passages'!$H:$H,G$2)</f>
        <v/>
      </c>
      <c r="H15" t="str">
        <f ca="1">COUNTIFS('Coded Passages'!$B:$B,$A15,'Coded Passages'!$C:$C,$B15,'Coded Passages'!$H:$H,H$2)</f>
        <v/>
      </c>
      <c r="I15" t="str">
        <f ca="1">COUNTIFS('Coded Passages'!$B:$B,$A15,'Coded Passages'!$C:$C,$B15,'Coded Passages'!$H:$H,I$2)</f>
        <v/>
      </c>
      <c r="J15" t="str">
        <f ca="1">COUNTIFS('Coded Passages'!$B:$B,$A15,'Coded Passages'!$C:$C,$B15,'Coded Passages'!$H:$H,J$2)</f>
        <v/>
      </c>
      <c r="L15" t="str">
        <f t="shared" ca="1" si="0"/>
        <v/>
      </c>
      <c r="N15" t="s">
        <v>229</v>
      </c>
      <c r="O15" t="str">
        <f t="shared" ca="1" si="1"/>
        <v/>
      </c>
    </row>
    <row r="16" spans="1:15" x14ac:dyDescent="0.45">
      <c r="A16" t="s">
        <v>29</v>
      </c>
      <c r="B16" t="str">
        <f ca="1">COUNTIFS('Coded Passages'!$B:$B,$A16,'Coded Passages'!$C:$C,$B16,'Coded Passages'!$H:$H,B$2)</f>
        <v/>
      </c>
      <c r="C16" t="str">
        <f ca="1">COUNTIFS('Coded Passages'!$B:$B,$A16,'Coded Passages'!$C:$C,$B16,'Coded Passages'!$H:$H,C$2)</f>
        <v/>
      </c>
      <c r="D16" t="str">
        <f ca="1">COUNTIFS('Coded Passages'!$B:$B,$A16,'Coded Passages'!$C:$C,$B16,'Coded Passages'!$H:$H,D$2)</f>
        <v/>
      </c>
      <c r="E16" t="str">
        <f ca="1">COUNTIFS('Coded Passages'!$B:$B,$A16,'Coded Passages'!$C:$C,$B16,'Coded Passages'!$H:$H,E$2)</f>
        <v/>
      </c>
      <c r="F16" t="str">
        <f ca="1">COUNTIFS('Coded Passages'!$B:$B,$A16,'Coded Passages'!$C:$C,$B16,'Coded Passages'!$H:$H,F$2)</f>
        <v/>
      </c>
      <c r="G16" t="str">
        <f ca="1">COUNTIFS('Coded Passages'!$B:$B,$A16,'Coded Passages'!$C:$C,$B16,'Coded Passages'!$H:$H,G$2)</f>
        <v/>
      </c>
      <c r="H16" t="str">
        <f ca="1">COUNTIFS('Coded Passages'!$B:$B,$A16,'Coded Passages'!$C:$C,$B16,'Coded Passages'!$H:$H,H$2)</f>
        <v/>
      </c>
      <c r="I16" t="str">
        <f ca="1">COUNTIFS('Coded Passages'!$B:$B,$A16,'Coded Passages'!$C:$C,$B16,'Coded Passages'!$H:$H,I$2)</f>
        <v/>
      </c>
      <c r="J16" t="str">
        <f ca="1">COUNTIFS('Coded Passages'!$B:$B,$A16,'Coded Passages'!$C:$C,$B16,'Coded Passages'!$H:$H,J$2)</f>
        <v/>
      </c>
      <c r="L16" t="str">
        <f t="shared" ca="1" si="0"/>
        <v/>
      </c>
      <c r="N16" t="s">
        <v>230</v>
      </c>
      <c r="O16" t="str">
        <f t="shared" ca="1" si="1"/>
        <v/>
      </c>
    </row>
    <row r="17" spans="1:12" x14ac:dyDescent="0.45">
      <c r="A17" s="6" t="s">
        <v>210</v>
      </c>
      <c r="B17" s="6" t="s">
        <v>231</v>
      </c>
      <c r="C17" s="6" t="str">
        <f t="shared" ref="C17:L17" ca="1" si="2">SUM(C3:C16)</f>
        <v/>
      </c>
      <c r="D17" s="6" t="str">
        <f t="shared" ca="1" si="2"/>
        <v/>
      </c>
      <c r="E17" s="6" t="str">
        <f t="shared" ca="1" si="2"/>
        <v/>
      </c>
      <c r="F17" s="6" t="str">
        <f t="shared" ca="1" si="2"/>
        <v/>
      </c>
      <c r="G17" s="6" t="str">
        <f t="shared" ca="1" si="2"/>
        <v/>
      </c>
      <c r="H17" s="6" t="str">
        <f t="shared" ca="1" si="2"/>
        <v/>
      </c>
      <c r="I17" s="6" t="str">
        <f t="shared" ca="1" si="2"/>
        <v/>
      </c>
      <c r="J17" s="6" t="str">
        <f t="shared" ca="1" si="2"/>
        <v/>
      </c>
      <c r="K17" s="6">
        <f t="shared" si="2"/>
        <v>0</v>
      </c>
      <c r="L17" s="6" t="str">
        <f t="shared" ca="1" si="2"/>
        <v/>
      </c>
    </row>
  </sheetData>
  <mergeCells count="1">
    <mergeCell ref="A1:L1"/>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
  <sheetViews>
    <sheetView topLeftCell="B1" workbookViewId="0">
      <selection activeCell="C3" sqref="C3"/>
    </sheetView>
  </sheetViews>
  <sheetFormatPr defaultRowHeight="14.25" x14ac:dyDescent="0.45"/>
  <cols>
    <col min="1" max="1" width="30" customWidth="1"/>
    <col min="2" max="2" width="12" customWidth="1"/>
    <col min="3" max="3" width="22" customWidth="1"/>
    <col min="4" max="4" width="26" customWidth="1"/>
    <col min="5" max="5" width="14" customWidth="1"/>
  </cols>
  <sheetData>
    <row r="1" spans="1:10" x14ac:dyDescent="0.45">
      <c r="A1" s="10" t="s">
        <v>232</v>
      </c>
      <c r="B1" s="9"/>
      <c r="C1" s="9"/>
      <c r="D1" s="9"/>
      <c r="E1" s="9"/>
      <c r="F1" s="9"/>
      <c r="G1" s="9"/>
      <c r="H1" s="9"/>
      <c r="I1" s="9"/>
      <c r="J1" s="9"/>
    </row>
    <row r="2" spans="1:10" x14ac:dyDescent="0.45">
      <c r="A2" s="1" t="s">
        <v>8</v>
      </c>
      <c r="B2" s="1" t="s">
        <v>9</v>
      </c>
      <c r="C2" s="1" t="s">
        <v>10</v>
      </c>
      <c r="D2" s="1" t="s">
        <v>11</v>
      </c>
      <c r="E2" s="1" t="s">
        <v>12</v>
      </c>
      <c r="F2" s="1" t="s">
        <v>233</v>
      </c>
      <c r="G2" s="1" t="s">
        <v>234</v>
      </c>
      <c r="H2" s="1" t="s">
        <v>235</v>
      </c>
      <c r="I2" s="1" t="s">
        <v>211</v>
      </c>
      <c r="J2" s="1" t="s">
        <v>236</v>
      </c>
    </row>
    <row r="3" spans="1:10" x14ac:dyDescent="0.45">
      <c r="A3" t="s">
        <v>18</v>
      </c>
      <c r="B3" t="s">
        <v>19</v>
      </c>
      <c r="C3" t="s">
        <v>20</v>
      </c>
      <c r="D3" t="s">
        <v>21</v>
      </c>
      <c r="E3" t="s">
        <v>22</v>
      </c>
      <c r="F3">
        <f>COUNTIFS('Coded Passages'!$H:$H,$A3,'Coded Passages'!$B:$B,"D1*")</f>
        <v>3</v>
      </c>
      <c r="G3">
        <f>COUNTIFS('Coded Passages'!$H:$H,$A3,'Coded Passages'!$B:$B,"D2*")</f>
        <v>0</v>
      </c>
      <c r="H3">
        <f>COUNTIFS('Coded Passages'!$H:$H,$A3,'Coded Passages'!$B:$B,"IND")</f>
        <v>0</v>
      </c>
      <c r="I3">
        <f t="shared" ref="I3:I11" si="0">F3+G3+H3</f>
        <v>3</v>
      </c>
      <c r="J3" t="s">
        <v>237</v>
      </c>
    </row>
    <row r="4" spans="1:10" x14ac:dyDescent="0.45">
      <c r="A4" t="s">
        <v>34</v>
      </c>
      <c r="B4" t="s">
        <v>35</v>
      </c>
      <c r="C4" t="s">
        <v>36</v>
      </c>
      <c r="D4" t="s">
        <v>37</v>
      </c>
      <c r="E4" t="s">
        <v>38</v>
      </c>
      <c r="F4">
        <f>COUNTIFS('Coded Passages'!$H:$H,$A4,'Coded Passages'!$B:$B,"D1*")</f>
        <v>19</v>
      </c>
      <c r="G4">
        <f>COUNTIFS('Coded Passages'!$H:$H,$A4,'Coded Passages'!$B:$B,"D2*")</f>
        <v>0</v>
      </c>
      <c r="H4">
        <f>COUNTIFS('Coded Passages'!$H:$H,$A4,'Coded Passages'!$B:$B,"IND")</f>
        <v>0</v>
      </c>
      <c r="I4">
        <f t="shared" si="0"/>
        <v>19</v>
      </c>
      <c r="J4" t="s">
        <v>237</v>
      </c>
    </row>
    <row r="5" spans="1:10" x14ac:dyDescent="0.45">
      <c r="A5" t="s">
        <v>80</v>
      </c>
      <c r="B5" t="s">
        <v>81</v>
      </c>
      <c r="C5" t="s">
        <v>82</v>
      </c>
      <c r="D5" t="s">
        <v>83</v>
      </c>
      <c r="E5" t="s">
        <v>22</v>
      </c>
      <c r="F5">
        <f>COUNTIFS('Coded Passages'!$H:$H,$A5,'Coded Passages'!$B:$B,"D1*")</f>
        <v>3</v>
      </c>
      <c r="G5">
        <f>COUNTIFS('Coded Passages'!$H:$H,$A5,'Coded Passages'!$B:$B,"D2*")</f>
        <v>0</v>
      </c>
      <c r="H5">
        <f>COUNTIFS('Coded Passages'!$H:$H,$A5,'Coded Passages'!$B:$B,"IND")</f>
        <v>0</v>
      </c>
      <c r="I5">
        <f t="shared" si="0"/>
        <v>3</v>
      </c>
      <c r="J5" t="s">
        <v>237</v>
      </c>
    </row>
    <row r="6" spans="1:10" x14ac:dyDescent="0.45">
      <c r="A6" t="s">
        <v>90</v>
      </c>
      <c r="B6" t="s">
        <v>91</v>
      </c>
      <c r="C6" t="s">
        <v>92</v>
      </c>
      <c r="D6" t="s">
        <v>93</v>
      </c>
      <c r="E6" t="s">
        <v>38</v>
      </c>
      <c r="F6">
        <f>COUNTIFS('Coded Passages'!$H:$H,$A6,'Coded Passages'!$B:$B,"D1*")</f>
        <v>13</v>
      </c>
      <c r="G6">
        <f>COUNTIFS('Coded Passages'!$H:$H,$A6,'Coded Passages'!$B:$B,"D2*")</f>
        <v>0</v>
      </c>
      <c r="H6">
        <f>COUNTIFS('Coded Passages'!$H:$H,$A6,'Coded Passages'!$B:$B,"IND")</f>
        <v>0</v>
      </c>
      <c r="I6">
        <f t="shared" si="0"/>
        <v>13</v>
      </c>
      <c r="J6" t="s">
        <v>237</v>
      </c>
    </row>
    <row r="7" spans="1:10" x14ac:dyDescent="0.45">
      <c r="A7" t="s">
        <v>115</v>
      </c>
      <c r="B7" t="s">
        <v>116</v>
      </c>
      <c r="C7" t="s">
        <v>36</v>
      </c>
      <c r="D7" t="s">
        <v>37</v>
      </c>
      <c r="E7" t="s">
        <v>38</v>
      </c>
      <c r="F7">
        <f>COUNTIFS('Coded Passages'!$H:$H,$A7,'Coded Passages'!$B:$B,"D1*")</f>
        <v>19</v>
      </c>
      <c r="G7">
        <f>COUNTIFS('Coded Passages'!$H:$H,$A7,'Coded Passages'!$B:$B,"D2*")</f>
        <v>0</v>
      </c>
      <c r="H7">
        <f>COUNTIFS('Coded Passages'!$H:$H,$A7,'Coded Passages'!$B:$B,"IND")</f>
        <v>0</v>
      </c>
      <c r="I7">
        <f t="shared" si="0"/>
        <v>19</v>
      </c>
      <c r="J7" t="s">
        <v>237</v>
      </c>
    </row>
    <row r="8" spans="1:10" x14ac:dyDescent="0.45">
      <c r="A8" t="s">
        <v>148</v>
      </c>
      <c r="B8" t="s">
        <v>149</v>
      </c>
      <c r="C8" t="s">
        <v>82</v>
      </c>
      <c r="D8" t="s">
        <v>83</v>
      </c>
      <c r="E8" t="s">
        <v>22</v>
      </c>
      <c r="F8">
        <f>COUNTIFS('Coded Passages'!$H:$H,$A8,'Coded Passages'!$B:$B,"D1*")</f>
        <v>4</v>
      </c>
      <c r="G8">
        <f>COUNTIFS('Coded Passages'!$H:$H,$A8,'Coded Passages'!$B:$B,"D2*")</f>
        <v>0</v>
      </c>
      <c r="H8">
        <f>COUNTIFS('Coded Passages'!$H:$H,$A8,'Coded Passages'!$B:$B,"IND")</f>
        <v>0</v>
      </c>
      <c r="I8">
        <f t="shared" si="0"/>
        <v>4</v>
      </c>
      <c r="J8" t="s">
        <v>237</v>
      </c>
    </row>
    <row r="9" spans="1:10" x14ac:dyDescent="0.45">
      <c r="A9" t="s">
        <v>158</v>
      </c>
      <c r="B9" t="s">
        <v>159</v>
      </c>
      <c r="C9" t="s">
        <v>92</v>
      </c>
      <c r="D9" t="s">
        <v>93</v>
      </c>
      <c r="E9" t="s">
        <v>38</v>
      </c>
      <c r="F9">
        <f>COUNTIFS('Coded Passages'!$H:$H,$A9,'Coded Passages'!$B:$B,"D1*")</f>
        <v>12</v>
      </c>
      <c r="G9">
        <f>COUNTIFS('Coded Passages'!$H:$H,$A9,'Coded Passages'!$B:$B,"D2*")</f>
        <v>0</v>
      </c>
      <c r="H9">
        <f>COUNTIFS('Coded Passages'!$H:$H,$A9,'Coded Passages'!$B:$B,"IND")</f>
        <v>0</v>
      </c>
      <c r="I9">
        <f t="shared" si="0"/>
        <v>12</v>
      </c>
      <c r="J9" t="s">
        <v>237</v>
      </c>
    </row>
    <row r="10" spans="1:10" x14ac:dyDescent="0.45">
      <c r="A10" t="s">
        <v>179</v>
      </c>
      <c r="B10" t="s">
        <v>180</v>
      </c>
      <c r="C10" t="s">
        <v>36</v>
      </c>
      <c r="D10" t="s">
        <v>37</v>
      </c>
      <c r="E10" t="s">
        <v>38</v>
      </c>
      <c r="F10">
        <f>COUNTIFS('Coded Passages'!$H:$H,$A10,'Coded Passages'!$B:$B,"D1*")</f>
        <v>7</v>
      </c>
      <c r="G10">
        <f>COUNTIFS('Coded Passages'!$H:$H,$A10,'Coded Passages'!$B:$B,"D2*")</f>
        <v>0</v>
      </c>
      <c r="H10">
        <f>COUNTIFS('Coded Passages'!$H:$H,$A10,'Coded Passages'!$B:$B,"IND")</f>
        <v>0</v>
      </c>
      <c r="I10">
        <f t="shared" si="0"/>
        <v>7</v>
      </c>
      <c r="J10" t="s">
        <v>237</v>
      </c>
    </row>
    <row r="11" spans="1:10" x14ac:dyDescent="0.45">
      <c r="A11" t="s">
        <v>194</v>
      </c>
      <c r="B11" t="s">
        <v>195</v>
      </c>
      <c r="C11" t="s">
        <v>82</v>
      </c>
      <c r="D11" t="s">
        <v>83</v>
      </c>
      <c r="E11" t="s">
        <v>22</v>
      </c>
      <c r="F11">
        <f>COUNTIFS('Coded Passages'!$H:$H,$A11,'Coded Passages'!$B:$B,"D1*")</f>
        <v>8</v>
      </c>
      <c r="G11">
        <f>COUNTIFS('Coded Passages'!$H:$H,$A11,'Coded Passages'!$B:$B,"D2*")</f>
        <v>0</v>
      </c>
      <c r="H11">
        <f>COUNTIFS('Coded Passages'!$H:$H,$A11,'Coded Passages'!$B:$B,"IND")</f>
        <v>0</v>
      </c>
      <c r="I11">
        <f t="shared" si="0"/>
        <v>8</v>
      </c>
      <c r="J11" t="s">
        <v>237</v>
      </c>
    </row>
    <row r="12" spans="1:10" x14ac:dyDescent="0.45">
      <c r="A12" s="6" t="s">
        <v>210</v>
      </c>
      <c r="F12" s="6">
        <f>SUM(F3:F11)</f>
        <v>88</v>
      </c>
      <c r="G12" s="6">
        <f>SUM(G3:G11)</f>
        <v>0</v>
      </c>
      <c r="H12" s="6">
        <f>SUM(H3:H11)</f>
        <v>0</v>
      </c>
      <c r="I12" s="6">
        <f>SUM(I3:I11)</f>
        <v>88</v>
      </c>
    </row>
  </sheetData>
  <mergeCells count="1">
    <mergeCell ref="A1:J1"/>
  </mergeCells>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5"/>
  <sheetViews>
    <sheetView workbookViewId="0">
      <selection sqref="A1:E1"/>
    </sheetView>
  </sheetViews>
  <sheetFormatPr defaultRowHeight="14.25" x14ac:dyDescent="0.45"/>
  <cols>
    <col min="1" max="1" width="8" customWidth="1"/>
    <col min="2" max="2" width="34" customWidth="1"/>
    <col min="3" max="4" width="24" customWidth="1"/>
    <col min="5" max="5" width="10" customWidth="1"/>
  </cols>
  <sheetData>
    <row r="1" spans="1:8" x14ac:dyDescent="0.45">
      <c r="A1" s="10" t="s">
        <v>238</v>
      </c>
      <c r="B1" s="9"/>
      <c r="C1" s="9"/>
      <c r="D1" s="9"/>
      <c r="E1" s="9"/>
    </row>
    <row r="2" spans="1:8" x14ac:dyDescent="0.45">
      <c r="A2" s="1" t="s">
        <v>2</v>
      </c>
      <c r="B2" s="1" t="s">
        <v>4</v>
      </c>
      <c r="C2" s="1" t="s">
        <v>22</v>
      </c>
      <c r="D2" s="1" t="s">
        <v>38</v>
      </c>
      <c r="E2" s="1" t="s">
        <v>210</v>
      </c>
      <c r="F2" s="1"/>
      <c r="G2" s="1" t="s">
        <v>12</v>
      </c>
      <c r="H2" s="1" t="s">
        <v>211</v>
      </c>
    </row>
    <row r="3" spans="1:8" x14ac:dyDescent="0.45">
      <c r="A3" s="6" t="s">
        <v>23</v>
      </c>
      <c r="B3" t="s">
        <v>25</v>
      </c>
      <c r="C3">
        <f>COUNTIFS('Coded Passages'!$B:$B,$A3,'Coded Passages'!$L:$L,"National")</f>
        <v>13</v>
      </c>
      <c r="D3">
        <f>COUNTIFS('Coded Passages'!$B:$B,$A3,'Coded Passages'!$L:$L,"International")</f>
        <v>42</v>
      </c>
      <c r="E3">
        <f>SUM(C3:D3)</f>
        <v>55</v>
      </c>
      <c r="G3" t="s">
        <v>23</v>
      </c>
      <c r="H3">
        <f>E3</f>
        <v>55</v>
      </c>
    </row>
    <row r="4" spans="1:8" x14ac:dyDescent="0.45">
      <c r="A4" s="6" t="s">
        <v>13</v>
      </c>
      <c r="B4" t="s">
        <v>15</v>
      </c>
      <c r="C4">
        <f>COUNTIFS('Coded Passages'!$B:$B,$A4,'Coded Passages'!$L:$L,"National")</f>
        <v>3</v>
      </c>
      <c r="D4">
        <f>COUNTIFS('Coded Passages'!$B:$B,$A4,'Coded Passages'!$L:$L,"International")</f>
        <v>13</v>
      </c>
      <c r="E4">
        <f>SUM(C4:D4)</f>
        <v>16</v>
      </c>
      <c r="G4" t="s">
        <v>13</v>
      </c>
      <c r="H4">
        <f>E4</f>
        <v>16</v>
      </c>
    </row>
    <row r="5" spans="1:8" x14ac:dyDescent="0.45">
      <c r="A5" s="6" t="s">
        <v>29</v>
      </c>
      <c r="B5" t="s">
        <v>31</v>
      </c>
      <c r="C5">
        <f>COUNTIFS('Coded Passages'!$B:$B,$A5,'Coded Passages'!$L:$L,"National")</f>
        <v>2</v>
      </c>
      <c r="D5">
        <f>COUNTIFS('Coded Passages'!$B:$B,$A5,'Coded Passages'!$L:$L,"International")</f>
        <v>15</v>
      </c>
      <c r="E5">
        <f>SUM(C5:D5)</f>
        <v>17</v>
      </c>
      <c r="G5" t="s">
        <v>29</v>
      </c>
      <c r="H5">
        <f>E5</f>
        <v>17</v>
      </c>
    </row>
    <row r="6" spans="1:8" x14ac:dyDescent="0.45">
      <c r="A6" s="6" t="s">
        <v>212</v>
      </c>
      <c r="B6" t="s">
        <v>235</v>
      </c>
      <c r="C6">
        <f>COUNTIFS('Coded Passages'!$B:$B,$A6,'Coded Passages'!$L:$L,"National")</f>
        <v>0</v>
      </c>
      <c r="D6">
        <f>COUNTIFS('Coded Passages'!$B:$B,$A6,'Coded Passages'!$L:$L,"International")</f>
        <v>0</v>
      </c>
      <c r="E6">
        <f>SUM(C6:D6)</f>
        <v>0</v>
      </c>
      <c r="G6" t="s">
        <v>212</v>
      </c>
      <c r="H6">
        <f>E6</f>
        <v>0</v>
      </c>
    </row>
    <row r="7" spans="1:8" x14ac:dyDescent="0.45">
      <c r="A7" s="6" t="s">
        <v>210</v>
      </c>
      <c r="B7" s="6" t="s">
        <v>213</v>
      </c>
      <c r="C7" s="6">
        <f>SUM(C3:C6)</f>
        <v>18</v>
      </c>
      <c r="D7" s="6">
        <f>SUM(D3:D6)</f>
        <v>70</v>
      </c>
      <c r="E7" s="6">
        <f>SUM(E3:E6)</f>
        <v>88</v>
      </c>
    </row>
    <row r="29" spans="1:5" x14ac:dyDescent="0.45">
      <c r="A29" s="11" t="s">
        <v>239</v>
      </c>
      <c r="B29" s="9"/>
      <c r="C29" s="9"/>
      <c r="D29" s="9"/>
      <c r="E29" s="9"/>
    </row>
    <row r="30" spans="1:5" x14ac:dyDescent="0.45">
      <c r="A30" s="7" t="s">
        <v>215</v>
      </c>
      <c r="B30" s="7" t="s">
        <v>216</v>
      </c>
      <c r="C30" s="7" t="s">
        <v>22</v>
      </c>
      <c r="D30" s="7" t="s">
        <v>38</v>
      </c>
      <c r="E30" s="7" t="s">
        <v>210</v>
      </c>
    </row>
    <row r="31" spans="1:5" x14ac:dyDescent="0.45">
      <c r="A31" t="s">
        <v>23</v>
      </c>
      <c r="B31" t="s">
        <v>39</v>
      </c>
      <c r="C31">
        <f>COUNTIFS('Coded Passages'!$B:$B,$A31,'Coded Passages'!$C:$C,$B31,'Coded Passages'!$L:$L,"National")</f>
        <v>2</v>
      </c>
      <c r="D31">
        <f>COUNTIFS('Coded Passages'!$B:$B,$A31,'Coded Passages'!$C:$C,$B31,'Coded Passages'!$L:$L,"International")</f>
        <v>2</v>
      </c>
      <c r="E31">
        <f t="shared" ref="E31:E44" si="0">SUM(C31:D31)</f>
        <v>4</v>
      </c>
    </row>
    <row r="32" spans="1:5" x14ac:dyDescent="0.45">
      <c r="A32" t="s">
        <v>23</v>
      </c>
      <c r="B32" t="s">
        <v>60</v>
      </c>
      <c r="C32">
        <f>COUNTIFS('Coded Passages'!$B:$B,$A32,'Coded Passages'!$C:$C,$B32,'Coded Passages'!$L:$L,"National")</f>
        <v>1</v>
      </c>
      <c r="D32">
        <f>COUNTIFS('Coded Passages'!$B:$B,$A32,'Coded Passages'!$C:$C,$B32,'Coded Passages'!$L:$L,"International")</f>
        <v>4</v>
      </c>
      <c r="E32">
        <f t="shared" si="0"/>
        <v>5</v>
      </c>
    </row>
    <row r="33" spans="1:5" x14ac:dyDescent="0.45">
      <c r="A33" t="s">
        <v>23</v>
      </c>
      <c r="B33" t="s">
        <v>52</v>
      </c>
      <c r="C33">
        <f>COUNTIFS('Coded Passages'!$B:$B,$A33,'Coded Passages'!$C:$C,$B33,'Coded Passages'!$L:$L,"National")</f>
        <v>5</v>
      </c>
      <c r="D33">
        <f>COUNTIFS('Coded Passages'!$B:$B,$A33,'Coded Passages'!$C:$C,$B33,'Coded Passages'!$L:$L,"International")</f>
        <v>13</v>
      </c>
      <c r="E33">
        <f t="shared" si="0"/>
        <v>18</v>
      </c>
    </row>
    <row r="34" spans="1:5" x14ac:dyDescent="0.45">
      <c r="A34" t="s">
        <v>23</v>
      </c>
      <c r="B34" t="s">
        <v>41</v>
      </c>
      <c r="C34">
        <f>COUNTIFS('Coded Passages'!$B:$B,$A34,'Coded Passages'!$C:$C,$B34,'Coded Passages'!$L:$L,"National")</f>
        <v>1</v>
      </c>
      <c r="D34">
        <f>COUNTIFS('Coded Passages'!$B:$B,$A34,'Coded Passages'!$C:$C,$B34,'Coded Passages'!$L:$L,"International")</f>
        <v>5</v>
      </c>
      <c r="E34">
        <f t="shared" si="0"/>
        <v>6</v>
      </c>
    </row>
    <row r="35" spans="1:5" x14ac:dyDescent="0.45">
      <c r="A35" t="s">
        <v>23</v>
      </c>
      <c r="B35" t="s">
        <v>69</v>
      </c>
      <c r="C35">
        <f>COUNTIFS('Coded Passages'!$B:$B,$A35,'Coded Passages'!$C:$C,$B35,'Coded Passages'!$L:$L,"National")</f>
        <v>2</v>
      </c>
      <c r="D35">
        <f>COUNTIFS('Coded Passages'!$B:$B,$A35,'Coded Passages'!$C:$C,$B35,'Coded Passages'!$L:$L,"International")</f>
        <v>13</v>
      </c>
      <c r="E35">
        <f t="shared" si="0"/>
        <v>15</v>
      </c>
    </row>
    <row r="36" spans="1:5" x14ac:dyDescent="0.45">
      <c r="A36" t="s">
        <v>23</v>
      </c>
      <c r="B36" t="s">
        <v>24</v>
      </c>
      <c r="C36">
        <f>COUNTIFS('Coded Passages'!$B:$B,$A36,'Coded Passages'!$C:$C,$B36,'Coded Passages'!$L:$L,"National")</f>
        <v>2</v>
      </c>
      <c r="D36">
        <f>COUNTIFS('Coded Passages'!$B:$B,$A36,'Coded Passages'!$C:$C,$B36,'Coded Passages'!$L:$L,"International")</f>
        <v>5</v>
      </c>
      <c r="E36">
        <f t="shared" si="0"/>
        <v>7</v>
      </c>
    </row>
    <row r="37" spans="1:5" x14ac:dyDescent="0.45">
      <c r="A37" t="s">
        <v>13</v>
      </c>
      <c r="B37" t="s">
        <v>77</v>
      </c>
      <c r="C37">
        <f>COUNTIFS('Coded Passages'!$B:$B,$A37,'Coded Passages'!$C:$C,$B37,'Coded Passages'!$L:$L,"National")</f>
        <v>1</v>
      </c>
      <c r="D37">
        <f>COUNTIFS('Coded Passages'!$B:$B,$A37,'Coded Passages'!$C:$C,$B37,'Coded Passages'!$L:$L,"International")</f>
        <v>2</v>
      </c>
      <c r="E37">
        <f t="shared" si="0"/>
        <v>3</v>
      </c>
    </row>
    <row r="38" spans="1:5" x14ac:dyDescent="0.45">
      <c r="A38" t="s">
        <v>13</v>
      </c>
      <c r="B38" t="s">
        <v>27</v>
      </c>
      <c r="C38">
        <f>COUNTIFS('Coded Passages'!$B:$B,$A38,'Coded Passages'!$C:$C,$B38,'Coded Passages'!$L:$L,"National")</f>
        <v>1</v>
      </c>
      <c r="D38">
        <f>COUNTIFS('Coded Passages'!$B:$B,$A38,'Coded Passages'!$C:$C,$B38,'Coded Passages'!$L:$L,"International")</f>
        <v>5</v>
      </c>
      <c r="E38">
        <f t="shared" si="0"/>
        <v>6</v>
      </c>
    </row>
    <row r="39" spans="1:5" x14ac:dyDescent="0.45">
      <c r="A39" t="s">
        <v>13</v>
      </c>
      <c r="B39" t="s">
        <v>14</v>
      </c>
      <c r="C39">
        <f>COUNTIFS('Coded Passages'!$B:$B,$A39,'Coded Passages'!$C:$C,$B39,'Coded Passages'!$L:$L,"National")</f>
        <v>1</v>
      </c>
      <c r="D39">
        <f>COUNTIFS('Coded Passages'!$B:$B,$A39,'Coded Passages'!$C:$C,$B39,'Coded Passages'!$L:$L,"International")</f>
        <v>1</v>
      </c>
      <c r="E39">
        <f t="shared" si="0"/>
        <v>2</v>
      </c>
    </row>
    <row r="40" spans="1:5" x14ac:dyDescent="0.45">
      <c r="A40" t="s">
        <v>13</v>
      </c>
      <c r="B40" t="s">
        <v>49</v>
      </c>
      <c r="C40">
        <f>COUNTIFS('Coded Passages'!$B:$B,$A40,'Coded Passages'!$C:$C,$B40,'Coded Passages'!$L:$L,"National")</f>
        <v>0</v>
      </c>
      <c r="D40">
        <f>COUNTIFS('Coded Passages'!$B:$B,$A40,'Coded Passages'!$C:$C,$B40,'Coded Passages'!$L:$L,"International")</f>
        <v>3</v>
      </c>
      <c r="E40">
        <f t="shared" si="0"/>
        <v>3</v>
      </c>
    </row>
    <row r="41" spans="1:5" x14ac:dyDescent="0.45">
      <c r="A41" t="s">
        <v>13</v>
      </c>
      <c r="B41" t="s">
        <v>44</v>
      </c>
      <c r="C41">
        <f>COUNTIFS('Coded Passages'!$B:$B,$A41,'Coded Passages'!$C:$C,$B41,'Coded Passages'!$L:$L,"National")</f>
        <v>0</v>
      </c>
      <c r="D41">
        <f>COUNTIFS('Coded Passages'!$B:$B,$A41,'Coded Passages'!$C:$C,$B41,'Coded Passages'!$L:$L,"International")</f>
        <v>2</v>
      </c>
      <c r="E41">
        <f t="shared" si="0"/>
        <v>2</v>
      </c>
    </row>
    <row r="42" spans="1:5" x14ac:dyDescent="0.45">
      <c r="A42" t="s">
        <v>29</v>
      </c>
      <c r="B42" t="s">
        <v>30</v>
      </c>
      <c r="C42">
        <f>COUNTIFS('Coded Passages'!$B:$B,$A42,'Coded Passages'!$C:$C,$B42,'Coded Passages'!$L:$L,"National")</f>
        <v>1</v>
      </c>
      <c r="D42">
        <f>COUNTIFS('Coded Passages'!$B:$B,$A42,'Coded Passages'!$C:$C,$B42,'Coded Passages'!$L:$L,"International")</f>
        <v>7</v>
      </c>
      <c r="E42">
        <f t="shared" si="0"/>
        <v>8</v>
      </c>
    </row>
    <row r="43" spans="1:5" x14ac:dyDescent="0.45">
      <c r="A43" t="s">
        <v>29</v>
      </c>
      <c r="B43" t="s">
        <v>120</v>
      </c>
      <c r="C43">
        <f>COUNTIFS('Coded Passages'!$B:$B,$A43,'Coded Passages'!$C:$C,$B43,'Coded Passages'!$L:$L,"National")</f>
        <v>1</v>
      </c>
      <c r="D43">
        <f>COUNTIFS('Coded Passages'!$B:$B,$A43,'Coded Passages'!$C:$C,$B43,'Coded Passages'!$L:$L,"International")</f>
        <v>3</v>
      </c>
      <c r="E43">
        <f t="shared" si="0"/>
        <v>4</v>
      </c>
    </row>
    <row r="44" spans="1:5" x14ac:dyDescent="0.45">
      <c r="A44" t="s">
        <v>29</v>
      </c>
      <c r="B44" t="s">
        <v>64</v>
      </c>
      <c r="C44">
        <f>COUNTIFS('Coded Passages'!$B:$B,$A44,'Coded Passages'!$C:$C,$B44,'Coded Passages'!$L:$L,"National")</f>
        <v>0</v>
      </c>
      <c r="D44">
        <f>COUNTIFS('Coded Passages'!$B:$B,$A44,'Coded Passages'!$C:$C,$B44,'Coded Passages'!$L:$L,"International")</f>
        <v>5</v>
      </c>
      <c r="E44">
        <f t="shared" si="0"/>
        <v>5</v>
      </c>
    </row>
    <row r="45" spans="1:5" x14ac:dyDescent="0.45">
      <c r="A45" s="6" t="s">
        <v>210</v>
      </c>
      <c r="B45" s="6" t="s">
        <v>231</v>
      </c>
      <c r="C45" s="6">
        <f>SUM(C31:C44)</f>
        <v>18</v>
      </c>
      <c r="D45" s="6">
        <f>SUM(D31:D44)</f>
        <v>70</v>
      </c>
      <c r="E45" s="6">
        <f>SUM(E31:E44)</f>
        <v>88</v>
      </c>
    </row>
  </sheetData>
  <mergeCells count="2">
    <mergeCell ref="A1:E1"/>
    <mergeCell ref="A29:E29"/>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5"/>
  <sheetViews>
    <sheetView workbookViewId="0">
      <selection activeCell="B39" sqref="B39"/>
    </sheetView>
  </sheetViews>
  <sheetFormatPr defaultRowHeight="14.25" x14ac:dyDescent="0.45"/>
  <cols>
    <col min="1" max="1" width="8" customWidth="1"/>
    <col min="2" max="2" width="34" customWidth="1"/>
    <col min="3" max="6" width="24" customWidth="1"/>
    <col min="7" max="7" width="10" customWidth="1"/>
  </cols>
  <sheetData>
    <row r="1" spans="1:10" x14ac:dyDescent="0.45">
      <c r="A1" s="10" t="s">
        <v>240</v>
      </c>
      <c r="B1" s="9"/>
      <c r="C1" s="9"/>
      <c r="D1" s="9"/>
      <c r="E1" s="9"/>
      <c r="F1" s="9"/>
      <c r="G1" s="9"/>
    </row>
    <row r="2" spans="1:10" x14ac:dyDescent="0.45">
      <c r="A2" s="1" t="s">
        <v>2</v>
      </c>
      <c r="B2" s="1" t="s">
        <v>4</v>
      </c>
      <c r="C2" s="1" t="s">
        <v>21</v>
      </c>
      <c r="D2" s="1" t="s">
        <v>37</v>
      </c>
      <c r="E2" s="1" t="s">
        <v>83</v>
      </c>
      <c r="F2" s="1" t="s">
        <v>93</v>
      </c>
      <c r="G2" s="1" t="s">
        <v>210</v>
      </c>
      <c r="H2" s="1"/>
      <c r="I2" s="1" t="s">
        <v>241</v>
      </c>
      <c r="J2" s="1" t="s">
        <v>211</v>
      </c>
    </row>
    <row r="3" spans="1:10" x14ac:dyDescent="0.45">
      <c r="A3" s="6" t="s">
        <v>23</v>
      </c>
      <c r="B3" t="s">
        <v>25</v>
      </c>
      <c r="C3">
        <f>COUNTIFS('Coded Passages'!$B:$B,$A3,'Coded Passages'!$K:$K,"Debate presidencial")</f>
        <v>1</v>
      </c>
      <c r="D3">
        <f>COUNTIFS('Coded Passages'!$B:$B,$A3,'Coded Passages'!$K:$K,"Foro económico internacional")</f>
        <v>25</v>
      </c>
      <c r="E3">
        <f>COUNTIFS('Coded Passages'!$B:$B,$A3,'Coded Passages'!$K:$K,"Acto institucional")</f>
        <v>12</v>
      </c>
      <c r="F3">
        <f>COUNTIFS('Coded Passages'!$B:$B,$A3,'Coded Passages'!$K:$K,"Cumbre internacional")</f>
        <v>17</v>
      </c>
      <c r="G3">
        <f>SUM(C3:F3)</f>
        <v>55</v>
      </c>
      <c r="I3" t="s">
        <v>23</v>
      </c>
      <c r="J3">
        <f>G3</f>
        <v>55</v>
      </c>
    </row>
    <row r="4" spans="1:10" x14ac:dyDescent="0.45">
      <c r="A4" s="6" t="s">
        <v>13</v>
      </c>
      <c r="B4" t="s">
        <v>15</v>
      </c>
      <c r="C4">
        <f>COUNTIFS('Coded Passages'!$B:$B,$A4,'Coded Passages'!$K:$K,"Debate presidencial")</f>
        <v>2</v>
      </c>
      <c r="D4">
        <f>COUNTIFS('Coded Passages'!$B:$B,$A4,'Coded Passages'!$K:$K,"Foro económico internacional")</f>
        <v>10</v>
      </c>
      <c r="E4">
        <f>COUNTIFS('Coded Passages'!$B:$B,$A4,'Coded Passages'!$K:$K,"Acto institucional")</f>
        <v>1</v>
      </c>
      <c r="F4">
        <f>COUNTIFS('Coded Passages'!$B:$B,$A4,'Coded Passages'!$K:$K,"Cumbre internacional")</f>
        <v>3</v>
      </c>
      <c r="G4">
        <f>SUM(C4:F4)</f>
        <v>16</v>
      </c>
      <c r="I4" t="s">
        <v>13</v>
      </c>
      <c r="J4">
        <f>G4</f>
        <v>16</v>
      </c>
    </row>
    <row r="5" spans="1:10" x14ac:dyDescent="0.45">
      <c r="A5" s="6" t="s">
        <v>29</v>
      </c>
      <c r="B5" t="s">
        <v>31</v>
      </c>
      <c r="C5">
        <f>COUNTIFS('Coded Passages'!$B:$B,$A5,'Coded Passages'!$K:$K,"Debate presidencial")</f>
        <v>0</v>
      </c>
      <c r="D5">
        <f>COUNTIFS('Coded Passages'!$B:$B,$A5,'Coded Passages'!$K:$K,"Foro económico internacional")</f>
        <v>10</v>
      </c>
      <c r="E5">
        <f>COUNTIFS('Coded Passages'!$B:$B,$A5,'Coded Passages'!$K:$K,"Acto institucional")</f>
        <v>2</v>
      </c>
      <c r="F5">
        <f>COUNTIFS('Coded Passages'!$B:$B,$A5,'Coded Passages'!$K:$K,"Cumbre internacional")</f>
        <v>5</v>
      </c>
      <c r="G5">
        <f>SUM(C5:F5)</f>
        <v>17</v>
      </c>
      <c r="I5" t="s">
        <v>29</v>
      </c>
      <c r="J5">
        <f>G5</f>
        <v>17</v>
      </c>
    </row>
    <row r="6" spans="1:10" x14ac:dyDescent="0.45">
      <c r="A6" s="6" t="s">
        <v>212</v>
      </c>
      <c r="B6" t="s">
        <v>235</v>
      </c>
      <c r="C6">
        <f>COUNTIFS('Coded Passages'!$B:$B,$A6,'Coded Passages'!$K:$K,"Debate presidencial")</f>
        <v>0</v>
      </c>
      <c r="D6">
        <f>COUNTIFS('Coded Passages'!$B:$B,$A6,'Coded Passages'!$K:$K,"Foro económico internacional")</f>
        <v>0</v>
      </c>
      <c r="E6">
        <f>COUNTIFS('Coded Passages'!$B:$B,$A6,'Coded Passages'!$K:$K,"Acto institucional")</f>
        <v>0</v>
      </c>
      <c r="F6">
        <f>COUNTIFS('Coded Passages'!$B:$B,$A6,'Coded Passages'!$K:$K,"Cumbre internacional")</f>
        <v>0</v>
      </c>
      <c r="G6">
        <f>SUM(C6:F6)</f>
        <v>0</v>
      </c>
      <c r="I6" t="s">
        <v>212</v>
      </c>
      <c r="J6">
        <f>G6</f>
        <v>0</v>
      </c>
    </row>
    <row r="7" spans="1:10" x14ac:dyDescent="0.45">
      <c r="A7" s="6" t="s">
        <v>210</v>
      </c>
      <c r="B7" s="6" t="s">
        <v>213</v>
      </c>
      <c r="C7" s="6">
        <f>SUM(C3:C6)</f>
        <v>3</v>
      </c>
      <c r="D7" s="6">
        <f>SUM(D3:D6)</f>
        <v>45</v>
      </c>
      <c r="E7" s="6">
        <f>SUM(E3:E6)</f>
        <v>15</v>
      </c>
      <c r="F7" s="6">
        <f>SUM(F3:F6)</f>
        <v>25</v>
      </c>
      <c r="G7" s="6">
        <f>SUM(G3:G6)</f>
        <v>88</v>
      </c>
    </row>
    <row r="29" spans="1:7" x14ac:dyDescent="0.45">
      <c r="A29" s="11" t="s">
        <v>242</v>
      </c>
      <c r="B29" s="9"/>
      <c r="C29" s="9"/>
      <c r="D29" s="9"/>
      <c r="E29" s="9"/>
      <c r="F29" s="9"/>
      <c r="G29" s="9"/>
    </row>
    <row r="30" spans="1:7" x14ac:dyDescent="0.45">
      <c r="A30" s="7" t="s">
        <v>215</v>
      </c>
      <c r="B30" s="7" t="s">
        <v>216</v>
      </c>
      <c r="C30" s="7" t="s">
        <v>21</v>
      </c>
      <c r="D30" s="7" t="s">
        <v>37</v>
      </c>
      <c r="E30" s="7" t="s">
        <v>83</v>
      </c>
      <c r="F30" s="7" t="s">
        <v>93</v>
      </c>
      <c r="G30" s="7" t="s">
        <v>210</v>
      </c>
    </row>
    <row r="31" spans="1:7" x14ac:dyDescent="0.45">
      <c r="A31" t="s">
        <v>23</v>
      </c>
      <c r="B31" t="s">
        <v>39</v>
      </c>
      <c r="C31">
        <f>COUNTIFS('Coded Passages'!$B:$B,$A31,'Coded Passages'!$C:$C,$B31,'Coded Passages'!$K:$K,"Debate presidencial")</f>
        <v>0</v>
      </c>
      <c r="D31">
        <f>COUNTIFS('Coded Passages'!$B:$B,$A31,'Coded Passages'!$C:$C,$B31,'Coded Passages'!$K:$K,"Foro económico internacional")</f>
        <v>2</v>
      </c>
      <c r="E31">
        <f>COUNTIFS('Coded Passages'!$B:$B,$A31,'Coded Passages'!$C:$C,$B31,'Coded Passages'!$K:$K,"Acto institucional")</f>
        <v>2</v>
      </c>
      <c r="F31">
        <f>COUNTIFS('Coded Passages'!$B:$B,$A31,'Coded Passages'!$C:$C,$B31,'Coded Passages'!$K:$K,"Cumbre internacional")</f>
        <v>0</v>
      </c>
      <c r="G31">
        <f t="shared" ref="G31:G44" si="0">SUM(C31:F31)</f>
        <v>4</v>
      </c>
    </row>
    <row r="32" spans="1:7" x14ac:dyDescent="0.45">
      <c r="A32" t="s">
        <v>23</v>
      </c>
      <c r="B32" t="s">
        <v>60</v>
      </c>
      <c r="C32">
        <f>COUNTIFS('Coded Passages'!$B:$B,$A32,'Coded Passages'!$C:$C,$B32,'Coded Passages'!$K:$K,"Debate presidencial")</f>
        <v>0</v>
      </c>
      <c r="D32">
        <f>COUNTIFS('Coded Passages'!$B:$B,$A32,'Coded Passages'!$C:$C,$B32,'Coded Passages'!$K:$K,"Foro económico internacional")</f>
        <v>1</v>
      </c>
      <c r="E32">
        <f>COUNTIFS('Coded Passages'!$B:$B,$A32,'Coded Passages'!$C:$C,$B32,'Coded Passages'!$K:$K,"Acto institucional")</f>
        <v>1</v>
      </c>
      <c r="F32">
        <f>COUNTIFS('Coded Passages'!$B:$B,$A32,'Coded Passages'!$C:$C,$B32,'Coded Passages'!$K:$K,"Cumbre internacional")</f>
        <v>3</v>
      </c>
      <c r="G32">
        <f t="shared" si="0"/>
        <v>5</v>
      </c>
    </row>
    <row r="33" spans="1:7" x14ac:dyDescent="0.45">
      <c r="A33" t="s">
        <v>23</v>
      </c>
      <c r="B33" t="s">
        <v>52</v>
      </c>
      <c r="C33">
        <f>COUNTIFS('Coded Passages'!$B:$B,$A33,'Coded Passages'!$C:$C,$B33,'Coded Passages'!$K:$K,"Debate presidencial")</f>
        <v>0</v>
      </c>
      <c r="D33">
        <f>COUNTIFS('Coded Passages'!$B:$B,$A33,'Coded Passages'!$C:$C,$B33,'Coded Passages'!$K:$K,"Foro económico internacional")</f>
        <v>12</v>
      </c>
      <c r="E33">
        <f>COUNTIFS('Coded Passages'!$B:$B,$A33,'Coded Passages'!$C:$C,$B33,'Coded Passages'!$K:$K,"Acto institucional")</f>
        <v>5</v>
      </c>
      <c r="F33">
        <f>COUNTIFS('Coded Passages'!$B:$B,$A33,'Coded Passages'!$C:$C,$B33,'Coded Passages'!$K:$K,"Cumbre internacional")</f>
        <v>1</v>
      </c>
      <c r="G33">
        <f t="shared" si="0"/>
        <v>18</v>
      </c>
    </row>
    <row r="34" spans="1:7" x14ac:dyDescent="0.45">
      <c r="A34" t="s">
        <v>23</v>
      </c>
      <c r="B34" t="s">
        <v>41</v>
      </c>
      <c r="C34">
        <f>COUNTIFS('Coded Passages'!$B:$B,$A34,'Coded Passages'!$C:$C,$B34,'Coded Passages'!$K:$K,"Debate presidencial")</f>
        <v>0</v>
      </c>
      <c r="D34">
        <f>COUNTIFS('Coded Passages'!$B:$B,$A34,'Coded Passages'!$C:$C,$B34,'Coded Passages'!$K:$K,"Foro económico internacional")</f>
        <v>5</v>
      </c>
      <c r="E34">
        <f>COUNTIFS('Coded Passages'!$B:$B,$A34,'Coded Passages'!$C:$C,$B34,'Coded Passages'!$K:$K,"Acto institucional")</f>
        <v>1</v>
      </c>
      <c r="F34">
        <f>COUNTIFS('Coded Passages'!$B:$B,$A34,'Coded Passages'!$C:$C,$B34,'Coded Passages'!$K:$K,"Cumbre internacional")</f>
        <v>0</v>
      </c>
      <c r="G34">
        <f t="shared" si="0"/>
        <v>6</v>
      </c>
    </row>
    <row r="35" spans="1:7" x14ac:dyDescent="0.45">
      <c r="A35" t="s">
        <v>23</v>
      </c>
      <c r="B35" t="s">
        <v>69</v>
      </c>
      <c r="C35">
        <f>COUNTIFS('Coded Passages'!$B:$B,$A35,'Coded Passages'!$C:$C,$B35,'Coded Passages'!$K:$K,"Debate presidencial")</f>
        <v>0</v>
      </c>
      <c r="D35">
        <f>COUNTIFS('Coded Passages'!$B:$B,$A35,'Coded Passages'!$C:$C,$B35,'Coded Passages'!$K:$K,"Foro económico internacional")</f>
        <v>4</v>
      </c>
      <c r="E35">
        <f>COUNTIFS('Coded Passages'!$B:$B,$A35,'Coded Passages'!$C:$C,$B35,'Coded Passages'!$K:$K,"Acto institucional")</f>
        <v>2</v>
      </c>
      <c r="F35">
        <f>COUNTIFS('Coded Passages'!$B:$B,$A35,'Coded Passages'!$C:$C,$B35,'Coded Passages'!$K:$K,"Cumbre internacional")</f>
        <v>9</v>
      </c>
      <c r="G35">
        <f t="shared" si="0"/>
        <v>15</v>
      </c>
    </row>
    <row r="36" spans="1:7" x14ac:dyDescent="0.45">
      <c r="A36" t="s">
        <v>23</v>
      </c>
      <c r="B36" t="s">
        <v>24</v>
      </c>
      <c r="C36">
        <f>COUNTIFS('Coded Passages'!$B:$B,$A36,'Coded Passages'!$C:$C,$B36,'Coded Passages'!$K:$K,"Debate presidencial")</f>
        <v>1</v>
      </c>
      <c r="D36">
        <f>COUNTIFS('Coded Passages'!$B:$B,$A36,'Coded Passages'!$C:$C,$B36,'Coded Passages'!$K:$K,"Foro económico internacional")</f>
        <v>1</v>
      </c>
      <c r="E36">
        <f>COUNTIFS('Coded Passages'!$B:$B,$A36,'Coded Passages'!$C:$C,$B36,'Coded Passages'!$K:$K,"Acto institucional")</f>
        <v>1</v>
      </c>
      <c r="F36">
        <f>COUNTIFS('Coded Passages'!$B:$B,$A36,'Coded Passages'!$C:$C,$B36,'Coded Passages'!$K:$K,"Cumbre internacional")</f>
        <v>4</v>
      </c>
      <c r="G36">
        <f t="shared" si="0"/>
        <v>7</v>
      </c>
    </row>
    <row r="37" spans="1:7" x14ac:dyDescent="0.45">
      <c r="A37" t="s">
        <v>13</v>
      </c>
      <c r="B37" t="s">
        <v>77</v>
      </c>
      <c r="C37">
        <f>COUNTIFS('Coded Passages'!$B:$B,$A37,'Coded Passages'!$C:$C,$B37,'Coded Passages'!$K:$K,"Debate presidencial")</f>
        <v>0</v>
      </c>
      <c r="D37">
        <f>COUNTIFS('Coded Passages'!$B:$B,$A37,'Coded Passages'!$C:$C,$B37,'Coded Passages'!$K:$K,"Foro económico internacional")</f>
        <v>2</v>
      </c>
      <c r="E37">
        <f>COUNTIFS('Coded Passages'!$B:$B,$A37,'Coded Passages'!$C:$C,$B37,'Coded Passages'!$K:$K,"Acto institucional")</f>
        <v>1</v>
      </c>
      <c r="F37">
        <f>COUNTIFS('Coded Passages'!$B:$B,$A37,'Coded Passages'!$C:$C,$B37,'Coded Passages'!$K:$K,"Cumbre internacional")</f>
        <v>0</v>
      </c>
      <c r="G37">
        <f t="shared" si="0"/>
        <v>3</v>
      </c>
    </row>
    <row r="38" spans="1:7" x14ac:dyDescent="0.45">
      <c r="A38" t="s">
        <v>13</v>
      </c>
      <c r="B38" t="s">
        <v>27</v>
      </c>
      <c r="C38">
        <f>COUNTIFS('Coded Passages'!$B:$B,$A38,'Coded Passages'!$C:$C,$B38,'Coded Passages'!$K:$K,"Debate presidencial")</f>
        <v>1</v>
      </c>
      <c r="D38">
        <f>COUNTIFS('Coded Passages'!$B:$B,$A38,'Coded Passages'!$C:$C,$B38,'Coded Passages'!$K:$K,"Foro económico internacional")</f>
        <v>2</v>
      </c>
      <c r="E38">
        <f>COUNTIFS('Coded Passages'!$B:$B,$A38,'Coded Passages'!$C:$C,$B38,'Coded Passages'!$K:$K,"Acto institucional")</f>
        <v>0</v>
      </c>
      <c r="F38">
        <f>COUNTIFS('Coded Passages'!$B:$B,$A38,'Coded Passages'!$C:$C,$B38,'Coded Passages'!$K:$K,"Cumbre internacional")</f>
        <v>3</v>
      </c>
      <c r="G38">
        <f t="shared" si="0"/>
        <v>6</v>
      </c>
    </row>
    <row r="39" spans="1:7" x14ac:dyDescent="0.45">
      <c r="A39" t="s">
        <v>13</v>
      </c>
      <c r="B39" t="s">
        <v>14</v>
      </c>
      <c r="C39">
        <f>COUNTIFS('Coded Passages'!$B:$B,$A39,'Coded Passages'!$C:$C,$B39,'Coded Passages'!$K:$K,"Debate presidencial")</f>
        <v>1</v>
      </c>
      <c r="D39">
        <f>COUNTIFS('Coded Passages'!$B:$B,$A39,'Coded Passages'!$C:$C,$B39,'Coded Passages'!$K:$K,"Foro económico internacional")</f>
        <v>1</v>
      </c>
      <c r="E39">
        <f>COUNTIFS('Coded Passages'!$B:$B,$A39,'Coded Passages'!$C:$C,$B39,'Coded Passages'!$K:$K,"Acto institucional")</f>
        <v>0</v>
      </c>
      <c r="F39">
        <f>COUNTIFS('Coded Passages'!$B:$B,$A39,'Coded Passages'!$C:$C,$B39,'Coded Passages'!$K:$K,"Cumbre internacional")</f>
        <v>0</v>
      </c>
      <c r="G39">
        <f t="shared" si="0"/>
        <v>2</v>
      </c>
    </row>
    <row r="40" spans="1:7" x14ac:dyDescent="0.45">
      <c r="A40" t="s">
        <v>13</v>
      </c>
      <c r="B40" t="s">
        <v>49</v>
      </c>
      <c r="C40">
        <f>COUNTIFS('Coded Passages'!$B:$B,$A40,'Coded Passages'!$C:$C,$B40,'Coded Passages'!$K:$K,"Debate presidencial")</f>
        <v>0</v>
      </c>
      <c r="D40">
        <f>COUNTIFS('Coded Passages'!$B:$B,$A40,'Coded Passages'!$C:$C,$B40,'Coded Passages'!$K:$K,"Foro económico internacional")</f>
        <v>3</v>
      </c>
      <c r="E40">
        <f>COUNTIFS('Coded Passages'!$B:$B,$A40,'Coded Passages'!$C:$C,$B40,'Coded Passages'!$K:$K,"Acto institucional")</f>
        <v>0</v>
      </c>
      <c r="F40">
        <f>COUNTIFS('Coded Passages'!$B:$B,$A40,'Coded Passages'!$C:$C,$B40,'Coded Passages'!$K:$K,"Cumbre internacional")</f>
        <v>0</v>
      </c>
      <c r="G40">
        <f t="shared" si="0"/>
        <v>3</v>
      </c>
    </row>
    <row r="41" spans="1:7" x14ac:dyDescent="0.45">
      <c r="A41" t="s">
        <v>13</v>
      </c>
      <c r="B41" t="s">
        <v>44</v>
      </c>
      <c r="C41">
        <f>COUNTIFS('Coded Passages'!$B:$B,$A41,'Coded Passages'!$C:$C,$B41,'Coded Passages'!$K:$K,"Debate presidencial")</f>
        <v>0</v>
      </c>
      <c r="D41">
        <f>COUNTIFS('Coded Passages'!$B:$B,$A41,'Coded Passages'!$C:$C,$B41,'Coded Passages'!$K:$K,"Foro económico internacional")</f>
        <v>2</v>
      </c>
      <c r="E41">
        <f>COUNTIFS('Coded Passages'!$B:$B,$A41,'Coded Passages'!$C:$C,$B41,'Coded Passages'!$K:$K,"Acto institucional")</f>
        <v>0</v>
      </c>
      <c r="F41">
        <f>COUNTIFS('Coded Passages'!$B:$B,$A41,'Coded Passages'!$C:$C,$B41,'Coded Passages'!$K:$K,"Cumbre internacional")</f>
        <v>0</v>
      </c>
      <c r="G41">
        <f t="shared" si="0"/>
        <v>2</v>
      </c>
    </row>
    <row r="42" spans="1:7" x14ac:dyDescent="0.45">
      <c r="A42" t="s">
        <v>29</v>
      </c>
      <c r="B42" t="s">
        <v>30</v>
      </c>
      <c r="C42">
        <f>COUNTIFS('Coded Passages'!$B:$B,$A42,'Coded Passages'!$C:$C,$B42,'Coded Passages'!$K:$K,"Debate presidencial")</f>
        <v>0</v>
      </c>
      <c r="D42">
        <f>COUNTIFS('Coded Passages'!$B:$B,$A42,'Coded Passages'!$C:$C,$B42,'Coded Passages'!$K:$K,"Foro económico internacional")</f>
        <v>4</v>
      </c>
      <c r="E42">
        <f>COUNTIFS('Coded Passages'!$B:$B,$A42,'Coded Passages'!$C:$C,$B42,'Coded Passages'!$K:$K,"Acto institucional")</f>
        <v>1</v>
      </c>
      <c r="F42">
        <f>COUNTIFS('Coded Passages'!$B:$B,$A42,'Coded Passages'!$C:$C,$B42,'Coded Passages'!$K:$K,"Cumbre internacional")</f>
        <v>3</v>
      </c>
      <c r="G42">
        <f t="shared" si="0"/>
        <v>8</v>
      </c>
    </row>
    <row r="43" spans="1:7" x14ac:dyDescent="0.45">
      <c r="A43" t="s">
        <v>29</v>
      </c>
      <c r="B43" t="s">
        <v>120</v>
      </c>
      <c r="C43">
        <f>COUNTIFS('Coded Passages'!$B:$B,$A43,'Coded Passages'!$C:$C,$B43,'Coded Passages'!$K:$K,"Debate presidencial")</f>
        <v>0</v>
      </c>
      <c r="D43">
        <f>COUNTIFS('Coded Passages'!$B:$B,$A43,'Coded Passages'!$C:$C,$B43,'Coded Passages'!$K:$K,"Foro económico internacional")</f>
        <v>3</v>
      </c>
      <c r="E43">
        <f>COUNTIFS('Coded Passages'!$B:$B,$A43,'Coded Passages'!$C:$C,$B43,'Coded Passages'!$K:$K,"Acto institucional")</f>
        <v>1</v>
      </c>
      <c r="F43">
        <f>COUNTIFS('Coded Passages'!$B:$B,$A43,'Coded Passages'!$C:$C,$B43,'Coded Passages'!$K:$K,"Cumbre internacional")</f>
        <v>0</v>
      </c>
      <c r="G43">
        <f t="shared" si="0"/>
        <v>4</v>
      </c>
    </row>
    <row r="44" spans="1:7" x14ac:dyDescent="0.45">
      <c r="A44" t="s">
        <v>29</v>
      </c>
      <c r="B44" t="s">
        <v>64</v>
      </c>
      <c r="C44">
        <f>COUNTIFS('Coded Passages'!$B:$B,$A44,'Coded Passages'!$C:$C,$B44,'Coded Passages'!$K:$K,"Debate presidencial")</f>
        <v>0</v>
      </c>
      <c r="D44">
        <f>COUNTIFS('Coded Passages'!$B:$B,$A44,'Coded Passages'!$C:$C,$B44,'Coded Passages'!$K:$K,"Foro económico internacional")</f>
        <v>3</v>
      </c>
      <c r="E44">
        <f>COUNTIFS('Coded Passages'!$B:$B,$A44,'Coded Passages'!$C:$C,$B44,'Coded Passages'!$K:$K,"Acto institucional")</f>
        <v>0</v>
      </c>
      <c r="F44">
        <f>COUNTIFS('Coded Passages'!$B:$B,$A44,'Coded Passages'!$C:$C,$B44,'Coded Passages'!$K:$K,"Cumbre internacional")</f>
        <v>2</v>
      </c>
      <c r="G44">
        <f t="shared" si="0"/>
        <v>5</v>
      </c>
    </row>
    <row r="45" spans="1:7" x14ac:dyDescent="0.45">
      <c r="A45" s="6" t="s">
        <v>210</v>
      </c>
      <c r="B45" s="6" t="s">
        <v>231</v>
      </c>
      <c r="C45" s="6">
        <f>SUM(C31:C44)</f>
        <v>3</v>
      </c>
      <c r="D45" s="6">
        <f>SUM(D31:D44)</f>
        <v>45</v>
      </c>
      <c r="E45" s="6">
        <f>SUM(E31:E44)</f>
        <v>15</v>
      </c>
      <c r="F45" s="6">
        <f>SUM(F31:F44)</f>
        <v>25</v>
      </c>
      <c r="G45" s="6">
        <f>SUM(G31:G44)</f>
        <v>88</v>
      </c>
    </row>
  </sheetData>
  <mergeCells count="2">
    <mergeCell ref="A1:G1"/>
    <mergeCell ref="A29:G29"/>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Coded Passages</vt:lpstr>
      <vt:lpstr>Freq — By Dimension</vt:lpstr>
      <vt:lpstr>Freq — By Sub-code</vt:lpstr>
      <vt:lpstr>Speech Overview</vt:lpstr>
      <vt:lpstr>Freq — By Scope</vt:lpstr>
      <vt:lpstr>Freq — By Venue 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Ignacio Arroyo</cp:lastModifiedBy>
  <dcterms:created xsi:type="dcterms:W3CDTF">2026-07-13T15:30:28Z</dcterms:created>
  <dcterms:modified xsi:type="dcterms:W3CDTF">2026-07-19T03:51:21Z</dcterms:modified>
</cp:coreProperties>
</file>