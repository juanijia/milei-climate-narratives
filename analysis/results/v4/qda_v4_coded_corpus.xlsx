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harts/chart4.xml" ContentType="application/vnd.openxmlformats-officedocument.drawingml.chart+xml"/>
  <Override PartName="/xl/charts/style2.xml" ContentType="application/vnd.ms-office.chartstyle+xml"/>
  <Override PartName="/xl/charts/colors2.xml" ContentType="application/vnd.ms-office.chartcolorstyle+xml"/>
  <Override PartName="/xl/charts/chart5.xml" ContentType="application/vnd.openxmlformats-officedocument.drawingml.chart+xml"/>
  <Override PartName="/xl/charts/style3.xml" ContentType="application/vnd.ms-office.chartstyle+xml"/>
  <Override PartName="/xl/charts/colors3.xml" ContentType="application/vnd.ms-office.chartcolorstyle+xml"/>
  <Override PartName="/xl/charts/chart6.xml" ContentType="application/vnd.openxmlformats-officedocument.drawingml.chart+xml"/>
  <Override PartName="/xl/charts/style4.xml" ContentType="application/vnd.ms-office.chartstyle+xml"/>
  <Override PartName="/xl/charts/colors4.xml" ContentType="application/vnd.ms-office.chartcolorstyle+xml"/>
  <Override PartName="/xl/charts/chart7.xml" ContentType="application/vnd.openxmlformats-officedocument.drawingml.chart+xml"/>
  <Override PartName="/xl/charts/style5.xml" ContentType="application/vnd.ms-office.chartstyle+xml"/>
  <Override PartName="/xl/charts/colors5.xml" ContentType="application/vnd.ms-office.chartcolorstyle+xml"/>
  <Override PartName="/xl/charts/chart8.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charts/chart9.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Juan Ignacio\.antigravity\projects\milei-climate-narratives\analysis\results\v4\"/>
    </mc:Choice>
  </mc:AlternateContent>
  <xr:revisionPtr revIDLastSave="0" documentId="8_{E2F54A57-6568-4446-A777-8CFA772BD574}" xr6:coauthVersionLast="47" xr6:coauthVersionMax="47" xr10:uidLastSave="{00000000-0000-0000-0000-000000000000}"/>
  <bookViews>
    <workbookView xWindow="-98" yWindow="-98" windowWidth="20715" windowHeight="13155" firstSheet="2" activeTab="3" xr2:uid="{00000000-000D-0000-FFFF-FFFF00000000}"/>
  </bookViews>
  <sheets>
    <sheet name="Coded Passages" sheetId="1" r:id="rId1"/>
    <sheet name="Freq — By Dimension" sheetId="2" r:id="rId2"/>
    <sheet name="Freq — By Sub-code" sheetId="3" r:id="rId3"/>
    <sheet name="Speech Overview" sheetId="4" r:id="rId4"/>
    <sheet name="Freq — By Scope" sheetId="5" r:id="rId5"/>
    <sheet name="Freq — By Venue Type" sheetId="6" r:id="rId6"/>
  </sheets>
  <definedNames>
    <definedName name="_xlnm._FilterDatabase" localSheetId="3" hidden="1">'Speech Overview'!$A$1:$J$1</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0" i="6" l="1"/>
  <c r="D48" i="6"/>
  <c r="E48" i="6"/>
  <c r="F48" i="6"/>
  <c r="G48" i="6"/>
  <c r="H48" i="6"/>
  <c r="D49" i="6"/>
  <c r="E49" i="6"/>
  <c r="F49" i="6"/>
  <c r="G49" i="6"/>
  <c r="H49" i="6"/>
  <c r="D50" i="6"/>
  <c r="E50" i="6"/>
  <c r="F50" i="6"/>
  <c r="G50" i="6"/>
  <c r="H50" i="6"/>
  <c r="D51" i="6"/>
  <c r="E51" i="6"/>
  <c r="F51" i="6"/>
  <c r="G51" i="6"/>
  <c r="H51" i="6"/>
  <c r="D52" i="6"/>
  <c r="E52" i="6"/>
  <c r="F52" i="6"/>
  <c r="G52" i="6"/>
  <c r="H52" i="6"/>
  <c r="D53" i="6"/>
  <c r="E53" i="6"/>
  <c r="F53" i="6"/>
  <c r="G53" i="6"/>
  <c r="H53" i="6"/>
  <c r="D54" i="6"/>
  <c r="E54" i="6"/>
  <c r="F54" i="6"/>
  <c r="G54" i="6"/>
  <c r="H54" i="6"/>
  <c r="D55" i="6"/>
  <c r="E55" i="6"/>
  <c r="F55" i="6"/>
  <c r="G55" i="6"/>
  <c r="H55" i="6"/>
  <c r="D56" i="6"/>
  <c r="E56" i="6"/>
  <c r="F56" i="6"/>
  <c r="G56" i="6"/>
  <c r="H56" i="6"/>
  <c r="D57" i="6"/>
  <c r="E57" i="6"/>
  <c r="F57" i="6"/>
  <c r="G57" i="6"/>
  <c r="H57" i="6"/>
  <c r="D58" i="6"/>
  <c r="E58" i="6"/>
  <c r="F58" i="6"/>
  <c r="G58" i="6"/>
  <c r="H58" i="6"/>
  <c r="D59" i="6"/>
  <c r="E59" i="6"/>
  <c r="F59" i="6"/>
  <c r="G59" i="6"/>
  <c r="H59" i="6"/>
  <c r="D60" i="6"/>
  <c r="E60" i="6"/>
  <c r="F60" i="6"/>
  <c r="G60" i="6"/>
  <c r="H60" i="6"/>
  <c r="D61" i="6"/>
  <c r="E61" i="6"/>
  <c r="F61" i="6"/>
  <c r="G61" i="6"/>
  <c r="H61" i="6"/>
  <c r="C49" i="6"/>
  <c r="C50" i="6"/>
  <c r="C51" i="6"/>
  <c r="C52" i="6"/>
  <c r="C53" i="6"/>
  <c r="C54" i="6"/>
  <c r="C55" i="6"/>
  <c r="C56" i="6"/>
  <c r="C57" i="6"/>
  <c r="C58" i="6"/>
  <c r="C59" i="6"/>
  <c r="C61" i="6"/>
  <c r="C48" i="6"/>
  <c r="H43" i="6"/>
  <c r="G43" i="6"/>
  <c r="F43" i="6"/>
  <c r="E43" i="6"/>
  <c r="D43" i="6"/>
  <c r="C43" i="6"/>
  <c r="I43" i="6" s="1"/>
  <c r="H42" i="6"/>
  <c r="G42" i="6"/>
  <c r="F42" i="6"/>
  <c r="E42" i="6"/>
  <c r="D42" i="6"/>
  <c r="C42" i="6"/>
  <c r="H41" i="6"/>
  <c r="G41" i="6"/>
  <c r="F41" i="6"/>
  <c r="E41" i="6"/>
  <c r="D41" i="6"/>
  <c r="C41" i="6"/>
  <c r="H40" i="6"/>
  <c r="G40" i="6"/>
  <c r="F40" i="6"/>
  <c r="E40" i="6"/>
  <c r="D40" i="6"/>
  <c r="C40" i="6"/>
  <c r="H39" i="6"/>
  <c r="G39" i="6"/>
  <c r="F39" i="6"/>
  <c r="E39" i="6"/>
  <c r="D39" i="6"/>
  <c r="C39" i="6"/>
  <c r="H38" i="6"/>
  <c r="G38" i="6"/>
  <c r="F38" i="6"/>
  <c r="E38" i="6"/>
  <c r="D38" i="6"/>
  <c r="C38" i="6"/>
  <c r="H37" i="6"/>
  <c r="G37" i="6"/>
  <c r="F37" i="6"/>
  <c r="E37" i="6"/>
  <c r="D37" i="6"/>
  <c r="C37" i="6"/>
  <c r="H36" i="6"/>
  <c r="G36" i="6"/>
  <c r="F36" i="6"/>
  <c r="E36" i="6"/>
  <c r="D36" i="6"/>
  <c r="C36" i="6"/>
  <c r="H35" i="6"/>
  <c r="G35" i="6"/>
  <c r="F35" i="6"/>
  <c r="E35" i="6"/>
  <c r="D35" i="6"/>
  <c r="C35" i="6"/>
  <c r="I35" i="6" s="1"/>
  <c r="H34" i="6"/>
  <c r="G34" i="6"/>
  <c r="F34" i="6"/>
  <c r="E34" i="6"/>
  <c r="D34" i="6"/>
  <c r="C34" i="6"/>
  <c r="H33" i="6"/>
  <c r="G33" i="6"/>
  <c r="F33" i="6"/>
  <c r="E33" i="6"/>
  <c r="D33" i="6"/>
  <c r="C33" i="6"/>
  <c r="H32" i="6"/>
  <c r="G32" i="6"/>
  <c r="F32" i="6"/>
  <c r="E32" i="6"/>
  <c r="D32" i="6"/>
  <c r="C32" i="6"/>
  <c r="H31" i="6"/>
  <c r="G31" i="6"/>
  <c r="F31" i="6"/>
  <c r="E31" i="6"/>
  <c r="D31" i="6"/>
  <c r="C31" i="6"/>
  <c r="H30" i="6"/>
  <c r="G30" i="6"/>
  <c r="F30" i="6"/>
  <c r="E30" i="6"/>
  <c r="D30" i="6"/>
  <c r="C30" i="6"/>
  <c r="C6" i="6"/>
  <c r="H5" i="6"/>
  <c r="G5" i="6"/>
  <c r="F5" i="6"/>
  <c r="E5" i="6"/>
  <c r="D5" i="6"/>
  <c r="C5" i="6"/>
  <c r="I5" i="6" s="1"/>
  <c r="H4" i="6"/>
  <c r="H6" i="6" s="1"/>
  <c r="G4" i="6"/>
  <c r="F4" i="6"/>
  <c r="E4" i="6"/>
  <c r="D4" i="6"/>
  <c r="C4" i="6"/>
  <c r="H3" i="6"/>
  <c r="G3" i="6"/>
  <c r="G6" i="6" s="1"/>
  <c r="F3" i="6"/>
  <c r="E3" i="6"/>
  <c r="D3" i="6"/>
  <c r="D6" i="6" s="1"/>
  <c r="C3" i="6"/>
  <c r="D43" i="5"/>
  <c r="C43" i="5"/>
  <c r="E43" i="5" s="1"/>
  <c r="D42" i="5"/>
  <c r="C42" i="5"/>
  <c r="E42" i="5" s="1"/>
  <c r="D41" i="5"/>
  <c r="C41" i="5"/>
  <c r="D40" i="5"/>
  <c r="C40" i="5"/>
  <c r="D39" i="5"/>
  <c r="C39" i="5"/>
  <c r="E39" i="5" s="1"/>
  <c r="D38" i="5"/>
  <c r="C38" i="5"/>
  <c r="E38" i="5" s="1"/>
  <c r="D37" i="5"/>
  <c r="C37" i="5"/>
  <c r="D36" i="5"/>
  <c r="E36" i="5" s="1"/>
  <c r="C36" i="5"/>
  <c r="D35" i="5"/>
  <c r="C35" i="5"/>
  <c r="E34" i="5"/>
  <c r="D34" i="5"/>
  <c r="C34" i="5"/>
  <c r="D33" i="5"/>
  <c r="C33" i="5"/>
  <c r="D32" i="5"/>
  <c r="C32" i="5"/>
  <c r="E32" i="5" s="1"/>
  <c r="D31" i="5"/>
  <c r="E31" i="5" s="1"/>
  <c r="C31" i="5"/>
  <c r="D30" i="5"/>
  <c r="C30" i="5"/>
  <c r="D5" i="5"/>
  <c r="C5" i="5"/>
  <c r="E5" i="5" s="1"/>
  <c r="E4" i="5"/>
  <c r="D4" i="5"/>
  <c r="C4" i="5"/>
  <c r="D3" i="5"/>
  <c r="D6" i="5" s="1"/>
  <c r="C3" i="5"/>
  <c r="I4" i="4"/>
  <c r="H4" i="4"/>
  <c r="G4" i="4"/>
  <c r="I133" i="4"/>
  <c r="H133" i="4"/>
  <c r="G133" i="4"/>
  <c r="J133" i="4" s="1"/>
  <c r="I94" i="4"/>
  <c r="H94" i="4"/>
  <c r="G94" i="4"/>
  <c r="I170" i="4"/>
  <c r="H170" i="4"/>
  <c r="G170" i="4"/>
  <c r="I93" i="4"/>
  <c r="H93" i="4"/>
  <c r="G93" i="4"/>
  <c r="I169" i="4"/>
  <c r="H169" i="4"/>
  <c r="G169" i="4"/>
  <c r="I132" i="4"/>
  <c r="H132" i="4"/>
  <c r="G132" i="4"/>
  <c r="I131" i="4"/>
  <c r="H131" i="4"/>
  <c r="G131" i="4"/>
  <c r="I130" i="4"/>
  <c r="H130" i="4"/>
  <c r="G130" i="4"/>
  <c r="I168" i="4"/>
  <c r="H168" i="4"/>
  <c r="G168" i="4"/>
  <c r="I46" i="4"/>
  <c r="H46" i="4"/>
  <c r="G46" i="4"/>
  <c r="I167" i="4"/>
  <c r="H167" i="4"/>
  <c r="G167" i="4"/>
  <c r="I166" i="4"/>
  <c r="H166" i="4"/>
  <c r="G166" i="4"/>
  <c r="I2" i="4"/>
  <c r="H2" i="4"/>
  <c r="G2" i="4"/>
  <c r="I165" i="4"/>
  <c r="H165" i="4"/>
  <c r="G165" i="4"/>
  <c r="I129" i="4"/>
  <c r="H129" i="4"/>
  <c r="G129" i="4"/>
  <c r="I23" i="4"/>
  <c r="H23" i="4"/>
  <c r="G23" i="4"/>
  <c r="I164" i="4"/>
  <c r="H164" i="4"/>
  <c r="G164" i="4"/>
  <c r="I9" i="4"/>
  <c r="H9" i="4"/>
  <c r="G9" i="4"/>
  <c r="I163" i="4"/>
  <c r="H163" i="4"/>
  <c r="G163" i="4"/>
  <c r="I128" i="4"/>
  <c r="H128" i="4"/>
  <c r="G128" i="4"/>
  <c r="I66" i="4"/>
  <c r="H66" i="4"/>
  <c r="G66" i="4"/>
  <c r="I162" i="4"/>
  <c r="H162" i="4"/>
  <c r="G162" i="4"/>
  <c r="I127" i="4"/>
  <c r="H127" i="4"/>
  <c r="G127" i="4"/>
  <c r="I161" i="4"/>
  <c r="H161" i="4"/>
  <c r="G161" i="4"/>
  <c r="I22" i="4"/>
  <c r="H22" i="4"/>
  <c r="G22" i="4"/>
  <c r="I126" i="4"/>
  <c r="H126" i="4"/>
  <c r="G126" i="4"/>
  <c r="I45" i="4"/>
  <c r="H45" i="4"/>
  <c r="G45" i="4"/>
  <c r="I125" i="4"/>
  <c r="H125" i="4"/>
  <c r="G125" i="4"/>
  <c r="I124" i="4"/>
  <c r="H124" i="4"/>
  <c r="G124" i="4"/>
  <c r="I32" i="4"/>
  <c r="H32" i="4"/>
  <c r="G32" i="4"/>
  <c r="I123" i="4"/>
  <c r="H123" i="4"/>
  <c r="G123" i="4"/>
  <c r="I44" i="4"/>
  <c r="H44" i="4"/>
  <c r="G44" i="4"/>
  <c r="I92" i="4"/>
  <c r="H92" i="4"/>
  <c r="G92" i="4"/>
  <c r="I91" i="4"/>
  <c r="H91" i="4"/>
  <c r="G91" i="4"/>
  <c r="I122" i="4"/>
  <c r="H122" i="4"/>
  <c r="G122" i="4"/>
  <c r="I121" i="4"/>
  <c r="H121" i="4"/>
  <c r="G121" i="4"/>
  <c r="I160" i="4"/>
  <c r="H160" i="4"/>
  <c r="G160" i="4"/>
  <c r="I43" i="4"/>
  <c r="H43" i="4"/>
  <c r="G43" i="4"/>
  <c r="I159" i="4"/>
  <c r="H159" i="4"/>
  <c r="G159" i="4"/>
  <c r="I90" i="4"/>
  <c r="H90" i="4"/>
  <c r="G90" i="4"/>
  <c r="I7" i="4"/>
  <c r="H7" i="4"/>
  <c r="G7" i="4"/>
  <c r="I21" i="4"/>
  <c r="H21" i="4"/>
  <c r="G21" i="4"/>
  <c r="I158" i="4"/>
  <c r="H158" i="4"/>
  <c r="G158" i="4"/>
  <c r="I42" i="4"/>
  <c r="H42" i="4"/>
  <c r="G42" i="4"/>
  <c r="I157" i="4"/>
  <c r="H157" i="4"/>
  <c r="G157" i="4"/>
  <c r="I120" i="4"/>
  <c r="H120" i="4"/>
  <c r="G120" i="4"/>
  <c r="I119" i="4"/>
  <c r="H119" i="4"/>
  <c r="G119" i="4"/>
  <c r="I65" i="4"/>
  <c r="H65" i="4"/>
  <c r="G65" i="4"/>
  <c r="I118" i="4"/>
  <c r="H118" i="4"/>
  <c r="G118" i="4"/>
  <c r="I156" i="4"/>
  <c r="H156" i="4"/>
  <c r="G156" i="4"/>
  <c r="I117" i="4"/>
  <c r="H117" i="4"/>
  <c r="G117" i="4"/>
  <c r="I89" i="4"/>
  <c r="H89" i="4"/>
  <c r="G89" i="4"/>
  <c r="I116" i="4"/>
  <c r="H116" i="4"/>
  <c r="G116" i="4"/>
  <c r="I64" i="4"/>
  <c r="H64" i="4"/>
  <c r="G64" i="4"/>
  <c r="I63" i="4"/>
  <c r="H63" i="4"/>
  <c r="G63" i="4"/>
  <c r="I13" i="4"/>
  <c r="H13" i="4"/>
  <c r="G13" i="4"/>
  <c r="I41" i="4"/>
  <c r="H41" i="4"/>
  <c r="G41" i="4"/>
  <c r="I62" i="4"/>
  <c r="H62" i="4"/>
  <c r="G62" i="4"/>
  <c r="I61" i="4"/>
  <c r="H61" i="4"/>
  <c r="G61" i="4"/>
  <c r="I31" i="4"/>
  <c r="H31" i="4"/>
  <c r="G31" i="4"/>
  <c r="I88" i="4"/>
  <c r="H88" i="4"/>
  <c r="G88" i="4"/>
  <c r="I87" i="4"/>
  <c r="H87" i="4"/>
  <c r="G87" i="4"/>
  <c r="I155" i="4"/>
  <c r="H155" i="4"/>
  <c r="G155" i="4"/>
  <c r="I154" i="4"/>
  <c r="H154" i="4"/>
  <c r="G154" i="4"/>
  <c r="I153" i="4"/>
  <c r="H153" i="4"/>
  <c r="G153" i="4"/>
  <c r="I115" i="4"/>
  <c r="H115" i="4"/>
  <c r="G115" i="4"/>
  <c r="I8" i="4"/>
  <c r="H8" i="4"/>
  <c r="G8" i="4"/>
  <c r="I86" i="4"/>
  <c r="H86" i="4"/>
  <c r="G86" i="4"/>
  <c r="I85" i="4"/>
  <c r="H85" i="4"/>
  <c r="G85" i="4"/>
  <c r="I152" i="4"/>
  <c r="H152" i="4"/>
  <c r="G152" i="4"/>
  <c r="I114" i="4"/>
  <c r="H114" i="4"/>
  <c r="G114" i="4"/>
  <c r="I84" i="4"/>
  <c r="H84" i="4"/>
  <c r="G84" i="4"/>
  <c r="I83" i="4"/>
  <c r="H83" i="4"/>
  <c r="G83" i="4"/>
  <c r="I113" i="4"/>
  <c r="H113" i="4"/>
  <c r="G113" i="4"/>
  <c r="I112" i="4"/>
  <c r="H112" i="4"/>
  <c r="G112" i="4"/>
  <c r="I151" i="4"/>
  <c r="H151" i="4"/>
  <c r="G151" i="4"/>
  <c r="I111" i="4"/>
  <c r="H111" i="4"/>
  <c r="G111" i="4"/>
  <c r="I110" i="4"/>
  <c r="H110" i="4"/>
  <c r="G110" i="4"/>
  <c r="I60" i="4"/>
  <c r="H60" i="4"/>
  <c r="G60" i="4"/>
  <c r="I20" i="4"/>
  <c r="H20" i="4"/>
  <c r="G20" i="4"/>
  <c r="I19" i="4"/>
  <c r="H19" i="4"/>
  <c r="G19" i="4"/>
  <c r="I30" i="4"/>
  <c r="H30" i="4"/>
  <c r="G30" i="4"/>
  <c r="I150" i="4"/>
  <c r="H150" i="4"/>
  <c r="G150" i="4"/>
  <c r="I12" i="4"/>
  <c r="H12" i="4"/>
  <c r="G12" i="4"/>
  <c r="I109" i="4"/>
  <c r="H109" i="4"/>
  <c r="G109" i="4"/>
  <c r="I149" i="4"/>
  <c r="H149" i="4"/>
  <c r="G149" i="4"/>
  <c r="I108" i="4"/>
  <c r="H108" i="4"/>
  <c r="G108" i="4"/>
  <c r="I107" i="4"/>
  <c r="H107" i="4"/>
  <c r="G107" i="4"/>
  <c r="I106" i="4"/>
  <c r="H106" i="4"/>
  <c r="G106" i="4"/>
  <c r="I148" i="4"/>
  <c r="H148" i="4"/>
  <c r="G148" i="4"/>
  <c r="I147" i="4"/>
  <c r="H147" i="4"/>
  <c r="G147" i="4"/>
  <c r="I105" i="4"/>
  <c r="H105" i="4"/>
  <c r="G105" i="4"/>
  <c r="I59" i="4"/>
  <c r="H59" i="4"/>
  <c r="G59" i="4"/>
  <c r="I82" i="4"/>
  <c r="H82" i="4"/>
  <c r="G82" i="4"/>
  <c r="I146" i="4"/>
  <c r="H146" i="4"/>
  <c r="G146" i="4"/>
  <c r="I104" i="4"/>
  <c r="H104" i="4"/>
  <c r="G104" i="4"/>
  <c r="I81" i="4"/>
  <c r="H81" i="4"/>
  <c r="G81" i="4"/>
  <c r="I145" i="4"/>
  <c r="H145" i="4"/>
  <c r="G145" i="4"/>
  <c r="I18" i="4"/>
  <c r="H18" i="4"/>
  <c r="G18" i="4"/>
  <c r="I103" i="4"/>
  <c r="H103" i="4"/>
  <c r="G103" i="4"/>
  <c r="I144" i="4"/>
  <c r="H144" i="4"/>
  <c r="G144" i="4"/>
  <c r="I143" i="4"/>
  <c r="H143" i="4"/>
  <c r="G143" i="4"/>
  <c r="I80" i="4"/>
  <c r="H80" i="4"/>
  <c r="G80" i="4"/>
  <c r="I58" i="4"/>
  <c r="H58" i="4"/>
  <c r="G58" i="4"/>
  <c r="I57" i="4"/>
  <c r="H57" i="4"/>
  <c r="G57" i="4"/>
  <c r="I6" i="4"/>
  <c r="H6" i="4"/>
  <c r="G6" i="4"/>
  <c r="I56" i="4"/>
  <c r="H56" i="4"/>
  <c r="G56" i="4"/>
  <c r="I17" i="4"/>
  <c r="H17" i="4"/>
  <c r="G17" i="4"/>
  <c r="I55" i="4"/>
  <c r="H55" i="4"/>
  <c r="G55" i="4"/>
  <c r="I40" i="4"/>
  <c r="H40" i="4"/>
  <c r="G40" i="4"/>
  <c r="I142" i="4"/>
  <c r="H142" i="4"/>
  <c r="G142" i="4"/>
  <c r="I79" i="4"/>
  <c r="H79" i="4"/>
  <c r="G79" i="4"/>
  <c r="I141" i="4"/>
  <c r="H141" i="4"/>
  <c r="G141" i="4"/>
  <c r="I140" i="4"/>
  <c r="H140" i="4"/>
  <c r="G140" i="4"/>
  <c r="I102" i="4"/>
  <c r="H102" i="4"/>
  <c r="G102" i="4"/>
  <c r="I11" i="4"/>
  <c r="H11" i="4"/>
  <c r="G11" i="4"/>
  <c r="I139" i="4"/>
  <c r="H139" i="4"/>
  <c r="G139" i="4"/>
  <c r="I101" i="4"/>
  <c r="H101" i="4"/>
  <c r="G101" i="4"/>
  <c r="I78" i="4"/>
  <c r="H78" i="4"/>
  <c r="G78" i="4"/>
  <c r="I54" i="4"/>
  <c r="H54" i="4"/>
  <c r="G54" i="4"/>
  <c r="I5" i="4"/>
  <c r="H5" i="4"/>
  <c r="G5" i="4"/>
  <c r="I77" i="4"/>
  <c r="H77" i="4"/>
  <c r="G77" i="4"/>
  <c r="I29" i="4"/>
  <c r="H29" i="4"/>
  <c r="G29" i="4"/>
  <c r="I39" i="4"/>
  <c r="H39" i="4"/>
  <c r="G39" i="4"/>
  <c r="I16" i="4"/>
  <c r="H16" i="4"/>
  <c r="G16" i="4"/>
  <c r="I53" i="4"/>
  <c r="H53" i="4"/>
  <c r="G53" i="4"/>
  <c r="I10" i="4"/>
  <c r="H10" i="4"/>
  <c r="G10" i="4"/>
  <c r="I52" i="4"/>
  <c r="H52" i="4"/>
  <c r="G52" i="4"/>
  <c r="I138" i="4"/>
  <c r="H138" i="4"/>
  <c r="G138" i="4"/>
  <c r="I38" i="4"/>
  <c r="H38" i="4"/>
  <c r="G38" i="4"/>
  <c r="I37" i="4"/>
  <c r="H37" i="4"/>
  <c r="G37" i="4"/>
  <c r="I137" i="4"/>
  <c r="H137" i="4"/>
  <c r="G137" i="4"/>
  <c r="I28" i="4"/>
  <c r="H28" i="4"/>
  <c r="G28" i="4"/>
  <c r="I76" i="4"/>
  <c r="H76" i="4"/>
  <c r="G76" i="4"/>
  <c r="I36" i="4"/>
  <c r="H36" i="4"/>
  <c r="G36" i="4"/>
  <c r="I27" i="4"/>
  <c r="H27" i="4"/>
  <c r="G27" i="4"/>
  <c r="I26" i="4"/>
  <c r="H26" i="4"/>
  <c r="G26" i="4"/>
  <c r="I100" i="4"/>
  <c r="H100" i="4"/>
  <c r="G100" i="4"/>
  <c r="I136" i="4"/>
  <c r="H136" i="4"/>
  <c r="G136" i="4"/>
  <c r="I99" i="4"/>
  <c r="H99" i="4"/>
  <c r="G99" i="4"/>
  <c r="I75" i="4"/>
  <c r="H75" i="4"/>
  <c r="G75" i="4"/>
  <c r="I51" i="4"/>
  <c r="H51" i="4"/>
  <c r="G51" i="4"/>
  <c r="I98" i="4"/>
  <c r="H98" i="4"/>
  <c r="G98" i="4"/>
  <c r="I74" i="4"/>
  <c r="H74" i="4"/>
  <c r="G74" i="4"/>
  <c r="I73" i="4"/>
  <c r="H73" i="4"/>
  <c r="G73" i="4"/>
  <c r="I97" i="4"/>
  <c r="H97" i="4"/>
  <c r="G97" i="4"/>
  <c r="I72" i="4"/>
  <c r="H72" i="4"/>
  <c r="G72" i="4"/>
  <c r="I25" i="4"/>
  <c r="H25" i="4"/>
  <c r="G25" i="4"/>
  <c r="I96" i="4"/>
  <c r="H96" i="4"/>
  <c r="G96" i="4"/>
  <c r="I35" i="4"/>
  <c r="H35" i="4"/>
  <c r="G35" i="4"/>
  <c r="I34" i="4"/>
  <c r="H34" i="4"/>
  <c r="G34" i="4"/>
  <c r="I15" i="4"/>
  <c r="H15" i="4"/>
  <c r="G15" i="4"/>
  <c r="I50" i="4"/>
  <c r="H50" i="4"/>
  <c r="G50" i="4"/>
  <c r="I49" i="4"/>
  <c r="H49" i="4"/>
  <c r="G49" i="4"/>
  <c r="I48" i="4"/>
  <c r="H48" i="4"/>
  <c r="G48" i="4"/>
  <c r="I71" i="4"/>
  <c r="H71" i="4"/>
  <c r="G71" i="4"/>
  <c r="I70" i="4"/>
  <c r="H70" i="4"/>
  <c r="G70" i="4"/>
  <c r="I135" i="4"/>
  <c r="H135" i="4"/>
  <c r="G135" i="4"/>
  <c r="I134" i="4"/>
  <c r="H134" i="4"/>
  <c r="G134" i="4"/>
  <c r="I47" i="4"/>
  <c r="H47" i="4"/>
  <c r="G47" i="4"/>
  <c r="I95" i="4"/>
  <c r="H95" i="4"/>
  <c r="G95" i="4"/>
  <c r="I69" i="4"/>
  <c r="H69" i="4"/>
  <c r="G69" i="4"/>
  <c r="I24" i="4"/>
  <c r="H24" i="4"/>
  <c r="G24" i="4"/>
  <c r="I3" i="4"/>
  <c r="H3" i="4"/>
  <c r="G3" i="4"/>
  <c r="I68" i="4"/>
  <c r="H68" i="4"/>
  <c r="G68" i="4"/>
  <c r="I14" i="4"/>
  <c r="H14" i="4"/>
  <c r="G14" i="4"/>
  <c r="I33" i="4"/>
  <c r="H33" i="4"/>
  <c r="G33" i="4"/>
  <c r="I67" i="4"/>
  <c r="H67" i="4"/>
  <c r="G67" i="4"/>
  <c r="FO16" i="3"/>
  <c r="FN16" i="3"/>
  <c r="FM16" i="3"/>
  <c r="FL16" i="3"/>
  <c r="FK16" i="3"/>
  <c r="FJ16" i="3"/>
  <c r="FI16" i="3"/>
  <c r="FH16" i="3"/>
  <c r="FG16" i="3"/>
  <c r="FF16" i="3"/>
  <c r="FE16" i="3"/>
  <c r="FD16" i="3"/>
  <c r="FC16" i="3"/>
  <c r="FB16" i="3"/>
  <c r="FA16" i="3"/>
  <c r="EZ16" i="3"/>
  <c r="EY16" i="3"/>
  <c r="EX16" i="3"/>
  <c r="EW16" i="3"/>
  <c r="EV16" i="3"/>
  <c r="EU16" i="3"/>
  <c r="ET16" i="3"/>
  <c r="ES16" i="3"/>
  <c r="ER16" i="3"/>
  <c r="EQ16" i="3"/>
  <c r="EP16" i="3"/>
  <c r="EO16" i="3"/>
  <c r="EN16" i="3"/>
  <c r="EM16" i="3"/>
  <c r="EL16" i="3"/>
  <c r="EK16" i="3"/>
  <c r="EJ16" i="3"/>
  <c r="EI16" i="3"/>
  <c r="EH16" i="3"/>
  <c r="EG16" i="3"/>
  <c r="EF16" i="3"/>
  <c r="EE16" i="3"/>
  <c r="ED16" i="3"/>
  <c r="EC16" i="3"/>
  <c r="EB16" i="3"/>
  <c r="EA16" i="3"/>
  <c r="DZ16" i="3"/>
  <c r="DY16" i="3"/>
  <c r="DX16" i="3"/>
  <c r="DW16" i="3"/>
  <c r="DV16" i="3"/>
  <c r="DU16" i="3"/>
  <c r="DT16" i="3"/>
  <c r="DS16" i="3"/>
  <c r="DR16" i="3"/>
  <c r="DQ16" i="3"/>
  <c r="DP16" i="3"/>
  <c r="DO16" i="3"/>
  <c r="DN16" i="3"/>
  <c r="DM16" i="3"/>
  <c r="DL16" i="3"/>
  <c r="DK16" i="3"/>
  <c r="DJ16" i="3"/>
  <c r="DI16" i="3"/>
  <c r="DH16" i="3"/>
  <c r="DG16" i="3"/>
  <c r="DF16" i="3"/>
  <c r="DE16" i="3"/>
  <c r="DD16" i="3"/>
  <c r="DC16" i="3"/>
  <c r="DB16" i="3"/>
  <c r="DA16" i="3"/>
  <c r="CZ16" i="3"/>
  <c r="CY16" i="3"/>
  <c r="CX16" i="3"/>
  <c r="CW16" i="3"/>
  <c r="CV16" i="3"/>
  <c r="CU16" i="3"/>
  <c r="CT16" i="3"/>
  <c r="CS16" i="3"/>
  <c r="CR16" i="3"/>
  <c r="CQ16" i="3"/>
  <c r="CP16" i="3"/>
  <c r="CO16" i="3"/>
  <c r="CN16" i="3"/>
  <c r="CM16" i="3"/>
  <c r="CL16" i="3"/>
  <c r="CK16" i="3"/>
  <c r="CJ16" i="3"/>
  <c r="CI16" i="3"/>
  <c r="CH16" i="3"/>
  <c r="CG16" i="3"/>
  <c r="CF16" i="3"/>
  <c r="CE16" i="3"/>
  <c r="CD16" i="3"/>
  <c r="CC16" i="3"/>
  <c r="CB16" i="3"/>
  <c r="CA16" i="3"/>
  <c r="BZ16" i="3"/>
  <c r="BY16" i="3"/>
  <c r="BX16" i="3"/>
  <c r="BW16" i="3"/>
  <c r="BV16" i="3"/>
  <c r="BU16" i="3"/>
  <c r="BT16" i="3"/>
  <c r="BS16" i="3"/>
  <c r="BR16" i="3"/>
  <c r="BQ16" i="3"/>
  <c r="BP16" i="3"/>
  <c r="BO16" i="3"/>
  <c r="BN16" i="3"/>
  <c r="BM16" i="3"/>
  <c r="BL16" i="3"/>
  <c r="BK16" i="3"/>
  <c r="BJ16" i="3"/>
  <c r="BI16" i="3"/>
  <c r="BH16" i="3"/>
  <c r="BG16" i="3"/>
  <c r="BF16" i="3"/>
  <c r="BE16" i="3"/>
  <c r="BD16" i="3"/>
  <c r="BC16" i="3"/>
  <c r="BB16" i="3"/>
  <c r="BA16" i="3"/>
  <c r="AZ16" i="3"/>
  <c r="AY16" i="3"/>
  <c r="AX16" i="3"/>
  <c r="AW16" i="3"/>
  <c r="AV16" i="3"/>
  <c r="AU16" i="3"/>
  <c r="AT16" i="3"/>
  <c r="AS16" i="3"/>
  <c r="AR16" i="3"/>
  <c r="AQ16" i="3"/>
  <c r="AP16" i="3"/>
  <c r="AO16" i="3"/>
  <c r="AN16" i="3"/>
  <c r="AM16" i="3"/>
  <c r="AL16" i="3"/>
  <c r="AK16" i="3"/>
  <c r="AJ16" i="3"/>
  <c r="AI16" i="3"/>
  <c r="AH16" i="3"/>
  <c r="AG16" i="3"/>
  <c r="AF16" i="3"/>
  <c r="AE16" i="3"/>
  <c r="AD16" i="3"/>
  <c r="AC16" i="3"/>
  <c r="AB16" i="3"/>
  <c r="AA16" i="3"/>
  <c r="Z16" i="3"/>
  <c r="Y16" i="3"/>
  <c r="X16" i="3"/>
  <c r="W16" i="3"/>
  <c r="V16" i="3"/>
  <c r="U16" i="3"/>
  <c r="T16" i="3"/>
  <c r="S16" i="3"/>
  <c r="R16" i="3"/>
  <c r="Q16" i="3"/>
  <c r="P16" i="3"/>
  <c r="O16" i="3"/>
  <c r="N16" i="3"/>
  <c r="M16" i="3"/>
  <c r="L16" i="3"/>
  <c r="K16" i="3"/>
  <c r="J16" i="3"/>
  <c r="I16" i="3"/>
  <c r="H16" i="3"/>
  <c r="G16" i="3"/>
  <c r="F16" i="3"/>
  <c r="E16" i="3"/>
  <c r="D16" i="3"/>
  <c r="C16" i="3"/>
  <c r="FP16" i="3" s="1"/>
  <c r="FO15" i="3"/>
  <c r="FN15" i="3"/>
  <c r="FM15" i="3"/>
  <c r="FL15" i="3"/>
  <c r="FK15" i="3"/>
  <c r="FJ15" i="3"/>
  <c r="FI15" i="3"/>
  <c r="FH15" i="3"/>
  <c r="FG15" i="3"/>
  <c r="FF15" i="3"/>
  <c r="FE15" i="3"/>
  <c r="FD15" i="3"/>
  <c r="FC15" i="3"/>
  <c r="FB15" i="3"/>
  <c r="FA15" i="3"/>
  <c r="EZ15" i="3"/>
  <c r="EY15" i="3"/>
  <c r="EX15" i="3"/>
  <c r="EW15" i="3"/>
  <c r="EV15" i="3"/>
  <c r="EU15" i="3"/>
  <c r="ET15" i="3"/>
  <c r="ES15" i="3"/>
  <c r="ER15" i="3"/>
  <c r="EQ15" i="3"/>
  <c r="EP15" i="3"/>
  <c r="EO15" i="3"/>
  <c r="EN15" i="3"/>
  <c r="EM15" i="3"/>
  <c r="EL15" i="3"/>
  <c r="EK15" i="3"/>
  <c r="EJ15" i="3"/>
  <c r="EI15" i="3"/>
  <c r="EH15" i="3"/>
  <c r="EG15" i="3"/>
  <c r="EF15" i="3"/>
  <c r="EE15" i="3"/>
  <c r="ED15" i="3"/>
  <c r="EC15" i="3"/>
  <c r="EB15" i="3"/>
  <c r="EA15" i="3"/>
  <c r="DZ15" i="3"/>
  <c r="DY15" i="3"/>
  <c r="DX15" i="3"/>
  <c r="DW15" i="3"/>
  <c r="DV15" i="3"/>
  <c r="DU15" i="3"/>
  <c r="DT15" i="3"/>
  <c r="DS15" i="3"/>
  <c r="DR15" i="3"/>
  <c r="DQ15" i="3"/>
  <c r="DP15" i="3"/>
  <c r="DO15" i="3"/>
  <c r="DN15" i="3"/>
  <c r="DM15" i="3"/>
  <c r="DL15" i="3"/>
  <c r="DK15" i="3"/>
  <c r="DJ15" i="3"/>
  <c r="DI15" i="3"/>
  <c r="DH15" i="3"/>
  <c r="DG15" i="3"/>
  <c r="DF15" i="3"/>
  <c r="DE15" i="3"/>
  <c r="DD15" i="3"/>
  <c r="DC15" i="3"/>
  <c r="DB15" i="3"/>
  <c r="DA15" i="3"/>
  <c r="CZ15" i="3"/>
  <c r="CY15" i="3"/>
  <c r="CX15" i="3"/>
  <c r="CW15" i="3"/>
  <c r="CV15" i="3"/>
  <c r="CU15" i="3"/>
  <c r="CT15" i="3"/>
  <c r="CS15" i="3"/>
  <c r="CR15" i="3"/>
  <c r="CQ15" i="3"/>
  <c r="CP15" i="3"/>
  <c r="CO15" i="3"/>
  <c r="CN15" i="3"/>
  <c r="CM15" i="3"/>
  <c r="CL15" i="3"/>
  <c r="CK15" i="3"/>
  <c r="CJ15" i="3"/>
  <c r="CI15" i="3"/>
  <c r="CH15" i="3"/>
  <c r="CG15" i="3"/>
  <c r="CF15" i="3"/>
  <c r="CE15" i="3"/>
  <c r="CD15" i="3"/>
  <c r="CC15" i="3"/>
  <c r="CB15" i="3"/>
  <c r="CA15" i="3"/>
  <c r="BZ15" i="3"/>
  <c r="BY15" i="3"/>
  <c r="BX15" i="3"/>
  <c r="BW15" i="3"/>
  <c r="BV15" i="3"/>
  <c r="BU15" i="3"/>
  <c r="BT15" i="3"/>
  <c r="BS15" i="3"/>
  <c r="BR15" i="3"/>
  <c r="BQ15" i="3"/>
  <c r="BP15" i="3"/>
  <c r="BO15" i="3"/>
  <c r="BN15" i="3"/>
  <c r="BM15" i="3"/>
  <c r="BL15" i="3"/>
  <c r="BK15" i="3"/>
  <c r="BJ15" i="3"/>
  <c r="BI15" i="3"/>
  <c r="BH15" i="3"/>
  <c r="BG15" i="3"/>
  <c r="BF15" i="3"/>
  <c r="BE15" i="3"/>
  <c r="BD15" i="3"/>
  <c r="BC15" i="3"/>
  <c r="BB15" i="3"/>
  <c r="BA15" i="3"/>
  <c r="AZ15" i="3"/>
  <c r="AY15" i="3"/>
  <c r="AX15" i="3"/>
  <c r="AW15" i="3"/>
  <c r="AV15" i="3"/>
  <c r="AU15" i="3"/>
  <c r="AT15" i="3"/>
  <c r="AS15" i="3"/>
  <c r="AR15" i="3"/>
  <c r="AQ15" i="3"/>
  <c r="AP15" i="3"/>
  <c r="AO15" i="3"/>
  <c r="AN15" i="3"/>
  <c r="AM15" i="3"/>
  <c r="AL15" i="3"/>
  <c r="AK15" i="3"/>
  <c r="AJ15" i="3"/>
  <c r="AI15" i="3"/>
  <c r="AH15" i="3"/>
  <c r="AG15" i="3"/>
  <c r="AF15" i="3"/>
  <c r="AE15" i="3"/>
  <c r="AD15" i="3"/>
  <c r="AC15" i="3"/>
  <c r="AB15" i="3"/>
  <c r="AA15" i="3"/>
  <c r="Z15" i="3"/>
  <c r="Y15" i="3"/>
  <c r="X15" i="3"/>
  <c r="W15" i="3"/>
  <c r="V15" i="3"/>
  <c r="U15" i="3"/>
  <c r="T15" i="3"/>
  <c r="S15" i="3"/>
  <c r="R15" i="3"/>
  <c r="Q15" i="3"/>
  <c r="P15" i="3"/>
  <c r="O15" i="3"/>
  <c r="N15" i="3"/>
  <c r="M15" i="3"/>
  <c r="L15" i="3"/>
  <c r="K15" i="3"/>
  <c r="J15" i="3"/>
  <c r="I15" i="3"/>
  <c r="H15" i="3"/>
  <c r="G15" i="3"/>
  <c r="F15" i="3"/>
  <c r="E15" i="3"/>
  <c r="D15" i="3"/>
  <c r="C15" i="3"/>
  <c r="FP15" i="3" s="1"/>
  <c r="FO14" i="3"/>
  <c r="FN14" i="3"/>
  <c r="FM14" i="3"/>
  <c r="FL14" i="3"/>
  <c r="FK14" i="3"/>
  <c r="FJ14" i="3"/>
  <c r="FI14" i="3"/>
  <c r="FH14" i="3"/>
  <c r="FG14" i="3"/>
  <c r="FF14" i="3"/>
  <c r="FE14" i="3"/>
  <c r="FD14" i="3"/>
  <c r="FC14" i="3"/>
  <c r="FB14" i="3"/>
  <c r="FA14" i="3"/>
  <c r="EZ14" i="3"/>
  <c r="EY14" i="3"/>
  <c r="EX14" i="3"/>
  <c r="EW14" i="3"/>
  <c r="EV14" i="3"/>
  <c r="EU14" i="3"/>
  <c r="ET14" i="3"/>
  <c r="ES14" i="3"/>
  <c r="ER14" i="3"/>
  <c r="EQ14" i="3"/>
  <c r="EP14" i="3"/>
  <c r="EO14" i="3"/>
  <c r="EN14" i="3"/>
  <c r="EM14" i="3"/>
  <c r="EL14" i="3"/>
  <c r="EK14" i="3"/>
  <c r="EJ14" i="3"/>
  <c r="EI14" i="3"/>
  <c r="EH14" i="3"/>
  <c r="EG14" i="3"/>
  <c r="EF14" i="3"/>
  <c r="EE14" i="3"/>
  <c r="ED14" i="3"/>
  <c r="EC14" i="3"/>
  <c r="EB14" i="3"/>
  <c r="EA14" i="3"/>
  <c r="DZ14" i="3"/>
  <c r="DY14" i="3"/>
  <c r="DX14" i="3"/>
  <c r="DW14" i="3"/>
  <c r="DV14" i="3"/>
  <c r="DU14" i="3"/>
  <c r="DT14" i="3"/>
  <c r="DS14" i="3"/>
  <c r="DR14" i="3"/>
  <c r="DQ14" i="3"/>
  <c r="DP14" i="3"/>
  <c r="DO14" i="3"/>
  <c r="DN14" i="3"/>
  <c r="DM14" i="3"/>
  <c r="DL14" i="3"/>
  <c r="DK14" i="3"/>
  <c r="DJ14" i="3"/>
  <c r="DI14" i="3"/>
  <c r="DH14" i="3"/>
  <c r="DG14" i="3"/>
  <c r="DF14" i="3"/>
  <c r="DE14" i="3"/>
  <c r="DD14" i="3"/>
  <c r="DC14" i="3"/>
  <c r="DB14" i="3"/>
  <c r="DA14" i="3"/>
  <c r="CZ14" i="3"/>
  <c r="CY14" i="3"/>
  <c r="CX14" i="3"/>
  <c r="CW14" i="3"/>
  <c r="CV14" i="3"/>
  <c r="CU14" i="3"/>
  <c r="CT14" i="3"/>
  <c r="CS14" i="3"/>
  <c r="CR14" i="3"/>
  <c r="CQ14" i="3"/>
  <c r="CP14" i="3"/>
  <c r="CO14" i="3"/>
  <c r="CN14" i="3"/>
  <c r="CM14" i="3"/>
  <c r="CL14" i="3"/>
  <c r="CK14" i="3"/>
  <c r="CJ14" i="3"/>
  <c r="CI14" i="3"/>
  <c r="CH14" i="3"/>
  <c r="CG14" i="3"/>
  <c r="CF14" i="3"/>
  <c r="CE14" i="3"/>
  <c r="CD14" i="3"/>
  <c r="CC14" i="3"/>
  <c r="CB14" i="3"/>
  <c r="CA14" i="3"/>
  <c r="BZ14" i="3"/>
  <c r="BY14" i="3"/>
  <c r="BX14" i="3"/>
  <c r="BW14" i="3"/>
  <c r="BV14" i="3"/>
  <c r="BU14" i="3"/>
  <c r="BT14" i="3"/>
  <c r="BS14" i="3"/>
  <c r="BR14" i="3"/>
  <c r="BQ14" i="3"/>
  <c r="BP14" i="3"/>
  <c r="BO14" i="3"/>
  <c r="BN14" i="3"/>
  <c r="BM14" i="3"/>
  <c r="BL14" i="3"/>
  <c r="BK14" i="3"/>
  <c r="BJ14" i="3"/>
  <c r="BI14" i="3"/>
  <c r="BH14" i="3"/>
  <c r="BG14" i="3"/>
  <c r="BF14" i="3"/>
  <c r="BE14" i="3"/>
  <c r="BD14" i="3"/>
  <c r="BC14" i="3"/>
  <c r="BB14" i="3"/>
  <c r="BA14" i="3"/>
  <c r="AZ14" i="3"/>
  <c r="AY14" i="3"/>
  <c r="AX14" i="3"/>
  <c r="AW14" i="3"/>
  <c r="AV14" i="3"/>
  <c r="AU14" i="3"/>
  <c r="AT14" i="3"/>
  <c r="AS14" i="3"/>
  <c r="AR14" i="3"/>
  <c r="AQ14" i="3"/>
  <c r="AP14" i="3"/>
  <c r="AO14" i="3"/>
  <c r="AN14" i="3"/>
  <c r="AM14" i="3"/>
  <c r="AL14" i="3"/>
  <c r="AK14" i="3"/>
  <c r="AJ14" i="3"/>
  <c r="AI14" i="3"/>
  <c r="AH14" i="3"/>
  <c r="AG14" i="3"/>
  <c r="AF14" i="3"/>
  <c r="AE14" i="3"/>
  <c r="AD14" i="3"/>
  <c r="AC14" i="3"/>
  <c r="AB14" i="3"/>
  <c r="AA14" i="3"/>
  <c r="Z14" i="3"/>
  <c r="Y14" i="3"/>
  <c r="X14" i="3"/>
  <c r="W14" i="3"/>
  <c r="V14" i="3"/>
  <c r="U14" i="3"/>
  <c r="T14" i="3"/>
  <c r="S14" i="3"/>
  <c r="R14" i="3"/>
  <c r="Q14" i="3"/>
  <c r="P14" i="3"/>
  <c r="O14" i="3"/>
  <c r="N14" i="3"/>
  <c r="M14" i="3"/>
  <c r="L14" i="3"/>
  <c r="K14" i="3"/>
  <c r="J14" i="3"/>
  <c r="I14" i="3"/>
  <c r="H14" i="3"/>
  <c r="G14" i="3"/>
  <c r="F14" i="3"/>
  <c r="E14" i="3"/>
  <c r="D14" i="3"/>
  <c r="C14" i="3"/>
  <c r="FP14" i="3" s="1"/>
  <c r="FO13" i="3"/>
  <c r="FN13" i="3"/>
  <c r="FM13" i="3"/>
  <c r="FL13" i="3"/>
  <c r="FK13" i="3"/>
  <c r="FJ13" i="3"/>
  <c r="FI13" i="3"/>
  <c r="FH13" i="3"/>
  <c r="FG13" i="3"/>
  <c r="FF13" i="3"/>
  <c r="FE13" i="3"/>
  <c r="FD13" i="3"/>
  <c r="FC13" i="3"/>
  <c r="FB13" i="3"/>
  <c r="FA13" i="3"/>
  <c r="EZ13" i="3"/>
  <c r="EY13" i="3"/>
  <c r="EX13" i="3"/>
  <c r="EW13" i="3"/>
  <c r="EV13" i="3"/>
  <c r="EU13" i="3"/>
  <c r="ET13" i="3"/>
  <c r="ES13" i="3"/>
  <c r="ER13" i="3"/>
  <c r="EQ13" i="3"/>
  <c r="EP13" i="3"/>
  <c r="EO13" i="3"/>
  <c r="EN13" i="3"/>
  <c r="EM13" i="3"/>
  <c r="EL13" i="3"/>
  <c r="EK13" i="3"/>
  <c r="EJ13" i="3"/>
  <c r="EI13" i="3"/>
  <c r="EH13" i="3"/>
  <c r="EG13" i="3"/>
  <c r="EF13" i="3"/>
  <c r="EE13" i="3"/>
  <c r="ED13" i="3"/>
  <c r="EC13" i="3"/>
  <c r="EB13" i="3"/>
  <c r="EA13" i="3"/>
  <c r="DZ13" i="3"/>
  <c r="DY13" i="3"/>
  <c r="DX13" i="3"/>
  <c r="DW13" i="3"/>
  <c r="DV13" i="3"/>
  <c r="DU13" i="3"/>
  <c r="DT13" i="3"/>
  <c r="DS13" i="3"/>
  <c r="DR13" i="3"/>
  <c r="DQ13" i="3"/>
  <c r="DP13" i="3"/>
  <c r="DO13" i="3"/>
  <c r="DN13" i="3"/>
  <c r="DM13" i="3"/>
  <c r="DL13" i="3"/>
  <c r="DK13" i="3"/>
  <c r="DJ13" i="3"/>
  <c r="DI13" i="3"/>
  <c r="DH13" i="3"/>
  <c r="DG13" i="3"/>
  <c r="DF13" i="3"/>
  <c r="DE13" i="3"/>
  <c r="DD13" i="3"/>
  <c r="DC13" i="3"/>
  <c r="DB13" i="3"/>
  <c r="DA13" i="3"/>
  <c r="CZ13" i="3"/>
  <c r="CY13" i="3"/>
  <c r="CX13" i="3"/>
  <c r="CW13" i="3"/>
  <c r="CV13" i="3"/>
  <c r="CU13" i="3"/>
  <c r="CT13" i="3"/>
  <c r="CS13" i="3"/>
  <c r="CR13" i="3"/>
  <c r="CQ13" i="3"/>
  <c r="CP13" i="3"/>
  <c r="CO13" i="3"/>
  <c r="CN13" i="3"/>
  <c r="CM13" i="3"/>
  <c r="CL13" i="3"/>
  <c r="CK13" i="3"/>
  <c r="CJ13" i="3"/>
  <c r="CI13" i="3"/>
  <c r="CH13" i="3"/>
  <c r="CG13" i="3"/>
  <c r="CF13" i="3"/>
  <c r="CE13" i="3"/>
  <c r="CD13" i="3"/>
  <c r="CC13" i="3"/>
  <c r="CB13" i="3"/>
  <c r="CA13" i="3"/>
  <c r="BZ13" i="3"/>
  <c r="BY13" i="3"/>
  <c r="BX13" i="3"/>
  <c r="BW13" i="3"/>
  <c r="BV13" i="3"/>
  <c r="BU13" i="3"/>
  <c r="BT13" i="3"/>
  <c r="BS13" i="3"/>
  <c r="BR13" i="3"/>
  <c r="BQ13" i="3"/>
  <c r="BP13" i="3"/>
  <c r="BO13" i="3"/>
  <c r="BN13" i="3"/>
  <c r="BM13" i="3"/>
  <c r="BL13" i="3"/>
  <c r="BK13" i="3"/>
  <c r="BJ13" i="3"/>
  <c r="BI13" i="3"/>
  <c r="BH13" i="3"/>
  <c r="BG13" i="3"/>
  <c r="BF13" i="3"/>
  <c r="BE13" i="3"/>
  <c r="BD13" i="3"/>
  <c r="BC13" i="3"/>
  <c r="BB13" i="3"/>
  <c r="BA13" i="3"/>
  <c r="AZ13" i="3"/>
  <c r="AY13" i="3"/>
  <c r="AX13" i="3"/>
  <c r="AW13" i="3"/>
  <c r="AV13" i="3"/>
  <c r="AU13" i="3"/>
  <c r="AT13" i="3"/>
  <c r="AS13" i="3"/>
  <c r="AR13" i="3"/>
  <c r="AQ13" i="3"/>
  <c r="AP13" i="3"/>
  <c r="AO13" i="3"/>
  <c r="AN13" i="3"/>
  <c r="AM13" i="3"/>
  <c r="AL13" i="3"/>
  <c r="AK13" i="3"/>
  <c r="AJ13" i="3"/>
  <c r="AI13" i="3"/>
  <c r="AH13" i="3"/>
  <c r="AG13" i="3"/>
  <c r="AF13" i="3"/>
  <c r="AE13" i="3"/>
  <c r="AD13" i="3"/>
  <c r="AC13" i="3"/>
  <c r="AB13" i="3"/>
  <c r="AA13" i="3"/>
  <c r="Z13" i="3"/>
  <c r="Y13" i="3"/>
  <c r="X13" i="3"/>
  <c r="W13" i="3"/>
  <c r="V13" i="3"/>
  <c r="U13" i="3"/>
  <c r="T13" i="3"/>
  <c r="S13" i="3"/>
  <c r="R13" i="3"/>
  <c r="Q13" i="3"/>
  <c r="P13" i="3"/>
  <c r="O13" i="3"/>
  <c r="N13" i="3"/>
  <c r="M13" i="3"/>
  <c r="L13" i="3"/>
  <c r="K13" i="3"/>
  <c r="J13" i="3"/>
  <c r="I13" i="3"/>
  <c r="H13" i="3"/>
  <c r="G13" i="3"/>
  <c r="F13" i="3"/>
  <c r="E13" i="3"/>
  <c r="D13" i="3"/>
  <c r="FP13" i="3" s="1"/>
  <c r="C13" i="3"/>
  <c r="FO12" i="3"/>
  <c r="FN12" i="3"/>
  <c r="FM12" i="3"/>
  <c r="FL12" i="3"/>
  <c r="FK12" i="3"/>
  <c r="FJ12" i="3"/>
  <c r="FI12" i="3"/>
  <c r="FH12" i="3"/>
  <c r="FG12" i="3"/>
  <c r="FF12" i="3"/>
  <c r="FE12" i="3"/>
  <c r="FD12" i="3"/>
  <c r="FC12" i="3"/>
  <c r="FB12" i="3"/>
  <c r="FA12" i="3"/>
  <c r="EZ12" i="3"/>
  <c r="EY12" i="3"/>
  <c r="EX12" i="3"/>
  <c r="EW12" i="3"/>
  <c r="EV12" i="3"/>
  <c r="EU12" i="3"/>
  <c r="ET12" i="3"/>
  <c r="ES12" i="3"/>
  <c r="ER12" i="3"/>
  <c r="EQ12" i="3"/>
  <c r="EP12" i="3"/>
  <c r="EO12" i="3"/>
  <c r="EN12" i="3"/>
  <c r="EM12" i="3"/>
  <c r="EL12" i="3"/>
  <c r="EK12" i="3"/>
  <c r="EJ12" i="3"/>
  <c r="EI12" i="3"/>
  <c r="EH12" i="3"/>
  <c r="EG12" i="3"/>
  <c r="EF12" i="3"/>
  <c r="EE12" i="3"/>
  <c r="ED12" i="3"/>
  <c r="EC12" i="3"/>
  <c r="EB12" i="3"/>
  <c r="EA12" i="3"/>
  <c r="DZ12" i="3"/>
  <c r="DY12" i="3"/>
  <c r="DX12" i="3"/>
  <c r="DW12" i="3"/>
  <c r="DV12" i="3"/>
  <c r="DU12" i="3"/>
  <c r="DT12" i="3"/>
  <c r="DS12" i="3"/>
  <c r="DR12" i="3"/>
  <c r="DQ12" i="3"/>
  <c r="DP12" i="3"/>
  <c r="DO12" i="3"/>
  <c r="DN12" i="3"/>
  <c r="DM12" i="3"/>
  <c r="DL12" i="3"/>
  <c r="DK12" i="3"/>
  <c r="DJ12" i="3"/>
  <c r="DI12" i="3"/>
  <c r="DH12" i="3"/>
  <c r="DG12" i="3"/>
  <c r="DF12" i="3"/>
  <c r="DE12" i="3"/>
  <c r="DD12" i="3"/>
  <c r="DC12" i="3"/>
  <c r="DB12" i="3"/>
  <c r="DA12" i="3"/>
  <c r="CZ12" i="3"/>
  <c r="CY12" i="3"/>
  <c r="CX12" i="3"/>
  <c r="CW12" i="3"/>
  <c r="CV12" i="3"/>
  <c r="CU12" i="3"/>
  <c r="CT12" i="3"/>
  <c r="CS12" i="3"/>
  <c r="CR12" i="3"/>
  <c r="CQ12" i="3"/>
  <c r="CP12" i="3"/>
  <c r="CO12" i="3"/>
  <c r="CN12" i="3"/>
  <c r="CM12" i="3"/>
  <c r="CL12" i="3"/>
  <c r="CK12" i="3"/>
  <c r="CJ12" i="3"/>
  <c r="CI12" i="3"/>
  <c r="CH12" i="3"/>
  <c r="CG12" i="3"/>
  <c r="CF12" i="3"/>
  <c r="CE12" i="3"/>
  <c r="CD12" i="3"/>
  <c r="CC12" i="3"/>
  <c r="CB12" i="3"/>
  <c r="CA12" i="3"/>
  <c r="BZ12" i="3"/>
  <c r="BY12" i="3"/>
  <c r="BX12" i="3"/>
  <c r="BW12" i="3"/>
  <c r="BV12" i="3"/>
  <c r="BU12" i="3"/>
  <c r="BT12" i="3"/>
  <c r="BS12" i="3"/>
  <c r="BR12" i="3"/>
  <c r="BQ12" i="3"/>
  <c r="BP12" i="3"/>
  <c r="BO12" i="3"/>
  <c r="BN12" i="3"/>
  <c r="BM12" i="3"/>
  <c r="BL12" i="3"/>
  <c r="BK12" i="3"/>
  <c r="BJ12" i="3"/>
  <c r="BI12" i="3"/>
  <c r="BH12" i="3"/>
  <c r="BG12" i="3"/>
  <c r="BF12" i="3"/>
  <c r="BE12" i="3"/>
  <c r="BD12" i="3"/>
  <c r="BC12" i="3"/>
  <c r="BB12" i="3"/>
  <c r="BA12" i="3"/>
  <c r="AZ12" i="3"/>
  <c r="AY12" i="3"/>
  <c r="AX12" i="3"/>
  <c r="AW12" i="3"/>
  <c r="AV12" i="3"/>
  <c r="AU12" i="3"/>
  <c r="AT12" i="3"/>
  <c r="AS12" i="3"/>
  <c r="AR12" i="3"/>
  <c r="AQ12" i="3"/>
  <c r="AP12" i="3"/>
  <c r="AO12" i="3"/>
  <c r="AN12" i="3"/>
  <c r="AM12" i="3"/>
  <c r="AL12" i="3"/>
  <c r="AK12" i="3"/>
  <c r="AJ12" i="3"/>
  <c r="AI12" i="3"/>
  <c r="AH12" i="3"/>
  <c r="AG12" i="3"/>
  <c r="AF12" i="3"/>
  <c r="AE12" i="3"/>
  <c r="AD12" i="3"/>
  <c r="AC12" i="3"/>
  <c r="AB12" i="3"/>
  <c r="AA12" i="3"/>
  <c r="Z12" i="3"/>
  <c r="Y12" i="3"/>
  <c r="X12" i="3"/>
  <c r="W12" i="3"/>
  <c r="V12" i="3"/>
  <c r="U12" i="3"/>
  <c r="T12" i="3"/>
  <c r="S12" i="3"/>
  <c r="R12" i="3"/>
  <c r="Q12" i="3"/>
  <c r="P12" i="3"/>
  <c r="O12" i="3"/>
  <c r="N12" i="3"/>
  <c r="M12" i="3"/>
  <c r="L12" i="3"/>
  <c r="K12" i="3"/>
  <c r="J12" i="3"/>
  <c r="I12" i="3"/>
  <c r="H12" i="3"/>
  <c r="G12" i="3"/>
  <c r="F12" i="3"/>
  <c r="E12" i="3"/>
  <c r="D12" i="3"/>
  <c r="FP12" i="3" s="1"/>
  <c r="C12" i="3"/>
  <c r="FO11" i="3"/>
  <c r="FN11" i="3"/>
  <c r="FM11" i="3"/>
  <c r="FL11" i="3"/>
  <c r="FK11" i="3"/>
  <c r="FJ11" i="3"/>
  <c r="FI11" i="3"/>
  <c r="FH11" i="3"/>
  <c r="FG11" i="3"/>
  <c r="FF11" i="3"/>
  <c r="FE11" i="3"/>
  <c r="FD11" i="3"/>
  <c r="FC11" i="3"/>
  <c r="FB11" i="3"/>
  <c r="FA11" i="3"/>
  <c r="EZ11" i="3"/>
  <c r="EY11" i="3"/>
  <c r="EX11" i="3"/>
  <c r="EW11" i="3"/>
  <c r="EV11" i="3"/>
  <c r="EU11" i="3"/>
  <c r="ET11" i="3"/>
  <c r="ES11" i="3"/>
  <c r="ER11" i="3"/>
  <c r="EQ11" i="3"/>
  <c r="EP11" i="3"/>
  <c r="EO11" i="3"/>
  <c r="EN11" i="3"/>
  <c r="EM11" i="3"/>
  <c r="EL11" i="3"/>
  <c r="EK11" i="3"/>
  <c r="EJ11" i="3"/>
  <c r="EI11" i="3"/>
  <c r="EH11" i="3"/>
  <c r="EG11" i="3"/>
  <c r="EF11" i="3"/>
  <c r="EE11" i="3"/>
  <c r="ED11" i="3"/>
  <c r="EC11" i="3"/>
  <c r="EB11" i="3"/>
  <c r="EA11" i="3"/>
  <c r="DZ11" i="3"/>
  <c r="DY11" i="3"/>
  <c r="DX11" i="3"/>
  <c r="DW11" i="3"/>
  <c r="DV11" i="3"/>
  <c r="DU11" i="3"/>
  <c r="DT11" i="3"/>
  <c r="DS11" i="3"/>
  <c r="DR11" i="3"/>
  <c r="DQ11" i="3"/>
  <c r="DP11" i="3"/>
  <c r="DO11" i="3"/>
  <c r="DN11" i="3"/>
  <c r="DM11" i="3"/>
  <c r="DL11" i="3"/>
  <c r="DK11" i="3"/>
  <c r="DJ11" i="3"/>
  <c r="DI11" i="3"/>
  <c r="DH11" i="3"/>
  <c r="DG11" i="3"/>
  <c r="DF11" i="3"/>
  <c r="DE11" i="3"/>
  <c r="DD11" i="3"/>
  <c r="DC11" i="3"/>
  <c r="DB11" i="3"/>
  <c r="DA11" i="3"/>
  <c r="CZ11" i="3"/>
  <c r="CY11" i="3"/>
  <c r="CX11" i="3"/>
  <c r="CW11" i="3"/>
  <c r="CV11" i="3"/>
  <c r="CU11" i="3"/>
  <c r="CT11" i="3"/>
  <c r="CS11" i="3"/>
  <c r="CR11" i="3"/>
  <c r="CQ11" i="3"/>
  <c r="CP11" i="3"/>
  <c r="CO11" i="3"/>
  <c r="CN11" i="3"/>
  <c r="CM11" i="3"/>
  <c r="CL11" i="3"/>
  <c r="CK11" i="3"/>
  <c r="CJ11" i="3"/>
  <c r="CI11" i="3"/>
  <c r="CH11" i="3"/>
  <c r="CG11" i="3"/>
  <c r="CF11" i="3"/>
  <c r="CE11" i="3"/>
  <c r="CD11" i="3"/>
  <c r="CC11" i="3"/>
  <c r="CB11" i="3"/>
  <c r="CA11" i="3"/>
  <c r="BZ11" i="3"/>
  <c r="BY11" i="3"/>
  <c r="BX11" i="3"/>
  <c r="BW11" i="3"/>
  <c r="BV11" i="3"/>
  <c r="BU11" i="3"/>
  <c r="BT11" i="3"/>
  <c r="BS11" i="3"/>
  <c r="BR11" i="3"/>
  <c r="BQ11" i="3"/>
  <c r="BP11" i="3"/>
  <c r="BO11" i="3"/>
  <c r="BN11" i="3"/>
  <c r="BM11" i="3"/>
  <c r="BL11" i="3"/>
  <c r="BK11" i="3"/>
  <c r="BJ11" i="3"/>
  <c r="BI11" i="3"/>
  <c r="BH11" i="3"/>
  <c r="BG11" i="3"/>
  <c r="BF11" i="3"/>
  <c r="BE11" i="3"/>
  <c r="BD11" i="3"/>
  <c r="BC11" i="3"/>
  <c r="BB11" i="3"/>
  <c r="BA11" i="3"/>
  <c r="AZ11" i="3"/>
  <c r="AY11" i="3"/>
  <c r="AX11" i="3"/>
  <c r="AW11" i="3"/>
  <c r="AV11" i="3"/>
  <c r="AU11" i="3"/>
  <c r="AT11" i="3"/>
  <c r="AS11" i="3"/>
  <c r="AR11" i="3"/>
  <c r="AQ11" i="3"/>
  <c r="AP11" i="3"/>
  <c r="AO11" i="3"/>
  <c r="AN11" i="3"/>
  <c r="AM11" i="3"/>
  <c r="AL11" i="3"/>
  <c r="AK11" i="3"/>
  <c r="AJ11" i="3"/>
  <c r="AI11" i="3"/>
  <c r="AH11" i="3"/>
  <c r="AG11" i="3"/>
  <c r="AF11" i="3"/>
  <c r="AE11" i="3"/>
  <c r="AD11" i="3"/>
  <c r="AC11" i="3"/>
  <c r="AB11" i="3"/>
  <c r="AA11" i="3"/>
  <c r="Z11" i="3"/>
  <c r="Y11" i="3"/>
  <c r="X11" i="3"/>
  <c r="W11" i="3"/>
  <c r="V11" i="3"/>
  <c r="U11" i="3"/>
  <c r="T11" i="3"/>
  <c r="S11" i="3"/>
  <c r="R11" i="3"/>
  <c r="Q11" i="3"/>
  <c r="P11" i="3"/>
  <c r="O11" i="3"/>
  <c r="N11" i="3"/>
  <c r="M11" i="3"/>
  <c r="L11" i="3"/>
  <c r="K11" i="3"/>
  <c r="J11" i="3"/>
  <c r="I11" i="3"/>
  <c r="H11" i="3"/>
  <c r="G11" i="3"/>
  <c r="F11" i="3"/>
  <c r="E11" i="3"/>
  <c r="D11" i="3"/>
  <c r="C11" i="3"/>
  <c r="FP11" i="3" s="1"/>
  <c r="FO10" i="3"/>
  <c r="FN10" i="3"/>
  <c r="FM10" i="3"/>
  <c r="FL10" i="3"/>
  <c r="FK10" i="3"/>
  <c r="FJ10" i="3"/>
  <c r="FI10" i="3"/>
  <c r="FH10" i="3"/>
  <c r="FG10" i="3"/>
  <c r="FF10" i="3"/>
  <c r="FE10" i="3"/>
  <c r="FD10" i="3"/>
  <c r="FC10" i="3"/>
  <c r="FB10" i="3"/>
  <c r="FA10" i="3"/>
  <c r="EZ10" i="3"/>
  <c r="EY10" i="3"/>
  <c r="EX10" i="3"/>
  <c r="EW10" i="3"/>
  <c r="EV10" i="3"/>
  <c r="EU10" i="3"/>
  <c r="ET10" i="3"/>
  <c r="ES10" i="3"/>
  <c r="ER10" i="3"/>
  <c r="EQ10" i="3"/>
  <c r="EP10" i="3"/>
  <c r="EO10" i="3"/>
  <c r="EN10" i="3"/>
  <c r="EM10" i="3"/>
  <c r="EL10" i="3"/>
  <c r="EK10" i="3"/>
  <c r="EJ10" i="3"/>
  <c r="EI10" i="3"/>
  <c r="EH10" i="3"/>
  <c r="EG10" i="3"/>
  <c r="EF10" i="3"/>
  <c r="EE10" i="3"/>
  <c r="ED10" i="3"/>
  <c r="EC10" i="3"/>
  <c r="EB10" i="3"/>
  <c r="EA10" i="3"/>
  <c r="DZ10" i="3"/>
  <c r="DY10" i="3"/>
  <c r="DX10" i="3"/>
  <c r="DW10" i="3"/>
  <c r="DV10" i="3"/>
  <c r="DU10" i="3"/>
  <c r="DT10" i="3"/>
  <c r="DS10" i="3"/>
  <c r="DR10" i="3"/>
  <c r="DQ10" i="3"/>
  <c r="DP10" i="3"/>
  <c r="DO10" i="3"/>
  <c r="DN10" i="3"/>
  <c r="DM10" i="3"/>
  <c r="DL10" i="3"/>
  <c r="DK10" i="3"/>
  <c r="DJ10" i="3"/>
  <c r="DI10" i="3"/>
  <c r="DH10" i="3"/>
  <c r="DG10" i="3"/>
  <c r="DF10" i="3"/>
  <c r="DE10" i="3"/>
  <c r="DD10" i="3"/>
  <c r="DC10" i="3"/>
  <c r="DB10" i="3"/>
  <c r="DA10" i="3"/>
  <c r="CZ10" i="3"/>
  <c r="CY10" i="3"/>
  <c r="CX10" i="3"/>
  <c r="CW10" i="3"/>
  <c r="CV10" i="3"/>
  <c r="CU10" i="3"/>
  <c r="CT10" i="3"/>
  <c r="CS10" i="3"/>
  <c r="CR10" i="3"/>
  <c r="CQ10" i="3"/>
  <c r="CP10" i="3"/>
  <c r="CO10" i="3"/>
  <c r="CN10" i="3"/>
  <c r="CM10" i="3"/>
  <c r="CL10" i="3"/>
  <c r="CK10" i="3"/>
  <c r="CJ10" i="3"/>
  <c r="CI10" i="3"/>
  <c r="CH10" i="3"/>
  <c r="CG10" i="3"/>
  <c r="CF10" i="3"/>
  <c r="CE10" i="3"/>
  <c r="CD10" i="3"/>
  <c r="CC10" i="3"/>
  <c r="CB10" i="3"/>
  <c r="CA10" i="3"/>
  <c r="BZ10" i="3"/>
  <c r="BY10" i="3"/>
  <c r="BX10" i="3"/>
  <c r="BW10" i="3"/>
  <c r="BV10" i="3"/>
  <c r="BU10" i="3"/>
  <c r="BT10" i="3"/>
  <c r="BS10" i="3"/>
  <c r="BR10" i="3"/>
  <c r="BQ10" i="3"/>
  <c r="BP10" i="3"/>
  <c r="BO10" i="3"/>
  <c r="BN10" i="3"/>
  <c r="BM10" i="3"/>
  <c r="BL10" i="3"/>
  <c r="BK10" i="3"/>
  <c r="BJ10" i="3"/>
  <c r="BI10" i="3"/>
  <c r="BH10" i="3"/>
  <c r="BG10" i="3"/>
  <c r="BF10" i="3"/>
  <c r="BE10" i="3"/>
  <c r="BD10" i="3"/>
  <c r="BC10" i="3"/>
  <c r="BB10" i="3"/>
  <c r="BA10" i="3"/>
  <c r="AZ10" i="3"/>
  <c r="AY10" i="3"/>
  <c r="AX10" i="3"/>
  <c r="AW10" i="3"/>
  <c r="AV10" i="3"/>
  <c r="AU10" i="3"/>
  <c r="AT10" i="3"/>
  <c r="AS10" i="3"/>
  <c r="AR10" i="3"/>
  <c r="AQ10" i="3"/>
  <c r="AP10" i="3"/>
  <c r="AO10" i="3"/>
  <c r="AN10" i="3"/>
  <c r="AM10" i="3"/>
  <c r="AL10" i="3"/>
  <c r="AK10" i="3"/>
  <c r="AJ10" i="3"/>
  <c r="AI10" i="3"/>
  <c r="AH10" i="3"/>
  <c r="AG10" i="3"/>
  <c r="AF10" i="3"/>
  <c r="AE10" i="3"/>
  <c r="AD10" i="3"/>
  <c r="AC10" i="3"/>
  <c r="AB10" i="3"/>
  <c r="AA10" i="3"/>
  <c r="Z10" i="3"/>
  <c r="Y10" i="3"/>
  <c r="X10" i="3"/>
  <c r="W10" i="3"/>
  <c r="V10" i="3"/>
  <c r="U10" i="3"/>
  <c r="T10" i="3"/>
  <c r="S10" i="3"/>
  <c r="R10" i="3"/>
  <c r="Q10" i="3"/>
  <c r="P10" i="3"/>
  <c r="O10" i="3"/>
  <c r="N10" i="3"/>
  <c r="M10" i="3"/>
  <c r="L10" i="3"/>
  <c r="K10" i="3"/>
  <c r="J10" i="3"/>
  <c r="I10" i="3"/>
  <c r="H10" i="3"/>
  <c r="G10" i="3"/>
  <c r="F10" i="3"/>
  <c r="E10" i="3"/>
  <c r="D10" i="3"/>
  <c r="C10" i="3"/>
  <c r="FP10" i="3" s="1"/>
  <c r="FO9" i="3"/>
  <c r="FN9" i="3"/>
  <c r="FM9" i="3"/>
  <c r="FL9" i="3"/>
  <c r="FK9" i="3"/>
  <c r="FJ9" i="3"/>
  <c r="FI9" i="3"/>
  <c r="FH9" i="3"/>
  <c r="FG9" i="3"/>
  <c r="FF9" i="3"/>
  <c r="FE9" i="3"/>
  <c r="FD9" i="3"/>
  <c r="FC9" i="3"/>
  <c r="FB9" i="3"/>
  <c r="FA9" i="3"/>
  <c r="EZ9" i="3"/>
  <c r="EY9" i="3"/>
  <c r="EX9" i="3"/>
  <c r="EW9" i="3"/>
  <c r="EV9" i="3"/>
  <c r="EU9" i="3"/>
  <c r="ET9" i="3"/>
  <c r="ES9" i="3"/>
  <c r="ER9" i="3"/>
  <c r="EQ9" i="3"/>
  <c r="EP9" i="3"/>
  <c r="EO9" i="3"/>
  <c r="EN9" i="3"/>
  <c r="EM9" i="3"/>
  <c r="EL9" i="3"/>
  <c r="EK9" i="3"/>
  <c r="EJ9" i="3"/>
  <c r="EI9" i="3"/>
  <c r="EH9" i="3"/>
  <c r="EG9" i="3"/>
  <c r="EF9" i="3"/>
  <c r="EE9" i="3"/>
  <c r="ED9" i="3"/>
  <c r="EC9" i="3"/>
  <c r="EB9" i="3"/>
  <c r="EA9" i="3"/>
  <c r="DZ9" i="3"/>
  <c r="DY9" i="3"/>
  <c r="DX9" i="3"/>
  <c r="DW9" i="3"/>
  <c r="DV9" i="3"/>
  <c r="DU9" i="3"/>
  <c r="DT9" i="3"/>
  <c r="DS9" i="3"/>
  <c r="DR9" i="3"/>
  <c r="DQ9" i="3"/>
  <c r="DP9" i="3"/>
  <c r="DO9" i="3"/>
  <c r="DN9" i="3"/>
  <c r="DM9" i="3"/>
  <c r="DL9" i="3"/>
  <c r="DK9" i="3"/>
  <c r="DJ9" i="3"/>
  <c r="DI9" i="3"/>
  <c r="DH9" i="3"/>
  <c r="DG9" i="3"/>
  <c r="DF9" i="3"/>
  <c r="DE9" i="3"/>
  <c r="DD9" i="3"/>
  <c r="DC9" i="3"/>
  <c r="DB9" i="3"/>
  <c r="DA9" i="3"/>
  <c r="CZ9" i="3"/>
  <c r="CY9" i="3"/>
  <c r="CX9" i="3"/>
  <c r="CW9" i="3"/>
  <c r="CV9" i="3"/>
  <c r="CU9" i="3"/>
  <c r="CT9" i="3"/>
  <c r="CS9" i="3"/>
  <c r="CR9" i="3"/>
  <c r="CQ9" i="3"/>
  <c r="CP9" i="3"/>
  <c r="CO9" i="3"/>
  <c r="CN9" i="3"/>
  <c r="CM9" i="3"/>
  <c r="CL9" i="3"/>
  <c r="CK9" i="3"/>
  <c r="CJ9" i="3"/>
  <c r="CI9" i="3"/>
  <c r="CH9" i="3"/>
  <c r="CG9" i="3"/>
  <c r="CF9" i="3"/>
  <c r="CE9" i="3"/>
  <c r="CD9" i="3"/>
  <c r="CC9" i="3"/>
  <c r="CB9" i="3"/>
  <c r="CA9" i="3"/>
  <c r="BZ9" i="3"/>
  <c r="BY9" i="3"/>
  <c r="BX9" i="3"/>
  <c r="BW9" i="3"/>
  <c r="BV9" i="3"/>
  <c r="BU9" i="3"/>
  <c r="BT9" i="3"/>
  <c r="BS9" i="3"/>
  <c r="BR9" i="3"/>
  <c r="BQ9" i="3"/>
  <c r="BP9" i="3"/>
  <c r="BO9" i="3"/>
  <c r="BN9" i="3"/>
  <c r="BM9" i="3"/>
  <c r="BL9" i="3"/>
  <c r="BK9" i="3"/>
  <c r="BJ9" i="3"/>
  <c r="BI9" i="3"/>
  <c r="BH9" i="3"/>
  <c r="BG9" i="3"/>
  <c r="BF9" i="3"/>
  <c r="BE9" i="3"/>
  <c r="BD9" i="3"/>
  <c r="BC9" i="3"/>
  <c r="BB9" i="3"/>
  <c r="BA9" i="3"/>
  <c r="AZ9" i="3"/>
  <c r="AY9" i="3"/>
  <c r="AX9" i="3"/>
  <c r="AW9" i="3"/>
  <c r="AV9" i="3"/>
  <c r="AU9" i="3"/>
  <c r="AT9" i="3"/>
  <c r="AS9" i="3"/>
  <c r="AR9" i="3"/>
  <c r="AQ9" i="3"/>
  <c r="AP9" i="3"/>
  <c r="AO9" i="3"/>
  <c r="AN9" i="3"/>
  <c r="AM9" i="3"/>
  <c r="AL9" i="3"/>
  <c r="AK9" i="3"/>
  <c r="AJ9" i="3"/>
  <c r="AI9" i="3"/>
  <c r="AH9" i="3"/>
  <c r="AG9" i="3"/>
  <c r="AF9" i="3"/>
  <c r="AE9" i="3"/>
  <c r="AD9" i="3"/>
  <c r="AC9" i="3"/>
  <c r="AB9" i="3"/>
  <c r="AA9" i="3"/>
  <c r="Z9" i="3"/>
  <c r="Y9" i="3"/>
  <c r="X9" i="3"/>
  <c r="W9" i="3"/>
  <c r="V9" i="3"/>
  <c r="U9" i="3"/>
  <c r="T9" i="3"/>
  <c r="S9" i="3"/>
  <c r="R9" i="3"/>
  <c r="Q9" i="3"/>
  <c r="P9" i="3"/>
  <c r="O9" i="3"/>
  <c r="N9" i="3"/>
  <c r="M9" i="3"/>
  <c r="L9" i="3"/>
  <c r="K9" i="3"/>
  <c r="J9" i="3"/>
  <c r="I9" i="3"/>
  <c r="H9" i="3"/>
  <c r="G9" i="3"/>
  <c r="F9" i="3"/>
  <c r="E9" i="3"/>
  <c r="D9" i="3"/>
  <c r="FP9" i="3" s="1"/>
  <c r="C9" i="3"/>
  <c r="FO8" i="3"/>
  <c r="FN8" i="3"/>
  <c r="FM8" i="3"/>
  <c r="FL8" i="3"/>
  <c r="FK8" i="3"/>
  <c r="FJ8" i="3"/>
  <c r="FI8" i="3"/>
  <c r="FH8" i="3"/>
  <c r="FG8" i="3"/>
  <c r="FF8" i="3"/>
  <c r="FE8" i="3"/>
  <c r="FD8" i="3"/>
  <c r="FC8" i="3"/>
  <c r="FB8" i="3"/>
  <c r="FA8" i="3"/>
  <c r="EZ8" i="3"/>
  <c r="EY8" i="3"/>
  <c r="EX8" i="3"/>
  <c r="EW8" i="3"/>
  <c r="EV8" i="3"/>
  <c r="EU8" i="3"/>
  <c r="ET8" i="3"/>
  <c r="ES8" i="3"/>
  <c r="ER8" i="3"/>
  <c r="EQ8" i="3"/>
  <c r="EP8" i="3"/>
  <c r="EO8" i="3"/>
  <c r="EN8" i="3"/>
  <c r="EM8" i="3"/>
  <c r="EL8" i="3"/>
  <c r="EK8" i="3"/>
  <c r="EJ8" i="3"/>
  <c r="EI8" i="3"/>
  <c r="EH8" i="3"/>
  <c r="EG8" i="3"/>
  <c r="EF8" i="3"/>
  <c r="EE8" i="3"/>
  <c r="ED8" i="3"/>
  <c r="EC8" i="3"/>
  <c r="EB8" i="3"/>
  <c r="EA8" i="3"/>
  <c r="DZ8" i="3"/>
  <c r="DY8" i="3"/>
  <c r="DX8" i="3"/>
  <c r="DW8" i="3"/>
  <c r="DV8" i="3"/>
  <c r="DU8" i="3"/>
  <c r="DT8" i="3"/>
  <c r="DS8" i="3"/>
  <c r="DR8" i="3"/>
  <c r="DQ8" i="3"/>
  <c r="DP8" i="3"/>
  <c r="DO8" i="3"/>
  <c r="DN8" i="3"/>
  <c r="DM8" i="3"/>
  <c r="DL8" i="3"/>
  <c r="DK8" i="3"/>
  <c r="DJ8" i="3"/>
  <c r="DI8" i="3"/>
  <c r="DH8" i="3"/>
  <c r="DG8" i="3"/>
  <c r="DF8" i="3"/>
  <c r="DE8" i="3"/>
  <c r="DD8" i="3"/>
  <c r="DC8" i="3"/>
  <c r="DB8" i="3"/>
  <c r="DA8" i="3"/>
  <c r="CZ8" i="3"/>
  <c r="CY8" i="3"/>
  <c r="CX8" i="3"/>
  <c r="CW8" i="3"/>
  <c r="CV8" i="3"/>
  <c r="CU8" i="3"/>
  <c r="CT8" i="3"/>
  <c r="CS8" i="3"/>
  <c r="CR8" i="3"/>
  <c r="CQ8" i="3"/>
  <c r="CP8" i="3"/>
  <c r="CO8" i="3"/>
  <c r="CN8" i="3"/>
  <c r="CM8" i="3"/>
  <c r="CL8" i="3"/>
  <c r="CK8" i="3"/>
  <c r="CJ8" i="3"/>
  <c r="CI8" i="3"/>
  <c r="CH8" i="3"/>
  <c r="CG8" i="3"/>
  <c r="CF8" i="3"/>
  <c r="CE8" i="3"/>
  <c r="CD8" i="3"/>
  <c r="CC8" i="3"/>
  <c r="CB8" i="3"/>
  <c r="CA8" i="3"/>
  <c r="BZ8" i="3"/>
  <c r="BY8" i="3"/>
  <c r="BX8" i="3"/>
  <c r="BW8" i="3"/>
  <c r="BV8" i="3"/>
  <c r="BU8" i="3"/>
  <c r="BT8" i="3"/>
  <c r="BS8" i="3"/>
  <c r="BR8" i="3"/>
  <c r="BQ8" i="3"/>
  <c r="BP8" i="3"/>
  <c r="BO8" i="3"/>
  <c r="BN8" i="3"/>
  <c r="BM8" i="3"/>
  <c r="BL8" i="3"/>
  <c r="BK8" i="3"/>
  <c r="BJ8" i="3"/>
  <c r="BI8" i="3"/>
  <c r="BH8" i="3"/>
  <c r="BG8" i="3"/>
  <c r="BF8" i="3"/>
  <c r="BE8" i="3"/>
  <c r="BD8" i="3"/>
  <c r="BC8" i="3"/>
  <c r="BB8" i="3"/>
  <c r="BA8" i="3"/>
  <c r="AZ8" i="3"/>
  <c r="AY8" i="3"/>
  <c r="AX8" i="3"/>
  <c r="AW8" i="3"/>
  <c r="AV8" i="3"/>
  <c r="AU8" i="3"/>
  <c r="AT8" i="3"/>
  <c r="AS8" i="3"/>
  <c r="AR8" i="3"/>
  <c r="AQ8" i="3"/>
  <c r="AP8" i="3"/>
  <c r="AO8" i="3"/>
  <c r="AN8" i="3"/>
  <c r="AM8" i="3"/>
  <c r="AL8" i="3"/>
  <c r="AK8" i="3"/>
  <c r="AJ8" i="3"/>
  <c r="AI8" i="3"/>
  <c r="AH8" i="3"/>
  <c r="AG8" i="3"/>
  <c r="AF8" i="3"/>
  <c r="AE8" i="3"/>
  <c r="AD8" i="3"/>
  <c r="AC8" i="3"/>
  <c r="AB8" i="3"/>
  <c r="AA8" i="3"/>
  <c r="Z8" i="3"/>
  <c r="Y8" i="3"/>
  <c r="X8" i="3"/>
  <c r="W8" i="3"/>
  <c r="V8" i="3"/>
  <c r="U8" i="3"/>
  <c r="T8" i="3"/>
  <c r="S8" i="3"/>
  <c r="R8" i="3"/>
  <c r="Q8" i="3"/>
  <c r="P8" i="3"/>
  <c r="O8" i="3"/>
  <c r="N8" i="3"/>
  <c r="M8" i="3"/>
  <c r="L8" i="3"/>
  <c r="K8" i="3"/>
  <c r="J8" i="3"/>
  <c r="I8" i="3"/>
  <c r="H8" i="3"/>
  <c r="G8" i="3"/>
  <c r="F8" i="3"/>
  <c r="E8" i="3"/>
  <c r="D8" i="3"/>
  <c r="FP8" i="3" s="1"/>
  <c r="C8" i="3"/>
  <c r="FO7" i="3"/>
  <c r="FN7" i="3"/>
  <c r="FM7" i="3"/>
  <c r="FL7" i="3"/>
  <c r="FK7" i="3"/>
  <c r="FJ7" i="3"/>
  <c r="FI7" i="3"/>
  <c r="FH7" i="3"/>
  <c r="FG7" i="3"/>
  <c r="FF7" i="3"/>
  <c r="FE7" i="3"/>
  <c r="FD7" i="3"/>
  <c r="FC7" i="3"/>
  <c r="FB7" i="3"/>
  <c r="FA7" i="3"/>
  <c r="EZ7" i="3"/>
  <c r="EY7" i="3"/>
  <c r="EX7" i="3"/>
  <c r="EW7" i="3"/>
  <c r="EV7" i="3"/>
  <c r="EU7" i="3"/>
  <c r="ET7" i="3"/>
  <c r="ES7" i="3"/>
  <c r="ER7" i="3"/>
  <c r="EQ7" i="3"/>
  <c r="EP7" i="3"/>
  <c r="EO7" i="3"/>
  <c r="EN7" i="3"/>
  <c r="EM7" i="3"/>
  <c r="EL7" i="3"/>
  <c r="EK7" i="3"/>
  <c r="EJ7" i="3"/>
  <c r="EI7" i="3"/>
  <c r="EH7" i="3"/>
  <c r="EG7" i="3"/>
  <c r="EF7" i="3"/>
  <c r="EE7" i="3"/>
  <c r="ED7" i="3"/>
  <c r="EC7" i="3"/>
  <c r="EB7" i="3"/>
  <c r="EA7" i="3"/>
  <c r="DZ7" i="3"/>
  <c r="DY7" i="3"/>
  <c r="DX7" i="3"/>
  <c r="DW7" i="3"/>
  <c r="DV7" i="3"/>
  <c r="DU7" i="3"/>
  <c r="DT7" i="3"/>
  <c r="DS7" i="3"/>
  <c r="DR7" i="3"/>
  <c r="DQ7" i="3"/>
  <c r="DP7" i="3"/>
  <c r="DO7" i="3"/>
  <c r="DN7" i="3"/>
  <c r="DM7" i="3"/>
  <c r="DL7" i="3"/>
  <c r="DK7" i="3"/>
  <c r="DJ7" i="3"/>
  <c r="DI7" i="3"/>
  <c r="DH7" i="3"/>
  <c r="DG7" i="3"/>
  <c r="DF7" i="3"/>
  <c r="DE7" i="3"/>
  <c r="DD7" i="3"/>
  <c r="DC7" i="3"/>
  <c r="DB7" i="3"/>
  <c r="DA7" i="3"/>
  <c r="CZ7" i="3"/>
  <c r="CY7" i="3"/>
  <c r="CX7" i="3"/>
  <c r="CW7" i="3"/>
  <c r="CV7" i="3"/>
  <c r="CU7" i="3"/>
  <c r="CT7" i="3"/>
  <c r="CS7" i="3"/>
  <c r="CR7" i="3"/>
  <c r="CQ7" i="3"/>
  <c r="CP7" i="3"/>
  <c r="CO7" i="3"/>
  <c r="CN7" i="3"/>
  <c r="CM7" i="3"/>
  <c r="CL7" i="3"/>
  <c r="CK7" i="3"/>
  <c r="CJ7" i="3"/>
  <c r="CI7" i="3"/>
  <c r="CH7" i="3"/>
  <c r="CG7" i="3"/>
  <c r="CF7" i="3"/>
  <c r="CE7" i="3"/>
  <c r="CD7" i="3"/>
  <c r="CC7" i="3"/>
  <c r="CB7" i="3"/>
  <c r="CA7" i="3"/>
  <c r="BZ7" i="3"/>
  <c r="BY7" i="3"/>
  <c r="BX7" i="3"/>
  <c r="BW7" i="3"/>
  <c r="BV7" i="3"/>
  <c r="BU7" i="3"/>
  <c r="BT7" i="3"/>
  <c r="BS7" i="3"/>
  <c r="BR7" i="3"/>
  <c r="BQ7" i="3"/>
  <c r="BP7" i="3"/>
  <c r="BO7" i="3"/>
  <c r="BN7" i="3"/>
  <c r="BM7" i="3"/>
  <c r="BL7" i="3"/>
  <c r="BK7" i="3"/>
  <c r="BJ7" i="3"/>
  <c r="BI7" i="3"/>
  <c r="BH7" i="3"/>
  <c r="BG7" i="3"/>
  <c r="BF7" i="3"/>
  <c r="BE7" i="3"/>
  <c r="BD7" i="3"/>
  <c r="BC7" i="3"/>
  <c r="BB7" i="3"/>
  <c r="BA7" i="3"/>
  <c r="AZ7" i="3"/>
  <c r="AY7" i="3"/>
  <c r="AX7" i="3"/>
  <c r="AW7" i="3"/>
  <c r="AV7" i="3"/>
  <c r="AU7" i="3"/>
  <c r="AT7" i="3"/>
  <c r="AS7" i="3"/>
  <c r="AR7" i="3"/>
  <c r="AQ7" i="3"/>
  <c r="AP7" i="3"/>
  <c r="AO7" i="3"/>
  <c r="AN7" i="3"/>
  <c r="AM7" i="3"/>
  <c r="AL7" i="3"/>
  <c r="AK7" i="3"/>
  <c r="AJ7" i="3"/>
  <c r="AI7" i="3"/>
  <c r="AH7" i="3"/>
  <c r="AG7" i="3"/>
  <c r="AF7" i="3"/>
  <c r="AE7" i="3"/>
  <c r="AD7" i="3"/>
  <c r="AC7" i="3"/>
  <c r="AB7" i="3"/>
  <c r="AA7" i="3"/>
  <c r="Z7" i="3"/>
  <c r="Y7" i="3"/>
  <c r="X7" i="3"/>
  <c r="W7" i="3"/>
  <c r="V7" i="3"/>
  <c r="U7" i="3"/>
  <c r="T7" i="3"/>
  <c r="S7" i="3"/>
  <c r="R7" i="3"/>
  <c r="Q7" i="3"/>
  <c r="P7" i="3"/>
  <c r="O7" i="3"/>
  <c r="N7" i="3"/>
  <c r="M7" i="3"/>
  <c r="L7" i="3"/>
  <c r="K7" i="3"/>
  <c r="J7" i="3"/>
  <c r="I7" i="3"/>
  <c r="H7" i="3"/>
  <c r="G7" i="3"/>
  <c r="F7" i="3"/>
  <c r="E7" i="3"/>
  <c r="D7" i="3"/>
  <c r="C7" i="3"/>
  <c r="FP7" i="3" s="1"/>
  <c r="FO6" i="3"/>
  <c r="FN6" i="3"/>
  <c r="FM6" i="3"/>
  <c r="FL6" i="3"/>
  <c r="FK6" i="3"/>
  <c r="FJ6" i="3"/>
  <c r="FI6" i="3"/>
  <c r="FH6" i="3"/>
  <c r="FG6" i="3"/>
  <c r="FF6" i="3"/>
  <c r="FE6" i="3"/>
  <c r="FD6" i="3"/>
  <c r="FC6" i="3"/>
  <c r="FB6" i="3"/>
  <c r="FA6" i="3"/>
  <c r="EZ6" i="3"/>
  <c r="EY6" i="3"/>
  <c r="EX6" i="3"/>
  <c r="EW6" i="3"/>
  <c r="EV6" i="3"/>
  <c r="EU6" i="3"/>
  <c r="ET6" i="3"/>
  <c r="ES6" i="3"/>
  <c r="ER6" i="3"/>
  <c r="EQ6" i="3"/>
  <c r="EP6" i="3"/>
  <c r="EO6" i="3"/>
  <c r="EN6" i="3"/>
  <c r="EM6" i="3"/>
  <c r="EL6" i="3"/>
  <c r="EK6" i="3"/>
  <c r="EJ6" i="3"/>
  <c r="EI6" i="3"/>
  <c r="EH6" i="3"/>
  <c r="EG6" i="3"/>
  <c r="EF6" i="3"/>
  <c r="EE6" i="3"/>
  <c r="ED6" i="3"/>
  <c r="EC6" i="3"/>
  <c r="EB6" i="3"/>
  <c r="EA6" i="3"/>
  <c r="DZ6" i="3"/>
  <c r="DY6" i="3"/>
  <c r="DX6" i="3"/>
  <c r="DW6" i="3"/>
  <c r="DV6" i="3"/>
  <c r="DU6" i="3"/>
  <c r="DT6" i="3"/>
  <c r="DS6" i="3"/>
  <c r="DR6" i="3"/>
  <c r="DQ6" i="3"/>
  <c r="DP6" i="3"/>
  <c r="DO6" i="3"/>
  <c r="DN6" i="3"/>
  <c r="DM6" i="3"/>
  <c r="DL6" i="3"/>
  <c r="DK6" i="3"/>
  <c r="DJ6" i="3"/>
  <c r="DI6" i="3"/>
  <c r="DH6" i="3"/>
  <c r="DG6" i="3"/>
  <c r="DF6" i="3"/>
  <c r="DE6" i="3"/>
  <c r="DD6" i="3"/>
  <c r="DC6" i="3"/>
  <c r="DB6" i="3"/>
  <c r="DA6" i="3"/>
  <c r="CZ6" i="3"/>
  <c r="CY6" i="3"/>
  <c r="CX6" i="3"/>
  <c r="CW6" i="3"/>
  <c r="CV6" i="3"/>
  <c r="CU6" i="3"/>
  <c r="CT6" i="3"/>
  <c r="CS6" i="3"/>
  <c r="CR6" i="3"/>
  <c r="CQ6" i="3"/>
  <c r="CP6" i="3"/>
  <c r="CO6" i="3"/>
  <c r="CN6" i="3"/>
  <c r="CM6" i="3"/>
  <c r="CL6" i="3"/>
  <c r="CK6" i="3"/>
  <c r="CJ6" i="3"/>
  <c r="CI6" i="3"/>
  <c r="CH6" i="3"/>
  <c r="CG6" i="3"/>
  <c r="CF6" i="3"/>
  <c r="CE6" i="3"/>
  <c r="CD6" i="3"/>
  <c r="CC6" i="3"/>
  <c r="CB6" i="3"/>
  <c r="CA6" i="3"/>
  <c r="BZ6" i="3"/>
  <c r="BY6" i="3"/>
  <c r="BX6" i="3"/>
  <c r="BW6" i="3"/>
  <c r="BV6" i="3"/>
  <c r="BU6" i="3"/>
  <c r="BT6" i="3"/>
  <c r="BS6" i="3"/>
  <c r="BR6" i="3"/>
  <c r="BQ6" i="3"/>
  <c r="BP6" i="3"/>
  <c r="BO6" i="3"/>
  <c r="BN6" i="3"/>
  <c r="BM6" i="3"/>
  <c r="BL6" i="3"/>
  <c r="BK6" i="3"/>
  <c r="BJ6" i="3"/>
  <c r="BI6" i="3"/>
  <c r="BH6" i="3"/>
  <c r="BG6" i="3"/>
  <c r="BF6" i="3"/>
  <c r="BE6" i="3"/>
  <c r="BD6" i="3"/>
  <c r="BC6" i="3"/>
  <c r="BB6" i="3"/>
  <c r="BA6" i="3"/>
  <c r="AZ6" i="3"/>
  <c r="AY6" i="3"/>
  <c r="AX6" i="3"/>
  <c r="AW6" i="3"/>
  <c r="AV6" i="3"/>
  <c r="AU6" i="3"/>
  <c r="AT6" i="3"/>
  <c r="AS6" i="3"/>
  <c r="AR6" i="3"/>
  <c r="AQ6" i="3"/>
  <c r="AP6" i="3"/>
  <c r="AO6" i="3"/>
  <c r="AN6" i="3"/>
  <c r="AM6" i="3"/>
  <c r="AL6" i="3"/>
  <c r="AK6" i="3"/>
  <c r="AJ6" i="3"/>
  <c r="AI6" i="3"/>
  <c r="AH6" i="3"/>
  <c r="AG6" i="3"/>
  <c r="AF6" i="3"/>
  <c r="AE6" i="3"/>
  <c r="AD6" i="3"/>
  <c r="AC6" i="3"/>
  <c r="AB6" i="3"/>
  <c r="AA6" i="3"/>
  <c r="Z6" i="3"/>
  <c r="Y6" i="3"/>
  <c r="X6" i="3"/>
  <c r="W6" i="3"/>
  <c r="V6" i="3"/>
  <c r="U6" i="3"/>
  <c r="T6" i="3"/>
  <c r="S6" i="3"/>
  <c r="R6" i="3"/>
  <c r="Q6" i="3"/>
  <c r="P6" i="3"/>
  <c r="O6" i="3"/>
  <c r="N6" i="3"/>
  <c r="M6" i="3"/>
  <c r="L6" i="3"/>
  <c r="K6" i="3"/>
  <c r="J6" i="3"/>
  <c r="I6" i="3"/>
  <c r="H6" i="3"/>
  <c r="G6" i="3"/>
  <c r="F6" i="3"/>
  <c r="E6" i="3"/>
  <c r="D6" i="3"/>
  <c r="C6" i="3"/>
  <c r="FP6" i="3" s="1"/>
  <c r="FO5" i="3"/>
  <c r="FN5" i="3"/>
  <c r="FM5" i="3"/>
  <c r="FL5" i="3"/>
  <c r="FK5" i="3"/>
  <c r="FJ5" i="3"/>
  <c r="FI5" i="3"/>
  <c r="FI17" i="3" s="1"/>
  <c r="FH5" i="3"/>
  <c r="FH17" i="3" s="1"/>
  <c r="FG5" i="3"/>
  <c r="FF5" i="3"/>
  <c r="FE5" i="3"/>
  <c r="FD5" i="3"/>
  <c r="FC5" i="3"/>
  <c r="FB5" i="3"/>
  <c r="FA5" i="3"/>
  <c r="FA17" i="3" s="1"/>
  <c r="EZ5" i="3"/>
  <c r="EZ17" i="3" s="1"/>
  <c r="EY5" i="3"/>
  <c r="EX5" i="3"/>
  <c r="EW5" i="3"/>
  <c r="EV5" i="3"/>
  <c r="EU5" i="3"/>
  <c r="ET5" i="3"/>
  <c r="ES5" i="3"/>
  <c r="ES17" i="3" s="1"/>
  <c r="ER5" i="3"/>
  <c r="ER17" i="3" s="1"/>
  <c r="EQ5" i="3"/>
  <c r="EP5" i="3"/>
  <c r="EO5" i="3"/>
  <c r="EN5" i="3"/>
  <c r="EM5" i="3"/>
  <c r="EL5" i="3"/>
  <c r="EK5" i="3"/>
  <c r="EK17" i="3" s="1"/>
  <c r="EJ5" i="3"/>
  <c r="EJ17" i="3" s="1"/>
  <c r="EI5" i="3"/>
  <c r="EH5" i="3"/>
  <c r="EG5" i="3"/>
  <c r="EF5" i="3"/>
  <c r="EE5" i="3"/>
  <c r="ED5" i="3"/>
  <c r="EC5" i="3"/>
  <c r="EC17" i="3" s="1"/>
  <c r="EB5" i="3"/>
  <c r="EB17" i="3" s="1"/>
  <c r="EA5" i="3"/>
  <c r="DZ5" i="3"/>
  <c r="DY5" i="3"/>
  <c r="DX5" i="3"/>
  <c r="DW5" i="3"/>
  <c r="DV5" i="3"/>
  <c r="DU5" i="3"/>
  <c r="DU17" i="3" s="1"/>
  <c r="DT5" i="3"/>
  <c r="DT17" i="3" s="1"/>
  <c r="DS5" i="3"/>
  <c r="DR5" i="3"/>
  <c r="DQ5" i="3"/>
  <c r="DP5" i="3"/>
  <c r="DO5" i="3"/>
  <c r="DN5" i="3"/>
  <c r="DM5" i="3"/>
  <c r="DM17" i="3" s="1"/>
  <c r="DL5" i="3"/>
  <c r="DL17" i="3" s="1"/>
  <c r="DK5" i="3"/>
  <c r="DJ5" i="3"/>
  <c r="DI5" i="3"/>
  <c r="DH5" i="3"/>
  <c r="DG5" i="3"/>
  <c r="DF5" i="3"/>
  <c r="DE5" i="3"/>
  <c r="DE17" i="3" s="1"/>
  <c r="DD5" i="3"/>
  <c r="DD17" i="3" s="1"/>
  <c r="DC5" i="3"/>
  <c r="DB5" i="3"/>
  <c r="DA5" i="3"/>
  <c r="CZ5" i="3"/>
  <c r="CY5" i="3"/>
  <c r="CX5" i="3"/>
  <c r="CW5" i="3"/>
  <c r="CW17" i="3" s="1"/>
  <c r="CV5" i="3"/>
  <c r="CV17" i="3" s="1"/>
  <c r="CU5" i="3"/>
  <c r="CT5" i="3"/>
  <c r="CS5" i="3"/>
  <c r="CR5" i="3"/>
  <c r="CQ5" i="3"/>
  <c r="CP5" i="3"/>
  <c r="CO5" i="3"/>
  <c r="CO17" i="3" s="1"/>
  <c r="CN5" i="3"/>
  <c r="CN17" i="3" s="1"/>
  <c r="CM5" i="3"/>
  <c r="CL5" i="3"/>
  <c r="CK5" i="3"/>
  <c r="CJ5" i="3"/>
  <c r="CI5" i="3"/>
  <c r="CH5" i="3"/>
  <c r="CG5" i="3"/>
  <c r="CG17" i="3" s="1"/>
  <c r="CF5" i="3"/>
  <c r="CF17" i="3" s="1"/>
  <c r="CE5" i="3"/>
  <c r="CD5" i="3"/>
  <c r="CC5" i="3"/>
  <c r="CB5" i="3"/>
  <c r="CA5" i="3"/>
  <c r="BZ5" i="3"/>
  <c r="BY5" i="3"/>
  <c r="BY17" i="3" s="1"/>
  <c r="BX5" i="3"/>
  <c r="BX17" i="3" s="1"/>
  <c r="BW5" i="3"/>
  <c r="BV5" i="3"/>
  <c r="BU5" i="3"/>
  <c r="BT5" i="3"/>
  <c r="BS5" i="3"/>
  <c r="BR5" i="3"/>
  <c r="BQ5" i="3"/>
  <c r="BQ17" i="3" s="1"/>
  <c r="BP5" i="3"/>
  <c r="BP17" i="3" s="1"/>
  <c r="BO5" i="3"/>
  <c r="BN5" i="3"/>
  <c r="BM5" i="3"/>
  <c r="BL5" i="3"/>
  <c r="BK5" i="3"/>
  <c r="BJ5" i="3"/>
  <c r="BI5" i="3"/>
  <c r="BI17" i="3" s="1"/>
  <c r="BH5" i="3"/>
  <c r="BH17" i="3" s="1"/>
  <c r="BG5" i="3"/>
  <c r="BF5" i="3"/>
  <c r="BE5" i="3"/>
  <c r="BD5" i="3"/>
  <c r="BC5" i="3"/>
  <c r="BB5" i="3"/>
  <c r="BA5" i="3"/>
  <c r="BA17" i="3" s="1"/>
  <c r="AZ5" i="3"/>
  <c r="AZ17" i="3" s="1"/>
  <c r="AY5" i="3"/>
  <c r="AX5" i="3"/>
  <c r="AW5" i="3"/>
  <c r="AV5" i="3"/>
  <c r="AU5" i="3"/>
  <c r="AT5" i="3"/>
  <c r="AS5" i="3"/>
  <c r="AS17" i="3" s="1"/>
  <c r="AR5" i="3"/>
  <c r="AR17" i="3" s="1"/>
  <c r="AQ5" i="3"/>
  <c r="AP5" i="3"/>
  <c r="AO5" i="3"/>
  <c r="AN5" i="3"/>
  <c r="AM5" i="3"/>
  <c r="AL5" i="3"/>
  <c r="AK5" i="3"/>
  <c r="AK17" i="3" s="1"/>
  <c r="AJ5" i="3"/>
  <c r="AJ17" i="3" s="1"/>
  <c r="AI5" i="3"/>
  <c r="AH5" i="3"/>
  <c r="AG5" i="3"/>
  <c r="AF5" i="3"/>
  <c r="AE5" i="3"/>
  <c r="AD5" i="3"/>
  <c r="AC5" i="3"/>
  <c r="AC17" i="3" s="1"/>
  <c r="AB5" i="3"/>
  <c r="AB17" i="3" s="1"/>
  <c r="AA5" i="3"/>
  <c r="Z5" i="3"/>
  <c r="Y5" i="3"/>
  <c r="X5" i="3"/>
  <c r="W5" i="3"/>
  <c r="V5" i="3"/>
  <c r="U5" i="3"/>
  <c r="U17" i="3" s="1"/>
  <c r="T5" i="3"/>
  <c r="T17" i="3" s="1"/>
  <c r="S5" i="3"/>
  <c r="R5" i="3"/>
  <c r="Q5" i="3"/>
  <c r="P5" i="3"/>
  <c r="O5" i="3"/>
  <c r="N5" i="3"/>
  <c r="M5" i="3"/>
  <c r="L5" i="3"/>
  <c r="L17" i="3" s="1"/>
  <c r="K5" i="3"/>
  <c r="J5" i="3"/>
  <c r="I5" i="3"/>
  <c r="H5" i="3"/>
  <c r="G5" i="3"/>
  <c r="F5" i="3"/>
  <c r="E5" i="3"/>
  <c r="D5" i="3"/>
  <c r="D17" i="3" s="1"/>
  <c r="C5" i="3"/>
  <c r="FO4" i="3"/>
  <c r="FN4" i="3"/>
  <c r="FM4" i="3"/>
  <c r="FL4" i="3"/>
  <c r="FK4" i="3"/>
  <c r="FJ4" i="3"/>
  <c r="FI4" i="3"/>
  <c r="FH4" i="3"/>
  <c r="FG4" i="3"/>
  <c r="FF4" i="3"/>
  <c r="FE4" i="3"/>
  <c r="FD4" i="3"/>
  <c r="FC4" i="3"/>
  <c r="FB4" i="3"/>
  <c r="FA4" i="3"/>
  <c r="EZ4" i="3"/>
  <c r="EY4" i="3"/>
  <c r="EX4" i="3"/>
  <c r="EW4" i="3"/>
  <c r="EV4" i="3"/>
  <c r="EU4" i="3"/>
  <c r="ET4" i="3"/>
  <c r="ES4" i="3"/>
  <c r="ER4" i="3"/>
  <c r="EQ4" i="3"/>
  <c r="EP4" i="3"/>
  <c r="EO4" i="3"/>
  <c r="EN4" i="3"/>
  <c r="EM4" i="3"/>
  <c r="EL4" i="3"/>
  <c r="EK4" i="3"/>
  <c r="EJ4" i="3"/>
  <c r="EI4" i="3"/>
  <c r="EH4" i="3"/>
  <c r="EG4" i="3"/>
  <c r="EF4" i="3"/>
  <c r="EE4" i="3"/>
  <c r="ED4" i="3"/>
  <c r="EC4" i="3"/>
  <c r="EB4" i="3"/>
  <c r="EA4" i="3"/>
  <c r="DZ4" i="3"/>
  <c r="DY4" i="3"/>
  <c r="DX4" i="3"/>
  <c r="DW4" i="3"/>
  <c r="DV4" i="3"/>
  <c r="DU4" i="3"/>
  <c r="DT4" i="3"/>
  <c r="DS4" i="3"/>
  <c r="DR4" i="3"/>
  <c r="DQ4" i="3"/>
  <c r="DP4" i="3"/>
  <c r="DO4" i="3"/>
  <c r="DN4" i="3"/>
  <c r="DM4" i="3"/>
  <c r="DL4" i="3"/>
  <c r="DK4" i="3"/>
  <c r="DJ4" i="3"/>
  <c r="DI4" i="3"/>
  <c r="DH4" i="3"/>
  <c r="DG4" i="3"/>
  <c r="DF4" i="3"/>
  <c r="DE4" i="3"/>
  <c r="DD4" i="3"/>
  <c r="DC4" i="3"/>
  <c r="DB4" i="3"/>
  <c r="DA4" i="3"/>
  <c r="CZ4" i="3"/>
  <c r="CY4" i="3"/>
  <c r="CX4" i="3"/>
  <c r="CW4" i="3"/>
  <c r="CV4" i="3"/>
  <c r="CU4" i="3"/>
  <c r="CT4" i="3"/>
  <c r="CS4" i="3"/>
  <c r="CR4" i="3"/>
  <c r="CQ4" i="3"/>
  <c r="CP4" i="3"/>
  <c r="CO4" i="3"/>
  <c r="CN4" i="3"/>
  <c r="CM4" i="3"/>
  <c r="CL4" i="3"/>
  <c r="CK4" i="3"/>
  <c r="CJ4" i="3"/>
  <c r="CI4" i="3"/>
  <c r="CH4" i="3"/>
  <c r="CG4" i="3"/>
  <c r="CF4" i="3"/>
  <c r="CE4" i="3"/>
  <c r="CD4" i="3"/>
  <c r="CC4" i="3"/>
  <c r="CB4" i="3"/>
  <c r="CA4" i="3"/>
  <c r="BZ4" i="3"/>
  <c r="BY4" i="3"/>
  <c r="BX4" i="3"/>
  <c r="BW4" i="3"/>
  <c r="BV4" i="3"/>
  <c r="BU4" i="3"/>
  <c r="BT4" i="3"/>
  <c r="BS4" i="3"/>
  <c r="BR4" i="3"/>
  <c r="BQ4" i="3"/>
  <c r="BP4" i="3"/>
  <c r="BO4" i="3"/>
  <c r="BN4" i="3"/>
  <c r="BM4" i="3"/>
  <c r="BL4" i="3"/>
  <c r="BK4" i="3"/>
  <c r="BJ4" i="3"/>
  <c r="BI4" i="3"/>
  <c r="BH4" i="3"/>
  <c r="BG4" i="3"/>
  <c r="BF4" i="3"/>
  <c r="BE4" i="3"/>
  <c r="BD4" i="3"/>
  <c r="BC4" i="3"/>
  <c r="BB4" i="3"/>
  <c r="BA4" i="3"/>
  <c r="AZ4" i="3"/>
  <c r="AY4" i="3"/>
  <c r="AX4" i="3"/>
  <c r="AW4" i="3"/>
  <c r="AV4" i="3"/>
  <c r="AU4" i="3"/>
  <c r="AT4" i="3"/>
  <c r="AS4" i="3"/>
  <c r="AR4" i="3"/>
  <c r="AQ4" i="3"/>
  <c r="AP4" i="3"/>
  <c r="AO4" i="3"/>
  <c r="AN4" i="3"/>
  <c r="AM4" i="3"/>
  <c r="AL4" i="3"/>
  <c r="AK4" i="3"/>
  <c r="AJ4" i="3"/>
  <c r="AI4" i="3"/>
  <c r="AH4" i="3"/>
  <c r="AG4" i="3"/>
  <c r="AF4" i="3"/>
  <c r="AE4" i="3"/>
  <c r="AD4" i="3"/>
  <c r="AC4" i="3"/>
  <c r="AB4" i="3"/>
  <c r="AA4" i="3"/>
  <c r="Z4" i="3"/>
  <c r="Y4" i="3"/>
  <c r="X4" i="3"/>
  <c r="W4" i="3"/>
  <c r="V4" i="3"/>
  <c r="U4" i="3"/>
  <c r="T4" i="3"/>
  <c r="S4" i="3"/>
  <c r="R4" i="3"/>
  <c r="Q4" i="3"/>
  <c r="P4" i="3"/>
  <c r="O4" i="3"/>
  <c r="N4" i="3"/>
  <c r="M4" i="3"/>
  <c r="M17" i="3" s="1"/>
  <c r="L4" i="3"/>
  <c r="K4" i="3"/>
  <c r="J4" i="3"/>
  <c r="I4" i="3"/>
  <c r="H4" i="3"/>
  <c r="G4" i="3"/>
  <c r="F4" i="3"/>
  <c r="E4" i="3"/>
  <c r="E17" i="3" s="1"/>
  <c r="D4" i="3"/>
  <c r="FP4" i="3" s="1"/>
  <c r="C4" i="3"/>
  <c r="FO3" i="3"/>
  <c r="FO17" i="3" s="1"/>
  <c r="FN3" i="3"/>
  <c r="FN17" i="3" s="1"/>
  <c r="FM3" i="3"/>
  <c r="FM17" i="3" s="1"/>
  <c r="FL3" i="3"/>
  <c r="FL17" i="3" s="1"/>
  <c r="FK3" i="3"/>
  <c r="FK17" i="3" s="1"/>
  <c r="FJ3" i="3"/>
  <c r="FJ17" i="3" s="1"/>
  <c r="FI3" i="3"/>
  <c r="FH3" i="3"/>
  <c r="FG3" i="3"/>
  <c r="FG17" i="3" s="1"/>
  <c r="FF3" i="3"/>
  <c r="FF17" i="3" s="1"/>
  <c r="FE3" i="3"/>
  <c r="FE17" i="3" s="1"/>
  <c r="FD3" i="3"/>
  <c r="FD17" i="3" s="1"/>
  <c r="FC3" i="3"/>
  <c r="FC17" i="3" s="1"/>
  <c r="FB3" i="3"/>
  <c r="FB17" i="3" s="1"/>
  <c r="FA3" i="3"/>
  <c r="EZ3" i="3"/>
  <c r="EY3" i="3"/>
  <c r="EY17" i="3" s="1"/>
  <c r="EX3" i="3"/>
  <c r="EX17" i="3" s="1"/>
  <c r="EW3" i="3"/>
  <c r="EW17" i="3" s="1"/>
  <c r="EV3" i="3"/>
  <c r="EV17" i="3" s="1"/>
  <c r="EU3" i="3"/>
  <c r="EU17" i="3" s="1"/>
  <c r="ET3" i="3"/>
  <c r="ET17" i="3" s="1"/>
  <c r="ES3" i="3"/>
  <c r="ER3" i="3"/>
  <c r="EQ3" i="3"/>
  <c r="EQ17" i="3" s="1"/>
  <c r="EP3" i="3"/>
  <c r="EP17" i="3" s="1"/>
  <c r="EO3" i="3"/>
  <c r="EO17" i="3" s="1"/>
  <c r="EN3" i="3"/>
  <c r="EN17" i="3" s="1"/>
  <c r="EM3" i="3"/>
  <c r="EM17" i="3" s="1"/>
  <c r="EL3" i="3"/>
  <c r="EL17" i="3" s="1"/>
  <c r="EK3" i="3"/>
  <c r="EJ3" i="3"/>
  <c r="EI3" i="3"/>
  <c r="EI17" i="3" s="1"/>
  <c r="EH3" i="3"/>
  <c r="EH17" i="3" s="1"/>
  <c r="EG3" i="3"/>
  <c r="EG17" i="3" s="1"/>
  <c r="EF3" i="3"/>
  <c r="EF17" i="3" s="1"/>
  <c r="EE3" i="3"/>
  <c r="EE17" i="3" s="1"/>
  <c r="ED3" i="3"/>
  <c r="ED17" i="3" s="1"/>
  <c r="EC3" i="3"/>
  <c r="EB3" i="3"/>
  <c r="EA3" i="3"/>
  <c r="EA17" i="3" s="1"/>
  <c r="DZ3" i="3"/>
  <c r="DZ17" i="3" s="1"/>
  <c r="DY3" i="3"/>
  <c r="DY17" i="3" s="1"/>
  <c r="DX3" i="3"/>
  <c r="DX17" i="3" s="1"/>
  <c r="DW3" i="3"/>
  <c r="DW17" i="3" s="1"/>
  <c r="DV3" i="3"/>
  <c r="DV17" i="3" s="1"/>
  <c r="DU3" i="3"/>
  <c r="DT3" i="3"/>
  <c r="DS3" i="3"/>
  <c r="DS17" i="3" s="1"/>
  <c r="DR3" i="3"/>
  <c r="DR17" i="3" s="1"/>
  <c r="DQ3" i="3"/>
  <c r="DQ17" i="3" s="1"/>
  <c r="DP3" i="3"/>
  <c r="DP17" i="3" s="1"/>
  <c r="DO3" i="3"/>
  <c r="DO17" i="3" s="1"/>
  <c r="DN3" i="3"/>
  <c r="DN17" i="3" s="1"/>
  <c r="DM3" i="3"/>
  <c r="DL3" i="3"/>
  <c r="DK3" i="3"/>
  <c r="DK17" i="3" s="1"/>
  <c r="DJ3" i="3"/>
  <c r="DJ17" i="3" s="1"/>
  <c r="DI3" i="3"/>
  <c r="DI17" i="3" s="1"/>
  <c r="DH3" i="3"/>
  <c r="DH17" i="3" s="1"/>
  <c r="DG3" i="3"/>
  <c r="DG17" i="3" s="1"/>
  <c r="DF3" i="3"/>
  <c r="DF17" i="3" s="1"/>
  <c r="DE3" i="3"/>
  <c r="DD3" i="3"/>
  <c r="DC3" i="3"/>
  <c r="DC17" i="3" s="1"/>
  <c r="DB3" i="3"/>
  <c r="DB17" i="3" s="1"/>
  <c r="DA3" i="3"/>
  <c r="DA17" i="3" s="1"/>
  <c r="CZ3" i="3"/>
  <c r="CZ17" i="3" s="1"/>
  <c r="CY3" i="3"/>
  <c r="CY17" i="3" s="1"/>
  <c r="CX3" i="3"/>
  <c r="CX17" i="3" s="1"/>
  <c r="CW3" i="3"/>
  <c r="CV3" i="3"/>
  <c r="CU3" i="3"/>
  <c r="CU17" i="3" s="1"/>
  <c r="CT3" i="3"/>
  <c r="CT17" i="3" s="1"/>
  <c r="CS3" i="3"/>
  <c r="CS17" i="3" s="1"/>
  <c r="CR3" i="3"/>
  <c r="CR17" i="3" s="1"/>
  <c r="CQ3" i="3"/>
  <c r="CQ17" i="3" s="1"/>
  <c r="CP3" i="3"/>
  <c r="CP17" i="3" s="1"/>
  <c r="CO3" i="3"/>
  <c r="CN3" i="3"/>
  <c r="CM3" i="3"/>
  <c r="CM17" i="3" s="1"/>
  <c r="CL3" i="3"/>
  <c r="CL17" i="3" s="1"/>
  <c r="CK3" i="3"/>
  <c r="CK17" i="3" s="1"/>
  <c r="CJ3" i="3"/>
  <c r="CJ17" i="3" s="1"/>
  <c r="CI3" i="3"/>
  <c r="CI17" i="3" s="1"/>
  <c r="CH3" i="3"/>
  <c r="CH17" i="3" s="1"/>
  <c r="CG3" i="3"/>
  <c r="CF3" i="3"/>
  <c r="CE3" i="3"/>
  <c r="CE17" i="3" s="1"/>
  <c r="CD3" i="3"/>
  <c r="CD17" i="3" s="1"/>
  <c r="CC3" i="3"/>
  <c r="CC17" i="3" s="1"/>
  <c r="CB3" i="3"/>
  <c r="CB17" i="3" s="1"/>
  <c r="CA3" i="3"/>
  <c r="CA17" i="3" s="1"/>
  <c r="BZ3" i="3"/>
  <c r="BZ17" i="3" s="1"/>
  <c r="BY3" i="3"/>
  <c r="BX3" i="3"/>
  <c r="BW3" i="3"/>
  <c r="BW17" i="3" s="1"/>
  <c r="BV3" i="3"/>
  <c r="BV17" i="3" s="1"/>
  <c r="BU3" i="3"/>
  <c r="BU17" i="3" s="1"/>
  <c r="BT3" i="3"/>
  <c r="BT17" i="3" s="1"/>
  <c r="BS3" i="3"/>
  <c r="BS17" i="3" s="1"/>
  <c r="BR3" i="3"/>
  <c r="BR17" i="3" s="1"/>
  <c r="BQ3" i="3"/>
  <c r="BP3" i="3"/>
  <c r="BO3" i="3"/>
  <c r="BO17" i="3" s="1"/>
  <c r="BN3" i="3"/>
  <c r="BN17" i="3" s="1"/>
  <c r="BM3" i="3"/>
  <c r="BM17" i="3" s="1"/>
  <c r="BL3" i="3"/>
  <c r="BL17" i="3" s="1"/>
  <c r="BK3" i="3"/>
  <c r="BK17" i="3" s="1"/>
  <c r="BJ3" i="3"/>
  <c r="BJ17" i="3" s="1"/>
  <c r="BI3" i="3"/>
  <c r="BH3" i="3"/>
  <c r="BG3" i="3"/>
  <c r="BG17" i="3" s="1"/>
  <c r="BF3" i="3"/>
  <c r="BF17" i="3" s="1"/>
  <c r="BE3" i="3"/>
  <c r="BE17" i="3" s="1"/>
  <c r="BD3" i="3"/>
  <c r="BD17" i="3" s="1"/>
  <c r="BC3" i="3"/>
  <c r="BC17" i="3" s="1"/>
  <c r="BB3" i="3"/>
  <c r="BB17" i="3" s="1"/>
  <c r="BA3" i="3"/>
  <c r="AZ3" i="3"/>
  <c r="AY3" i="3"/>
  <c r="AY17" i="3" s="1"/>
  <c r="AX3" i="3"/>
  <c r="AX17" i="3" s="1"/>
  <c r="AW3" i="3"/>
  <c r="AW17" i="3" s="1"/>
  <c r="AV3" i="3"/>
  <c r="AV17" i="3" s="1"/>
  <c r="AU3" i="3"/>
  <c r="AU17" i="3" s="1"/>
  <c r="AT3" i="3"/>
  <c r="AT17" i="3" s="1"/>
  <c r="AS3" i="3"/>
  <c r="AR3" i="3"/>
  <c r="AQ3" i="3"/>
  <c r="AQ17" i="3" s="1"/>
  <c r="AP3" i="3"/>
  <c r="AP17" i="3" s="1"/>
  <c r="AO3" i="3"/>
  <c r="AO17" i="3" s="1"/>
  <c r="AN3" i="3"/>
  <c r="AN17" i="3" s="1"/>
  <c r="AM3" i="3"/>
  <c r="AM17" i="3" s="1"/>
  <c r="AL3" i="3"/>
  <c r="AL17" i="3" s="1"/>
  <c r="AK3" i="3"/>
  <c r="AJ3" i="3"/>
  <c r="AI3" i="3"/>
  <c r="AI17" i="3" s="1"/>
  <c r="AH3" i="3"/>
  <c r="AH17" i="3" s="1"/>
  <c r="AG3" i="3"/>
  <c r="AG17" i="3" s="1"/>
  <c r="AF3" i="3"/>
  <c r="AF17" i="3" s="1"/>
  <c r="AE3" i="3"/>
  <c r="AE17" i="3" s="1"/>
  <c r="AD3" i="3"/>
  <c r="AD17" i="3" s="1"/>
  <c r="AC3" i="3"/>
  <c r="AB3" i="3"/>
  <c r="AA3" i="3"/>
  <c r="AA17" i="3" s="1"/>
  <c r="Z3" i="3"/>
  <c r="Z17" i="3" s="1"/>
  <c r="Y3" i="3"/>
  <c r="Y17" i="3" s="1"/>
  <c r="X3" i="3"/>
  <c r="X17" i="3" s="1"/>
  <c r="W3" i="3"/>
  <c r="W17" i="3" s="1"/>
  <c r="V3" i="3"/>
  <c r="V17" i="3" s="1"/>
  <c r="U3" i="3"/>
  <c r="T3" i="3"/>
  <c r="S3" i="3"/>
  <c r="S17" i="3" s="1"/>
  <c r="R3" i="3"/>
  <c r="R17" i="3" s="1"/>
  <c r="Q3" i="3"/>
  <c r="Q17" i="3" s="1"/>
  <c r="P3" i="3"/>
  <c r="P17" i="3" s="1"/>
  <c r="O3" i="3"/>
  <c r="O17" i="3" s="1"/>
  <c r="N3" i="3"/>
  <c r="N17" i="3" s="1"/>
  <c r="M3" i="3"/>
  <c r="L3" i="3"/>
  <c r="K3" i="3"/>
  <c r="K17" i="3" s="1"/>
  <c r="J3" i="3"/>
  <c r="J17" i="3" s="1"/>
  <c r="I3" i="3"/>
  <c r="I17" i="3" s="1"/>
  <c r="H3" i="3"/>
  <c r="H17" i="3" s="1"/>
  <c r="G3" i="3"/>
  <c r="G17" i="3" s="1"/>
  <c r="F3" i="3"/>
  <c r="F17" i="3" s="1"/>
  <c r="E3" i="3"/>
  <c r="D3" i="3"/>
  <c r="C3" i="3"/>
  <c r="FP3" i="3" s="1"/>
  <c r="C6" i="2"/>
  <c r="C5" i="2"/>
  <c r="C4" i="2"/>
  <c r="C3" i="2"/>
  <c r="J123" i="4" l="1"/>
  <c r="J136" i="4"/>
  <c r="J56" i="4"/>
  <c r="J121" i="4"/>
  <c r="J125" i="4"/>
  <c r="J128" i="4"/>
  <c r="J93" i="4"/>
  <c r="J167" i="4"/>
  <c r="J71" i="4"/>
  <c r="J25" i="4"/>
  <c r="J99" i="4"/>
  <c r="J137" i="4"/>
  <c r="J146" i="4"/>
  <c r="J42" i="4"/>
  <c r="J134" i="4"/>
  <c r="J60" i="4"/>
  <c r="J155" i="4"/>
  <c r="J33" i="4"/>
  <c r="J95" i="4"/>
  <c r="J50" i="4"/>
  <c r="F6" i="6"/>
  <c r="C44" i="6"/>
  <c r="I34" i="6"/>
  <c r="I39" i="6"/>
  <c r="D44" i="6"/>
  <c r="I36" i="6"/>
  <c r="I38" i="6"/>
  <c r="I37" i="6"/>
  <c r="E6" i="6"/>
  <c r="E35" i="5"/>
  <c r="E33" i="5"/>
  <c r="E40" i="5"/>
  <c r="E37" i="5"/>
  <c r="E41" i="5"/>
  <c r="J127" i="4"/>
  <c r="J129" i="4"/>
  <c r="J131" i="4"/>
  <c r="J24" i="4"/>
  <c r="J138" i="4"/>
  <c r="J141" i="4"/>
  <c r="J110" i="4"/>
  <c r="J41" i="4"/>
  <c r="J119" i="4"/>
  <c r="J7" i="4"/>
  <c r="J22" i="4"/>
  <c r="J150" i="4"/>
  <c r="J19" i="4"/>
  <c r="J8" i="4"/>
  <c r="J87" i="4"/>
  <c r="J120" i="4"/>
  <c r="J68" i="4"/>
  <c r="J16" i="4"/>
  <c r="J139" i="4"/>
  <c r="J55" i="4"/>
  <c r="J144" i="4"/>
  <c r="J117" i="4"/>
  <c r="J59" i="4"/>
  <c r="J109" i="4"/>
  <c r="J34" i="4"/>
  <c r="J98" i="4"/>
  <c r="J36" i="4"/>
  <c r="J10" i="4"/>
  <c r="J78" i="4"/>
  <c r="J142" i="4"/>
  <c r="J112" i="4"/>
  <c r="J135" i="4"/>
  <c r="J26" i="4"/>
  <c r="J39" i="4"/>
  <c r="J11" i="4"/>
  <c r="J80" i="4"/>
  <c r="J111" i="4"/>
  <c r="J85" i="4"/>
  <c r="J61" i="4"/>
  <c r="J122" i="4"/>
  <c r="J92" i="4"/>
  <c r="J32" i="4"/>
  <c r="J168" i="4"/>
  <c r="H171" i="4"/>
  <c r="J147" i="4"/>
  <c r="J47" i="4"/>
  <c r="J72" i="4"/>
  <c r="J73" i="4"/>
  <c r="J51" i="4"/>
  <c r="J5" i="4"/>
  <c r="J17" i="4"/>
  <c r="J103" i="4"/>
  <c r="J108" i="4"/>
  <c r="J88" i="4"/>
  <c r="J116" i="4"/>
  <c r="J158" i="4"/>
  <c r="J163" i="4"/>
  <c r="J164" i="4"/>
  <c r="J165" i="4"/>
  <c r="G171" i="4"/>
  <c r="J118" i="4"/>
  <c r="J69" i="4"/>
  <c r="J48" i="4"/>
  <c r="J37" i="4"/>
  <c r="J53" i="4"/>
  <c r="J105" i="4"/>
  <c r="J12" i="4"/>
  <c r="J114" i="4"/>
  <c r="J157" i="4"/>
  <c r="J160" i="4"/>
  <c r="J45" i="4"/>
  <c r="J3" i="4"/>
  <c r="J96" i="4"/>
  <c r="J102" i="4"/>
  <c r="J40" i="4"/>
  <c r="J106" i="4"/>
  <c r="J151" i="4"/>
  <c r="J86" i="4"/>
  <c r="J63" i="4"/>
  <c r="J124" i="4"/>
  <c r="J66" i="4"/>
  <c r="J170" i="4"/>
  <c r="J153" i="4"/>
  <c r="I171" i="4"/>
  <c r="J70" i="4"/>
  <c r="J14" i="4"/>
  <c r="J75" i="4"/>
  <c r="J28" i="4"/>
  <c r="J29" i="4"/>
  <c r="J57" i="4"/>
  <c r="J18" i="4"/>
  <c r="J81" i="4"/>
  <c r="J82" i="4"/>
  <c r="J83" i="4"/>
  <c r="J31" i="4"/>
  <c r="J89" i="4"/>
  <c r="J159" i="4"/>
  <c r="J2" i="4"/>
  <c r="J4" i="4"/>
  <c r="J169" i="4"/>
  <c r="C7" i="2"/>
  <c r="D4" i="2" s="1"/>
  <c r="FP17" i="3"/>
  <c r="D6" i="2"/>
  <c r="D5" i="2"/>
  <c r="J15" i="4"/>
  <c r="J27" i="4"/>
  <c r="J54" i="4"/>
  <c r="J58" i="4"/>
  <c r="J107" i="4"/>
  <c r="J84" i="4"/>
  <c r="J13" i="4"/>
  <c r="J90" i="4"/>
  <c r="J161" i="4"/>
  <c r="J130" i="4"/>
  <c r="C44" i="5"/>
  <c r="E30" i="5"/>
  <c r="I31" i="6"/>
  <c r="C17" i="3"/>
  <c r="J49" i="4"/>
  <c r="J100" i="4"/>
  <c r="J77" i="4"/>
  <c r="J6" i="4"/>
  <c r="J148" i="4"/>
  <c r="J113" i="4"/>
  <c r="J62" i="4"/>
  <c r="J21" i="4"/>
  <c r="J126" i="4"/>
  <c r="J46" i="4"/>
  <c r="D44" i="5"/>
  <c r="C6" i="5"/>
  <c r="E3" i="5"/>
  <c r="E6" i="5" s="1"/>
  <c r="E44" i="6"/>
  <c r="I42" i="6"/>
  <c r="FP5" i="3"/>
  <c r="J166" i="4"/>
  <c r="D3" i="2"/>
  <c r="J74" i="4"/>
  <c r="J52" i="4"/>
  <c r="J79" i="4"/>
  <c r="J104" i="4"/>
  <c r="J20" i="4"/>
  <c r="J154" i="4"/>
  <c r="J65" i="4"/>
  <c r="J44" i="4"/>
  <c r="J23" i="4"/>
  <c r="I4" i="6"/>
  <c r="F44" i="6"/>
  <c r="I33" i="6"/>
  <c r="J97" i="4"/>
  <c r="J38" i="4"/>
  <c r="J140" i="4"/>
  <c r="J145" i="4"/>
  <c r="J30" i="4"/>
  <c r="J115" i="4"/>
  <c r="J156" i="4"/>
  <c r="J91" i="4"/>
  <c r="J9" i="4"/>
  <c r="J94" i="4"/>
  <c r="G44" i="6"/>
  <c r="I41" i="6"/>
  <c r="J67" i="4"/>
  <c r="I3" i="6"/>
  <c r="I6" i="6" s="1"/>
  <c r="H44" i="6"/>
  <c r="I32" i="6"/>
  <c r="J35" i="4"/>
  <c r="J76" i="4"/>
  <c r="J101" i="4"/>
  <c r="J143" i="4"/>
  <c r="J149" i="4"/>
  <c r="J152" i="4"/>
  <c r="J64" i="4"/>
  <c r="J43" i="4"/>
  <c r="J162" i="4"/>
  <c r="J132" i="4"/>
  <c r="I30" i="6"/>
  <c r="I40" i="6"/>
  <c r="E44" i="5" l="1"/>
  <c r="J171" i="4"/>
  <c r="D7" i="2"/>
  <c r="I44" i="6"/>
</calcChain>
</file>

<file path=xl/sharedStrings.xml><?xml version="1.0" encoding="utf-8"?>
<sst xmlns="http://schemas.openxmlformats.org/spreadsheetml/2006/main" count="8837" uniqueCount="1673">
  <si>
    <t>Milei Climate Narratives — v4 Coded Passages  ·  Data source for all summary sheets</t>
  </si>
  <si>
    <t>#</t>
  </si>
  <si>
    <t>Dimension</t>
  </si>
  <si>
    <t>Sub-dimension</t>
  </si>
  <si>
    <t>Dimension (Full)</t>
  </si>
  <si>
    <t>Sub-code (Full)</t>
  </si>
  <si>
    <t>Quoted Passage</t>
  </si>
  <si>
    <t>Analytical Memo</t>
  </si>
  <si>
    <t>Speech</t>
  </si>
  <si>
    <t>Date</t>
  </si>
  <si>
    <t>Venue</t>
  </si>
  <si>
    <t>Type</t>
  </si>
  <si>
    <t>Venue Group</t>
  </si>
  <si>
    <t>Scope</t>
  </si>
  <si>
    <t>D1.2</t>
  </si>
  <si>
    <t>Climate Skepticism or Dismissal</t>
  </si>
  <si>
    <t>D1.2 — Public Science &amp; Expertise</t>
  </si>
  <si>
    <t>[MILEI — Respuesta]: A ver primero no mienta. Yo no niego el cambio climático. Lo que yo digo es que existe en la historia de la tierra un ciclo de temperaturas, es decir hay un comportamiento cíclico y este es el quinto punto del ciclo — donde la diferencia con los cuatro anteriores es que antes no estaba el ser humano. Por lo tanto todas esas políticas que culpan al ser humano del cambio climático son falsas y lo único que buscan es recaudar fondos para financiar vagos socialistas que escriben papers de cuarta.</t>
  </si>
  <si>
    <t>Milei performs the disclaimer-then-dismiss move: "I don't deny climate change" is immediately followed by the natural-cycles attribution, which reproduces effective denial while maintaining rhetorical deniability. The key claim — "all those policies that blame humans for climate change are false" — is a direct dismissal of the scientific basis for climate regulation, delivered as a logical conclusion from the paleoclimatic premise. This is the most compressed instance of Climate_Skepticism_or_Dismissal in the corpus: denial of anthropogenic attribution without denial of the climate phenomenon itself.</t>
  </si>
  <si>
    <t>Debate Presidencial 2023</t>
  </si>
  <si>
    <t>2023-10-08</t>
  </si>
  <si>
    <t>Buenos Aires</t>
  </si>
  <si>
    <t>debate presidencial</t>
  </si>
  <si>
    <t>Ideological &amp; Political Events</t>
  </si>
  <si>
    <t>National</t>
  </si>
  <si>
    <t>D1.1</t>
  </si>
  <si>
    <t>Sustainability as Ideological or Harmful</t>
  </si>
  <si>
    <t>D1.1 — State Intervention &amp; Governance</t>
  </si>
  <si>
    <t>"Recaudar fondos para financiar vagos socialistas que escriben papers de cuarta" reframes climate policy as a rent-extraction mechanism for a parasitic academic class. The claim is not that climate policy is merely wrong — it is that climate policy exists as an institutional vehicle for redistributing resources to ideologically motivated, low-quality scholarship. This is Sustainability_as_Ideological_or_Harmful at its most direct: the policy's real function is material redistribution under ideological cover, not environmental protection.</t>
  </si>
  <si>
    <t>Attack on Experts &amp; Technocrats</t>
  </si>
  <si>
    <t>"Vagos socialistas que escriben papers de cuarta" is the rawest expert delegitimation in the corpus — climate scientists reduced to lazy, ideologically motivated rent-seekers producing worthless work. Unlike the more sophisticated epistemological arguments deployed at Davos (which grant good intentions while invalidating the theoretical framework), here the attack is purely ad hominem and institutional, characterizing climate science as professionally worthless rather than merely theoretically flawed.</t>
  </si>
  <si>
    <t>D1.3</t>
  </si>
  <si>
    <t>Anti-Socialism / Anti-Collectivism</t>
  </si>
  <si>
    <t>D1.3 — Cultural Backlash</t>
  </si>
  <si>
    <t>Nuestras costas recibían con brazos abiertos a millones de inmigrantes que se escapaban de una Europa desbastada en búsqueda de un horizonte de progreso. Lamentablemente nuestra dirigencia decidió abandonar el modelo que nos había hecho ricos, y abrazaron las ideas empobrecedoras del colectivismo.</t>
  </si>
  <si>
    <t>Explicit naming of "colectivismo" as the impoverishing doctrine that displaced Argentina's liberal founding model. No climate or green-agenda content is present in this passage, but the code's v4 scope was broadened precisely to capture "anti-collectivism framings that do not explicitly invoke Marxism" or an environmental referent — this passage establishes the collectivism-as-decline master narrative that later speeches (Davos, UN) apply specifically to environmentalism and the 2030 Agenda.</t>
  </si>
  <si>
    <t>Discurso De Asuncion Presidencial</t>
  </si>
  <si>
    <t>2023-12-10</t>
  </si>
  <si>
    <t>Buenos Aires (Escalinatas Del Congreso)</t>
  </si>
  <si>
    <t>acto institucional</t>
  </si>
  <si>
    <t>State &amp; Institutional Acts</t>
  </si>
  <si>
    <t>Anti-Casta (Elite Frame)</t>
  </si>
  <si>
    <t>Durante más de 100 años los políticos han insistido en defender un modelo que lo único que genera es pobreza, estancamiento y miseria. Un modelo que considera que los ciudadanos estamos para servir a la política y no que la política existe para servir a los ciudadanos; un modelo que considera que la tarea de un político es dirigir la vida de los individuos en todos los ámbitos y esferas posibles; un modelo que considera el Estado como un botín de guerra que hay que repartir entre los amigos. Señores, ese modelo ha fracasado, ha fracasado en todo el mundo, pero en especial ha fracasado en nuestro país.</t>
  </si>
  <si>
    <t>"El Estado como un botín de guerra que hay que repartir entre los amigos" is the parasites/producers extraction logic at the core of the la-casta frame: governance positions exist to be divided among political allies rather than to serve citizens ("los ciudadanos estamos para servir a la política y no... la política... para servir a los ciudadanos" inverts the proper relationship). No climate or environmental referent is present, but per the v4 scope rule (coding_book_v4.md §2b) this is codeable on its own terms — it is the same extractive-elite mechanism later applied explicitly to environmental agencies and international governance bodies in the Davos and UN speeches, and it is structurally identical to the coded Anti_Casta example in the 2024-03-01 apertura speech ("la casta política es lo peor que le puede pasar a un país").</t>
  </si>
  <si>
    <t>Market Primacy</t>
  </si>
  <si>
    <t>En materia social estamos recibiendo un país, donde la mitad es pobre, con el tejido social completamente roto. Así, más de 20 millones de argentinos no pueden vivir una vida digna porque son presos de un sistema, que lo único que genera es más pobreza. Como dice el gran Jesús Huerta de Soto: "los planes contra la pobreza generan más pobreza". La única forma de salir de la pobreza es con más libertad.</t>
  </si>
  <si>
    <t>The Huerta de Soto citation performs the canonical Market_Primacy move: state anti-poverty intervention is declared categorically counterproductive ("los planes contra la pobreza generan más pobreza"), and freedom/markets are asserted as the only legitimate remedy ("la única forma"). This is the same appeal-to-Austrian-authority pattern used throughout the corpus (e.g., the Davos "evidencia empírica es incuestionable" passage) to foreclose any state-coordinated policy response, including on sustainability, before a specific case is argued.* Al mismo tiempo, 6 millones de chicos – hoy a la noche – se irán a dormir con hambre; algunos caminan descalzos por la calle y otros cayeron en la droga.</t>
  </si>
  <si>
    <t>Anti-State / Anti-Bureaucratic</t>
  </si>
  <si>
    <t>En materia de salud, el sistema se encuentra completamente colapsado, pues los hospitales están destruidos; los médicos cobran una miseria y los argentinos no tienen acceso a salud básica. Tan es así, que - durante la pandemia - si los argentinos hubiéramos hecho las cosas como la media de los países, no hubiéramos tenido 30 mil muertos, pero gracias al "Estado te cuida" y su ineficiencia 130.000 argentinos perdieron la vida.</t>
  </si>
  <si>
    <t>"Estado te cuida" (a slogan associated with pandemic-era state paternalism) is turned into an indictment of state incompetence, with a mortality figure attached to dramatize the cost of state intervention as such. This is a general public-health example, not an environmental one, but the rhetorical mechanism — attaching a catastrophic body count to "the state protects you" branding — is the same delegitimization move later redirected at sustainability governance and multilateral bodies (e.g., the UN's pandemic-response framing in the 2024 General Assembly speech).</t>
  </si>
  <si>
    <t>Ese es el Estado presente del que los políticos tanto hablan, argumento que utilizan para justificar el aumento descomunal del gasto público que sólo los beneficia a ellos. En todas las esferas – miren dónde miren – la situación de la Argentina es de emergencia.</t>
  </si>
  <si>
    <t>"El Estado presente" — the justification political actors invoke for public spending — is reframed as existing "sólo para beneficiarlos a ellos" (only benefiting the political class itself), the parasites/producers logic central to the la-casta frame applied here to the general concept of state presence rather than to any specific sustainability program.</t>
  </si>
  <si>
    <t>Estamos haciendo nuestro máximo esfuerzo para intentar disminuir los efectos trágicos de lo que puede ser la peor crisis de nuestra historia, producto de décadas de gobiernos que han insistido con recetas fracasadas, porque como dijimos durante todos estos meses: "El problema no es el chef, sino la receta". Esas ideas que fracasaron en la Argentina son las mismas ideas que han fracasado a lo largo y a lo ancho del planeta, porque allí donde se intentaron han sido un fracaso económico, han sido un fracaso en lo social, han sido un fracaso en lo cultural, y encima les han costado la vida a millones de seres humanos. Esa doctrina, que algunos podrían llamar izquierda, socialismo, fascismo, comunismo, y que a nosotros nos gusta catalogar como colectivismo, es una forma de pensamiento que diluye al individuo en favor del poder del Estado. Es el fundamento básico del modelo de la casta, es una doctrina de pensamiento que parte de la premisa de que la razón de Estado es más importante que los individuos que componen la Nación; que el individuo solo es reconocido si se somete al Estado, y que, por lo tanto, los ciudadanos le debemos pleitesía a sus representantes, la casta política. Es decir, que los individuos no son sino un medio para los fines del Estado; es una forma de ver el mundo que consiste en la creencia de que un grupo de hombres, los políticos, son superiores al resto de los individuos y que por lo tanto deben ser ellos quienes rijan los destinos de sus compatriotas. Una doctrina que parte de la idea de que un grupo de burócratas, sentados en una oficina, pueden planificar la vida de millones de seres humanos, considerando sus deseos, capacidades, preferencias y circunstancias. Es una doctrina que considera que los políticos, en consecuencia, son omnipresentes, omniscientes y omnipotentes, es decir, que en esencia es una doctrina que considera que los políticos son Dios.</t>
  </si>
  <si>
    <t>This is the fullest doctrinal elaboration of "colectivismo" in the corpus so far: Milei explicitly names and defines the doctrine ("izquierda, socialismo, fascismo, comunismo... colectivismo") as one that "diluye al individuo en favor del poder del Estado," and derives the la-casta model and the omnipotent-bureaucrat imagery as downstream consequences of that doctrine ("es el fundamento básico del modelo de la casta"). Anti_Socialism_Anti_Collectivism is the dominant code rather than Anti_Casta or Anti_State_Anti_Bureaucratic because the paragraph's own structure presents collectivism as the root and casta/bureaucracy as its expressions — removing the collectivism framing would collapse the passage's core argument, whereas removing the casta/bureaucrat imagery would not (per the overcoding test in Rule 2). No climate content is present, but per the v4 scope rule this foundational doctrine-critique is codeable on its own terms — it is the same "colectivismo" frame later applied explicitly to environmentalism at Davos ("los socialistas... el hombre contra la naturaleza") and the UN ("2030 Agenda... socialist in nature").</t>
  </si>
  <si>
    <t>Anuncios Por Cadena Nacional (Dnu/Desregulacion)</t>
  </si>
  <si>
    <t>2023-12-20</t>
  </si>
  <si>
    <t>Buenos Aires (Salon Blanco)</t>
  </si>
  <si>
    <t>cadena nacional</t>
  </si>
  <si>
    <t>Pues bien, nosotros hemos venido a decirles que los políticos no solo no son Dios, sino que son la causa de nuestros problemas. Son la causa de nuestros problemas porque durante décadas han defendido estas ideas empobrecedoras de las que hablamos, mientras ellos se hacían cada vez más ricos; porque es la implementación inclemente de estas ideas por más de 100 años, lo que nos llevó poco a poco, peldaño por peldaño, al infierno económico que vivimos hoy.</t>
  </si>
  <si>
    <t>"Mientras ellos se hacían cada vez más ricos" is the parasites/producers distinction at the heart of Anti_Casta: the political class personally enriched itself while advocating impoverishing doctrine on behalf of "the people." This is the same extractive-elite mechanism coded in the 2024-03-01 benchmark ("la casta política es lo peor que le puede pasar a un país"), applied here to the same general political class rather than to a sustainability-specific institution — codeable under the v4 scope rule regardless.</t>
  </si>
  <si>
    <t>Un aspecto central del fracaso de los últimos 100 años es la injerencia que el Estado ha tenido en la vida de los ciudadanos, de esa creencia de que los políticos son seres superiores que deben regir los destinos de cada uno de nosotros, se desprende un andamiaje institucional que hace que nadie pueda trabajar, comerciar, circular o educarse sin el permiso de ellos; mientras que en una sociedad libre todo está permitido, salvo lo que está prohibido. En una sociedad colectivista como en la Argentina, todo está prohibido, salvo lo que está permitido por los políticos.</t>
  </si>
  <si>
    <t>The permission-based-society framing ("nadie pueda trabajar, comerciar, circular o educarse sin el permiso de ellos") is the bureaucratic-gatekeeping variant of Anti_State_Anti_Bureaucratic — the state apparatus as a universal permission-granting authority rather than a rights-protecting one. The inverted-freedom formula ("todo está prohibido, salvo lo que está permitido") is a general regulatory-state critique, not an environmental one, but it is the same permission-apparatus logic later applied to environmental permitting and monitoring regimes elsewhere in the corpus.</t>
  </si>
  <si>
    <t>Delegitimization of Regulation</t>
  </si>
  <si>
    <t>Para solucionar los problemas que causan los distintos políticos que intentan financiar el déficit en vez de afrontar la causa, que es el déficit fiscal los políticos introducen regulaciones, controles de precios, cepos, trabas burocráticas y normativas, que violan la libertad y el derecho de propiedad de los argentinos, entorpece el cálculo económico y destruye la generación de riqueza.</t>
  </si>
  <si>
    <t>Regulations, price controls, and "trabas burocráticas" are cast as categorically illegitimate — violations of liberty and property rather than policy tools with tradeoffs — and blamed for destroying "el cálculo económico," echoing the Austrian economic-calculation argument used elsewhere in the corpus against environmental regulation specifically (e.g., the Davos neoclassical-externality-theory passage). Here the target is general economic regulation (price controls, "cepos"), not environmental regulation, but the delegitimizing mechanism — regulation as coercive rights violation — is identical.</t>
  </si>
  <si>
    <t>En consecuencia, el Estado – en su conjunto – se ha vuelto una máquina de impedir el comercio, el trabajo, la producción, el ahorro, la inversión, la generación de riqueza, el crecimiento económico y, fundamentalmente, la libertad.</t>
  </si>
  <si>
    <t>"El Estado... se ha vuelto una máquina de impedir" is a distinct move from the prior regulation-specific passage: here the state itself (not a specific regulatory instrument) is characterized as an inherently obstructive apparatus across every domain of economic life. This generalized anti-bureaucratic characterization of the state as machinery-for-obstruction is the same register used against sustainability agencies and multilateral bureaucracies later in the corpus.</t>
  </si>
  <si>
    <t>1- Derogación de la Ley de Alquileres para que el mercado inmobiliario vuelva a funcionar sin problemas y alquilar no sea una odisea. 2- Derogación de la Ley de Abastecimiento para que el Estado nunca más atente contra el derecho de propiedad de los individuos. 3- Derogación de la Ley de Góndolas para que el Estado deje de entrometerse en las decisiones de los comerciantes argentinos. 4- Derogación de la Ley del Compre Nacional, que sólo beneficia a determinados actores del poder. 5- Derogación del Observatorio de Precios, del ministerio de Economía, para evitar toda persecución de las empresas. 6- Derogación de la Ley de Promoción Industrial. 7- Derogación de la Ley de Promoción Comercial. 8- Derogación de la normativa que impide la privatización de las empresas públicas. 9- Derogación del Régimen de Sociedades del Estado. 10- Transformación de todas las empresas del Estado en sociedades anónimas para su posterior privatización. 11- Modernización del régimen laboral para facilitar el proceso de generación de empleo genuino. 12- Reforma del Código Aduanero para facilitar el comercio internacional. Desde el día de hoy queda prohibido prohibir las exportaciones. 13- Derogación de la Ley de Tierras para promover las inversiones. 14- Modificación de la Ley de Fuego. 15-Derogación de las obligaciones de los ingenios azucareros, que tienen en materia de producción azucarera. 16- Liberación del régimen jurídico aplicable al sector vitivinícola. 17- Derogación del sistema nacional de comercio minero y el banco de información minera. 18- Autorización para la cesión del paquete accionario total o parcial de Aerolíneas Argentinas. 19- Implementación de la política de Cielos Abiertos. 20- Modificación del Código Civil y Comercial para reforzar el principio de libertad contractual entre las partes. 21- Modificación del Código Civil y Comercial para garantizar que las obligaciones contraídas en moneda extranjera deban ser canceladas en la moneda pactada. 22- Modificación del marco de regulación de la medicina prepaga y las obras sociales. 23- Eliminación de las restricciones de precios a la industria prepaga. 24- Incorporación de las empresas de medicina prepaga al régimen de obras sociales. 25- Restablecimiento de la receta electrónica para agilizar el servicio y minimizar costos. 26- Modificaciones al régimen de empresas farmacéuticas para fomentar la competencia y reducir costos. 27- Modificación de la Ley de Sociedades para que los clubes de fútbol puedan convertirse en sociedades anónimas, si así lo quisieren. 28- Desregulación de los servicios de Internet satelital para permitir el ingreso de empresas, como Starlink. 29- Desregulación del sector turístico eliminando el monopolio de las agencias de turismo. 30- Incorporación de herramientas digitales para trámites de los Registros Automotores.</t>
  </si>
  <si>
    <t>The introductory framing ("el proceso de regulación económica... Entre muchas reformas el decreto incluye") presents the entire 30-item slate as removal of regulations "que pretenden aportar soluciones, pero sólo generan problemas" — the general Delegitimization_of_Regulation move (regulation as categorically counterproductive) applied wholesale rather than argued item-by-item. Two items in the list touch sustainability/resource governance directly: #14 "Modificación de la Ley de Fuego" (Argentina's forest/land-fire management law, which restricts land-use change on burned land) and #17 "Derogación del sistema nacional de comercio minero y el banco de información minera" (dismantling the mining-sector transparency and information registry). Both are folded into the same undifferentiated deregulation frame as unrelated items like rental law or satellite internet — there is no distinct rhetorical argument made specifically about fire-management oversight or mining transparency, which is why this passage receives one D1.1 code rather than a targeted Sustainability_as_Ideological_or_Harmful or Anti_State_Anti_Bureaucratic code: the environmental content is present but not rhetorically elaborated. Flagged below for D2 cross-reference once the formal-documentation protocol is applied to DNU 70/2023 itself.</t>
  </si>
  <si>
    <t>Confío en que nuestros representantes defenderán los intereses de los argentinos y no los de las castas, que se han beneficiado, durante décadas de este sistema empobrecedor. Si avanzamos en este camino y lo hacemos con decisión y contundencia estoy seguro que nuestro país volverá a la senda del crecimiento y el progreso que alguna vez supimos transitar.</t>
  </si>
  <si>
    <t>Explicit "castas" language framing Congress's choice as between citizens' interests and the entrenched beneficiaries of "este sistema empobrecedor" — the closing restatement of the speech's parasites/producers frame, directed at the legislature that will vote on the reform package.</t>
  </si>
  <si>
    <t>Estos son los primeros pasos para dar vuelta a la página y dejar atrás - de una vez y para siempre - el modelo económico de la casta, que hunde a los argentinos en la miseria, desde hace más de 100 años.</t>
  </si>
  <si>
    <t>Explicit "modelo económico de la casta" framing, presenting the political establishment's economic model as an extractive system sinking citizens into poverty. General economic framing rather than a sustainability-specific one, but codeable under the v4 scope rule as the same la-casta mechanism applied elsewhere in the corpus to environmental governance actors.</t>
  </si>
  <si>
    <t>Mensaje De Fin De Año Al Pueblo Argentino</t>
  </si>
  <si>
    <t>2023-12-30</t>
  </si>
  <si>
    <t>El espíritu de la ley es volver a ser un país libre, con un Estado limitado, que actúa en defensa de la vida, la libertad y la propiedad de los argentinos; un país donde se respeta el orden público; un país donde la política no se sirve de la ciudadanía, sino que está al servicio de ella, donde cada uno es libre de trabajar, producir, emplear, comerciar, importar y exportar como considere mejor, no como le dicta un burócrata desde una oficina gubernamental. ¿Quién puede preferir el país devastado, de hoy, por sobre el país próspero, que proponemos nosotros?</t>
  </si>
  <si>
    <t>"No como le dicta un burócrata desde una oficina gubernamental" is a close variant of the corpus's canonical bureaucrat-in-an-office personification (cf. the Davos 2024 "burócrata sentado en una oficina de lujo" example), positioning the state apparatus as an illegitimate, disconnected decision-maker for private economic activity. General-economy framing, coded here on its own terms per the v4 scope rule.</t>
  </si>
  <si>
    <t>Para finalizar, quiero una vez más, desearles a todos los argentinos un feliz año. Espero que puedan pasarlo en compañía de su familia y sus seres queridos. Este puede ser el año en que demos vuelta un siglo de fracasos; este puede ser el año en el que dejemos atrás el modelo colectivista, que nos hizo pobres y abracemos - nuevamente - el modelo de la libertad, que nos hizo el país más rico del mundo.</t>
  </si>
  <si>
    <t>Explicit "modelo colectivista" naming, framed as the cause of national impoverishment against which "el modelo de la libertad" is counterposed. No climate or green-agenda referent, but codeable under the v4 scope rule as the same collectivism-as-decline master frame later redirected specifically at environmentalism in Davos and UN addresses.</t>
  </si>
  <si>
    <t>Civilizational Defense</t>
  </si>
  <si>
    <t>Buenas tardes, muchas gracias: hoy estoy acá para decirles que Occidente está en peligro, está en peligro porque aquellos, que supuestamente deben defender los valores de Occidente, se encuentran cooptados por una visión del mundo que – inexorablemente – conduce al socialismo, en consecuencia a la pobreza. Lamentablemente en las últimas décadas, motivados por algunos deseos bien pensantes de querer ayudar al prójimo y otros por el deseo de querer pertenecer a una casta privilegiada, los principales líderes del mundo occidental han abandonado el modelo de la libertad, por distintas versiones, de lo que llamamos colectivismo.</t>
  </si>
  <si>
    <t>The opening sentences establish the master civilizational frame for the entire speech: Western civilization is under existential threat from socialism, and the WEF audience itself is identified as part of a "casta privilegiada" complicit in that decline. This frame pre-loads every subsequent critique — including of environmental policy — with civilizational stakes. Climate governance emanating from the "cooptados" Western establishment is tainted by association with civilizational threat, making engagement with it a form of civilizational capitulation.</t>
  </si>
  <si>
    <t>54A Reunion Anual Del Foro Economico Mundial (Davos)</t>
  </si>
  <si>
    <t>2024-01-17</t>
  </si>
  <si>
    <t>Davos, Suiza</t>
  </si>
  <si>
    <t>foro economico</t>
  </si>
  <si>
    <t>Economic &amp; Business Forums</t>
  </si>
  <si>
    <t>International</t>
  </si>
  <si>
    <t>"Pertenecer a una casta privilegiada" extends Milei's domestic anti-elite frame to the global governance level, targeting the WEF audience itself. International climate institutions and their leaders are pre-emptively delegitimized as members of a global caste pursuing privilege rather than planetary welfare — the same logic used domestically against environmental ministries and CONICET is applied globally to IPCC, UNEP, and multilateral climate bodies.</t>
  </si>
  <si>
    <t>La conclusión es obvia: lejos de ser la causa de nuestros problemas, el capitalismo de libre empresa, como sistema económico, es la única herramienta que tenemos para terminar con el hambre, la pobreza y la indigencia, a lo largo y a lo ancho de todo el planeta. La evidencia empírica es incuestionable.</t>
  </si>
  <si>
    <t>The hockey-stick economic history culminates in the categorical Market_Primacy claim: free-enterprise capitalism is "the only tool" for ending poverty, and the conclusion is declared empirically self-evident. For sustainability governance, the structural implication is total: if markets are the only legitimate mechanism for solving the most fundamental collective problem (poverty), they are implicitly the only legitimate mechanism for environmental problems, displacing any basis for state-led climate regulation.</t>
  </si>
  <si>
    <t>Selective Empiricism</t>
  </si>
  <si>
    <t>"La evidencia empírica es incuestionable" is the canonical Selective_Empiricism instance in the corpus: Milei claims unquestionable empirical authority for the pro-market historical narrative, but later in the same speech systematically dismisses opposing academic and institutional knowledge (including climate science) as ideologically captured. The move is to appropriate the prestige of empiricism for one side while denying it to the other — crowding out rather than refuting.</t>
  </si>
  <si>
    <t>El colectivismo - al inhibir estos procesos de descubrimiento y al dificultar la apropiación de lo descubierto - ata al emprendedor de las manos y le imposibilita producir mejores bienes y ofrecer mejores servicios a un mejor precio. ¿Cómo puede ser, entonces, que desde la academia, los organismos internacionales, la política y la teoría económica se demonice un sistema económico que no sólo ha sacado de la pobreza más extrema, al 90 por ciento de la población mundial?</t>
  </si>
  <si>
    <t>The Kirznerian market-as-discovery-process argument provides theoretical grounding: environmental outcomes, like economic ones, are best achieved through decentralized market discovery rather than state planning. "Academia, los organismos internacionales, la política y la teoría económica" — the four pillars of climate governance legitimacy — are grouped as an ideological bloc irrationally hostile to the proven market mechanism.</t>
  </si>
  <si>
    <t>The entire authority apparatus — academic, international, political, theoretical — is presented as a unified bloc that "demonizes" capitalism. For sustainability governance: IPCC, UNEP, national science ministries, and environmental economics are all expressions of the same anti-capitalist ideological formation. This is a structural delegitimation of the expert class, not a dispute with specific scientific findings.</t>
  </si>
  <si>
    <t>Pseudo-Science / Ideological Science</t>
  </si>
  <si>
    <t>El problema esencial de occidente hoy es que no sólo debemos enfrentarnos a quienes siguen bregando por el socialismo empobrecedor; sino también a nuestros propios líderes, pensadores y académicos que, amparados en un marco teórico equivocado, socavan los fundamentos del sistema que nos ha dado la mayor expansión de riqueza y prosperidad de nuestra historia.</t>
  </si>
  <si>
    <t>"Amparados en un marco teórico equivocado" frames the entire academic and expert community as epistemically compromised: their framework is wrong, and therefore their outputs — including climate science, environmental economics, and sustainability research — are systematically distorted. The concession of good intentions ("sin quererlo," as the next paragraph notes) makes this a structurally more powerful delegitimation than the debate's ad hominem: it invalidates conclusions while preserving a veneer of charity toward the actors.</t>
  </si>
  <si>
    <t>El marco teórico al que me refiero es el de la teoría económica neoclásica, que diseña un instrumental que, sin quererlo, termina siendo funcional a la intromisión del estado. El problema de los neoclásicos es que como el modelo del que se enamoraron no mapea contra la realidad, atribuyen el error a supuestos fallos del mercado en vez de revisar las premisas de su modelo.</t>
  </si>
  <si>
    <t>The attack on neoclassical economics demolishes the theoretical foundation of environmental regulation. Mainstream climate policy — carbon pricing, Pigouvian taxes, cap-and-trade — derives its justification from externality theory, precisely the "instrumental" Milei argues ends up serving state intrusion. By framing neoclassical economics as the theoretical Trojan horse through which socialism enters, he delegitimizes the entire economic-theoretical basis for climate regulation at the level of first principles.</t>
  </si>
  <si>
    <t>El pretexto de un supuesto fallo de mercado se introducen regulaciones que lo único que generan es distorsiones en el sistema de precios, que impiden el cálculo económico, y en consecuencia el ahorro, la inversión y el crecimiento.</t>
  </si>
  <si>
    <t>The positive deregulation case through intervention-spiral logic: each regulatory "correction" of a supposed market failure compounds the problem by distorting price signals, impairing economic calculation, reducing saving, investment, and growth. Applied to climate policy: carbon taxes, emissions standards, and green industrial mandates suppress economic activity rather than solving an environmental problem.</t>
  </si>
  <si>
    <t>Si las transacciones son voluntarias, el único contexto en el que puede haber un fallo de mercado es si hay coacción. Y el único con la capacidad de coaccionar de manera generalizada es el estado que tiene el monopolio de la violencia. Los fallos de mercado no existen.</t>
  </si>
  <si>
    <t>"El fallo del mercado es un oxímoron. No existe fallo de mercado." This is the most consequential passage in the speech for sustainability governance. Environmental externalities — greenhouse gas emissions, pollution, deforestation — are the paradigmatic market failures in environmental economics; the entire justification for climate regulation rests on this concept. By declaring market failures logically impossible (not empirically absent, but conceptually self-contradictory), Milei eliminates the theoretical ground for any climate policy whatsoever.</t>
  </si>
  <si>
    <t>The inversion of causality — apparent market failures are actually state failures — performs total delegitimation of environmental regulation: if every environmental harm traces to prior state intervention rather than market dynamics, the correct response to environmental problems is always less regulation, never more. The "monopolio de la violencia" framing additionally casts environmental regulation as coercive imposition on voluntary exchange, not corrective policy.</t>
  </si>
  <si>
    <t>Sin embargo, frente a la demostración teórica de que la intervención del estado es perjudicial, y la evidencia empírica de que fracasó, la solución que propondrán los colectivistas no es mayor libertad sino que es mayor regulación, generando una espiral descendiente de regulaciones hasta que todos seamos más pobres, y la vida de todos nosotros dependa de un burócrata sentado en una oficina de lujo.</t>
  </si>
  <si>
    <t>"Un burócrata sentado en una oficina de lujo" personifies the regulatory state as a rent-seeking class who live off others' productivity. Sustainability agencies, CONICET researchers, and UNFCCC secretariat staff are implicitly "parasites" in this framing. The "espiral descendiente de regulaciones" presents regulatory accumulation as inherently self-reinforcing and catastrophic — every incremental climate regulation is a step toward total bureaucratic control.</t>
  </si>
  <si>
    <t>The positive deregulation argument is restated: each regulatory intervention contributes to the downward spiral, making removal of regulations the only way to restore growth and freedom. Applied to climate architecture: the case for removing carbon pricing, emissions standards, and green mandates is framed as preventing the slide toward bureaucratic dependency.</t>
  </si>
  <si>
    <t>Woke Bundling</t>
  </si>
  <si>
    <t>Otro de los conflictos que los socialistas plantean es el del hombre contra la naturaleza. Sostienen que los seres humanos dañamos el planeta y que debe ser protegido a toda costa, incluso llegando a abogar por mecanismos de control poblacional o en la agenda sangrienta del aborto.</t>
  </si>
  <si>
    <t>Feminism then environmentalism, both introduced as socialist "new battles" — the formal Woke_Bundling move. The emotional charge of the "ridiculous and unnatural" gender conflict transfers directly to climate via juxtaposition. The population control linkage ("mecanismos de control poblacional") further toxifies the climate cause by association with abortion in Milei's audience.</t>
  </si>
  <si>
    <t>Lamentablemente, estas ideas nocivas han impregnado fuertemente en nuestra sociedad. Los neo-marxistas han sabido cooptar el sentido común de occidente. Lograron esto gracias a la apropiación de los medios de comunicación, de la cultura, de las universidades, y sí, también de los organismos internacionales.</t>
  </si>
  <si>
    <t>The "cooptation" narrative positions universities and international organizations as ideologically captured producers of knowledge in service of a political agenda. IPCC, UNEP, WMO, and the media disseminating climate research are all nodes in an ideological network — climate science is not wrong because its methods are bad but because its institutions have been colonized by neo-Marxists.</t>
  </si>
  <si>
    <t>Rejection of Multilateral Governance</t>
  </si>
  <si>
    <t>"Los organismos internacionales" as the final node of the neo-Marxist cooptation network places the UNFCCC process, the 2030 Agenda framework, and multilateral climate funds within a conspiracy of ideological capture. This establishes the principled rationale for Argentina not to participate in or be bound by international climate commitments: these institutions are not neutral coordinators but captured instruments of a political project.</t>
  </si>
  <si>
    <t>Por suerte, somos cada vez más los que nos atrevemos a levantar la voz. Porque vemos que, si no combatimos frontalmente estas ideas, el único destino posible es que cada vez vamos a tener más estado, más regulación, más socialismo, más pobreza, menos libertad, y, en consecuencia, peor nivel de vida.</t>
  </si>
  <si>
    <t>The escalation chain — "más estado, más regulación, más socialismo, más pobreza" — presents all regulation as steps in a deterministic descent toward poverty and unfreedom. Environmental regulation is subsumed within this chain: more climate policy means more socialism, which means more poverty. Every individual regulatory act (a carbon tax, a protected area designation, an emissions standard) is a contributing step to civilizational decline.</t>
  </si>
  <si>
    <t>Con herramientas como la emisión monetaria, el endeudamiento, los subsidios, el control de la tasa de interés, los controles de precios y las regulaciones para corregir los supuestos "fallos de mercado", pueden controlar los destinos de millones de seres humanos.</t>
  </si>
  <si>
    <t>The enumeration of state control tools — including "las regulaciones para corregir los supuestos 'fallos de mercado'" — explicitly places environmental regulation in the toolkit of totalitarian control. Climate instruments (carbon pricing, emissions regulation, green industrial policy) fall squarely under one or more items in this list, framing them as mechanisms of mass control rather than environmental management.</t>
  </si>
  <si>
    <t>Para finalizar, quiero dejarle un mensaje a todos los empresarios: no se dejen amedrentar ni por la casta política ni por los parásitos que viven del estado.</t>
  </si>
  <si>
    <t>The closing exhortation to business leaders against "la casta política" and "los parásitos que viven del estado" consolidates the Anti_Casta frame globally. ESG frameworks, green investment mandates, and corporate climate disclosure requirements — all of which constrain private business on behalf of state-defined environmental goals — are implicitly tools through which "la casta" extends its reach into the productive sector.</t>
  </si>
  <si>
    <t>Entonces lo primero que tenemos que entender es qué es el mercado, tener una buena definición de lo qué es el mercado. En este sentido, el mercado es un proceso de cooperación social, donde se intercambian derechos de propiedad, voluntariamente. De hecho – dado que los intercambios son voluntarios – no es posible hablar de fallos de mercado porque nadie estaría haciendo acciones auto flagelantes. Por lo tanto, cuando definimos bien mercado todas las definiciones de intervención se derrumban.</t>
  </si>
  <si>
    <t>"No es posible hablar de fallos de mercado porque nadie estaría haciendo acciones auto flagelantes" is the canonical "market failure is an oxymoron" move named explicitly in the codebook's recognize-by cues for Market_Primacy. Because market exchange is definitionally voluntary and therefore self-benefiting, Milei asserts that "todas las definiciones de intervención se derrumban" — the entire theoretical edifice justifying environmental regulation, carbon pricing, or any market-failure-based climate policy is foreclosed a priori, independent of any specific climate content, by denying the conceptual category of market failure itself.</t>
  </si>
  <si>
    <t>Conferencia De Accion Politica Conservadora (Cpac)</t>
  </si>
  <si>
    <t>2024-02-24</t>
  </si>
  <si>
    <t>Washington D.C., Ee.Uu.</t>
  </si>
  <si>
    <t>evento ideologico/politico</t>
  </si>
  <si>
    <t>Y al mismo tiempo, del mercado como proceso de cooperación social es una tremenda bomba en contra del socialismo, porque si los intercambios son libres, eso significa que las dos partes que intervienen en el intercambio, ganan los dos. Por lo tanto, no hay lugar para la teoría de la explotación, no hay lugar para la plusvalía, no hay lugar para el marxismo y el socialismo.</t>
  </si>
  <si>
    <t>"No hay lugar para la teoría de la explotación, no hay lugar para la plusvalía, no hay lugar para el marxismo y el socialismo" is a direct doctrinal rejection of Marxist/collectivist economic theory as internally incoherent — the mutual-benefit-of-exchange argument is deployed specifically to deny the legitimacy of collectivism "as such," per the v4 scope rule's practical test. No climate content is present in this passage, but this is the same general anti-collectivist register later redirected specifically against environmentalism in the "postmarxismo... ecologismo" passage below, making this passage part of the discursive infrastructure the codebook describes.</t>
  </si>
  <si>
    <t>En el fondo lo que hace es abortar el proceso de destrucción creativa a la Schumpeter. Porque estos procesos de destrucción creativa parten de la idea de resolver algunos problemas de la sociedad que les permite más dinero y eso es lo que genera el progreso tecnológico y el crecimiento. Por lo tanto, si regulo los beneficios, si regulo la ganancia, el problema que voy a tener es estancamiento. Al margen de que regular precios y cantidades implica destruir el derecho de propiedad.</t>
  </si>
  <si>
    <t>Regulation of monopoly profits is cast as categorically destructive ("abortar el proceso de destrucción creativa"), producing only stagnation, and equated with a rights violation ("regular precios y cantidades implica destruir el derecho de propiedad"). This is the theoretical scaffolding of the same Delegitimization_of_Regulation argument Milei applies elsewhere specifically to environmental/carbon regulation (e.g., the Davos neoclassical-externality-theory passage) — here argued in the abstract, with no climate content, but codeable per the v4 scope rule as the general regulation-as-illegitimate-coercion move.</t>
  </si>
  <si>
    <t>Dentro de nuestros equipos de gobierno, hemos descubierto, por el momento, 380 mil regulaciones que traban el funcionamiento del sistema económico. Y de hecho, nuestras dos grandes pedidos de medidas, de reformas estructurales, el DNU y la Ley de Bases, propuestas que proponen darle más libertad a los argentinos, ir hacia estructuras de mercado más competitivas y sobre todas las cosas, eliminar la corrupción de la política, nos encontramos con grandes resistencias por parte de los beneficiarios de este sistema decadente, que empobrece a los argentinos de bien en favor de la casta corrupta. Donde la casta corrupta se compone de políticos ladrones, que ponen sus privilegios por encima del bienestar de los argentinos, por empresarios prebendarios que hacen negocios con los políticos corruptos, por medios de comunicación corruptos que están muy enojados con nosotros porque les eliminamos la pauta oficial, también por los sindicalistas que se ocupan de sus negocios en contra de la gente, y además por aquellos profesionales que son funcionales a la religión del Estado que viven de defender a estos corruptos. Por lo tanto, tomarán conciencia de la gran pelea que estamos dando. Pero no nos vamos a rendir en volver a hacer Argentina grande nuevamente.</t>
  </si>
  <si>
    <t>The explicit enumeration of "la casta corrupta" — corrupt politicians, crony businessmen, corrupt media, unionists, and state-dependent professionals — is a textbook Anti_Casta deployment: institutional resistance to deregulation is attributed to an extractive coalition benefiting from the "sistema decadente," not to any substantive policy disagreement.</t>
  </si>
  <si>
    <t>Y la verdad es que digamos todo esto a los socialistas los tenemos más que en jaque mate, ya les diría que… por eso les voy a dar una más, les voy a dar bis. Naturalmente cuando uno regula los monopolios, regula las empresas, lo que eran los procesos competitivos y al mismo tiempo introduce en concepto de la justicia social, evidentemente eso conduce al estancamiento. Y ese estancamiento dado el crecimiento de la población lleva al empobrecimiento paulatino de ese país, ¿Y cómo corrigen esto? lo corrigen con la agenda asesina del aborto. Una agenda asesina que podemos encontrar sus orígenes ya con los egipcios intentando exterminar a los judíos o con el caso de Malthus con su tratado sobre la población y la ley de hierro y salarios que promovía en control de la natalidad; o más cercano -a fines de la década del 60- el Club de Roma, donde el Club de Roma decía que como mundo se movía con energía fósiles y como esas energías no son renovables, predecían que en el año 2000 se iban a agotar esos recursos. Y sin embargo, esa situación lo que iba a generar es que no hubiera alimentos para todos y que nos íbamos a morir y que solamente quedaríamos mil millones de personas en el planeta tierra. Y en base a eso, hoy habiéndose desclasificado los archivos de Nixon y Kissinger sabemos que propusieron esa agenda asesina del aborto; donde, por ejemplo, (INAUDIBLE) tiene más locales que McDonald´s en todo el mundo. Pero afortunadamente se equivocaron de nuevo porque hoy en el mundo viven 8 mil millones de seres humanos. Sin embargo, no cesan esa agenda asesina, de hecho, el postmarxismo frente a su derrota en lo económico trasladó sus batallas de lucha de clases a otros aspectos de la vida, por ejemplo, el ecologismo; donde plantea la lucha del hombre con la naturaleza, donde culpan al ser humano del calentamiento global, cuando esto ya ha pasado cuatros veces en la historia del planeta tierra y no vivía el ser humano, y donde para corregir este problema a los neomarxistas no se le ocurre otra cosa que exterminar a los humanos, si verdaderamente tuviéramos un problemas de recursos deberíamos estar esperando colonizar otros planeta, no condenarnos a la muerte. De hecho, todos esos análisis en contra del crecimiento de la población son falsos, entonces le quiero dejar el caso de un economista muy optimista que se llamaba Julian Simon, que señalaba que el crecimiento de la población traía más progreso tecnológico, entonces, por ejemplo, señalaba que había crecimiento tecnológico impulsado por la demanda, donde básicamente al haber más personas y haber problemas de escasez y demás eso afectaba al sistema de precios y generaba nuevas reformas y nuevos progresos tecnológicos para resolver dichos problemas, y por otra parte señalaba el progreso tecnológico impulsado por el lado de la oferta, donde -por ejemplo- las chances de que tenga Mozart es mucho más grande si vive 1 millón de personas que si viven 10.</t>
  </si>
  <si>
    <t>"Culpan al ser humano del calentamiento global, cuando esto ya ha pasado cuatro veces en la historia del planeta tierra y no vivía el ser humano" is the explicit natural-cycles denial argument, framed here as the successor battlefield ("ecologismo") that "postmarxismo" moved to after losing the economic argument — anthropogenic attribution is dismissed outright rather than qualified.</t>
  </si>
  <si>
    <t>This is a genuinely distinct move from the denial claim above (passes the overcoding test: removing it would drop the analytical insight that climate is presented as one link in a longer ideological chain). Milei constructs an explicit lineage — Egyptians vs. Jews, Malthus's population law, the Club of Rome's resource-scarcity prediction, Nixon/Kissinger's population-control "agenda asesina del aborto" — and then places climate/ecologism ("el ecologismo") as postmarxism's latest front in the same chain, matching the codebook's "Malthus-abortion-climate chain" recognize-by cue precisely. The rhetorical effect is to import the abortion/population-control framing's emotional charge directly onto environmentalism.</t>
  </si>
  <si>
    <t>Attack on Universities &amp; Research Institutions</t>
  </si>
  <si>
    <t>En el plano de la Educación Superior, la creación de universidades se ha convertido en un negocio más de la política y en los profesorados e institutos de formación inicial de docentes se imparte, cada vez más, adoctrinamiento político, en lugar de educación.</t>
  </si>
  <si>
    <t>Milei frames teacher-training colleges and universities as sites of "political indoctrination" rather than education, attacking the epistemic infrastructure that produces Argentina's scientific and professional classes. This delegitimizes the knowledge-producing institutions most responsible for environmental and sustainability expertise, positioning academic education as a captured ideological project rather than a reliable source of expertise for policymaking. The move is structural rather than specific: it does not name individual environmental scholars but pathologizes the institutional culture from which climate-relevant expertise emerges.</t>
  </si>
  <si>
    <t>Apertura Del 142 Periodo De Sesiones Ordinarias</t>
  </si>
  <si>
    <t>2024-03-01</t>
  </si>
  <si>
    <t>Buenos Aires (Congreso)</t>
  </si>
  <si>
    <t>Tras haber visto con mis propios ojos y en detalle la vulgaridad del despilfarro con el que la política se acostumbró a vivir, ratifico una vez más que la casta política es lo peor que le puede pasar a un país como el nuestro.</t>
  </si>
  <si>
    <t>Milei confirms and intensifies the "la casta" frame as the foundational political category of his governing project. This passage is the first explicit formalization of the casta indictment in a presidential address, establishing the frame that will subsequently be applied to environmental agencies, sustainability technocrats, and international governance bodies. When this same anti-casta rhetoric is deployed later against CONICET, the Ministry of Environment, or multilateral climate bodies, its legitimating logic has been institutionalized here in the opening address of his presidency.</t>
  </si>
  <si>
    <t>Por último, también firmamos un mega Decreto de Necesidad y Urgencia para, por primera vez en décadas, devolverles la libertad a los argentinos en vez de quitárselas con regulaciones sin sentido.</t>
  </si>
  <si>
    <t>The phrase "regulaciones sin sentido" does categorical ideological work: it asserts that regulations as a class are senseless, without needing to evaluate any specific regulation's rationale. This is not a technocratic critique but an a priori dismissal — the state's power to regulate is itself illegitimate. Environmental and sustainability regulations, which depend on public justification of market failures and externalities, are pre-emptively categorized as "senseless" by this framing, before any specific environmental case can be made.</t>
  </si>
  <si>
    <t>Imagínense, que cuando tenía que armar el discurso, había distintas formas de encararlo. Por ejemplo, una de las cosas que podría haber hecho es, siendo especialista en crecimiento económico y dado el rol que tiene el capital humano, y dado lo revolucionario de lo que estamos haciendo en la materia, donde - a punto tal que nosotros hemos sido el primer país en el mundo que desarrolla y presenta un Ministerio de Capital Humano - donde el concepto es que la asistencia social deje de ser una de darle el pescado a la gente y enseñarles a pescar, es decir enseñarles a ser individuos, enseñarles a ser libres, que cada uno, digamos, esté en condiciones de aprender a tener su propio alimento y autosustentarse. Porque, además, cuando uno le da el pescado, le regala el pescado eso es una rémora de la esclavitud, es decir de hecho el pueblo judío recuerda eso como la esclavitud, en Egipto. Entonces, nosotros - como concepto del capital humano - es crear individuos libres para que se puedan autosustentar. Si me pongo a hablar de temas, puede que me ponga un poco denso, así que preferí ir por otros lados, pero también cada uno de esos lados, por los cuales uno puede avanzar tiene aristas.</t>
  </si>
  <si>
    <t>an early (March 2024) articulation of the corpus's extensively recurring "dar el pescado"/state-dependency-as-slavery framing, here delivered as the founding rationale for the still-new Ministerio de Capital Humano concept, explicitly invoking the Exodus-slavery parallel that recurs throughout the corpus's later theological framings of state welfare.</t>
  </si>
  <si>
    <t>Apertura Del Ciclo Lectivo</t>
  </si>
  <si>
    <t>2024-03-06</t>
  </si>
  <si>
    <t>Buenos Aires (Instituto Cardenal Copello)</t>
  </si>
  <si>
    <t>Entonces, en ese sentido, empezaron a entrar las ideas; y además eso genera una dinámica muy interesante porque los jóvenes leían eso y confrontaban a sus maestros y a sus profesores, y está lleno de videos de profesores maltratando alumnos por oponerse a la opresión kirchnerista. Y la verdad es que han sido unos valientes porque se la recontra bancaron, los han bullyineados, les han hecho de todo; de hecho, yo -en este momento- tengo un problema de una de las personas de mi equipo…, bueno, como no lo arregla, lo puedo decir públicamente: donde la Universidad de Belgrano, hay una profesora que lo persigue a Iñaki por ser liberal, Iñaki vieron el chico que hace mi TikTok, las otras redes las manejo yo, o sea, el Twitter, el Facebook y el Instagram, cualquier porquería, soy yo, pero el TikTok es Iñaki. Y entonces tiene una profesora de microeconomía 1 que lo persigue por ser liberal, lo bullyinea; y la universidad, el primer rector, miraba para otro lado porque el director de carrera miraba para otro lado, y el que vino después sigue permitiéndolo. O sea, espero que el secretario de Educación y la ministra de Capital Humano, pongan en orden este desborde que hay en la Universidad de Belgrano, donde hay profesores -de origen radical- persiguiendo a liberales. (INAUDIBLE). Bien. Exacto. Bueno, ahora veamos acciones.</t>
  </si>
  <si>
    <t>FLAGSHIP — an early, explicit characterization of public education (both state-run and private, since curriculum content is what's targeted) as a "brainwashing mechanism" with ideologically captured content ("recontra rojos"), paired with a concrete, named allegation of political persecution of a student by a university professor at Universidad de Belgrano — grounding the abstract indoctrination claim in a specific institutional accusation.</t>
  </si>
  <si>
    <t>En ese sentido, junto a la devaluación, que se sinceró porque básicamente lo único que hicimos fue llevar el tipo de cambio al tipo de cambio de mercado, ajustado por Impuesto País, y en ese contexto en el plano fiscal decidimos ir a lo que se denomina la política de déficit cero. Pero déficit cero en serio, no mentiroso, es decir déficit cero en la línea del resultado financiero, es decir después de pagar intereses. Eso es muy importante, porque si nosotros alcanzábamos el déficit cero, en la línea financiera, significa que la deuda no crece más. Y si la deuda no crece más la relación deuda-producto es no creciente y por ende uno se convierte en solvente intertemporalmente y la consecuencia de esto es que empieza a caer el riesgo país y va a bajar la tasa de interés. Así la tasa de interés recobra sus funciones esencial, que es la de ser un mecanismo de coordinación inter-temporal y que el proceso de crecimiento guarde relación, justamente, con la tasa de interés, la natural de interés, es decir la del mercado, no la que un burócrata se le ocurre al manosear desde el Banco Central. Aclaro para que quede claro, eso de estar tocando…. Una vez, con una persona yo me acuerdo que le dije: "vos sos peor que Moreno" porque Moreno controlaba los precios, del día, de hoy, pero vos querés controlar la tasa de interés, con lo cual querés controlar los precios de hoy y del futuro. ¿Por qué? Porque la tasa de interés es el precio relativo de los bienes presentes sobre los bienes del futuro. Entonces esto sería mucho más complicado.</t>
  </si>
  <si>
    <t>"La tasa de interés, la natural de interés, es decir la del mercado, no la que un burócrata se le ocurre al manosear desde el Banco Central" personifies the central bank's rate-setting function as an arbitrary bureaucrat "tampering" with a natural market price — the same bureaucrat-in-an-office register the codebook identifies for Anti_State_Anti_Bureaucratic, applied here to monetary policy rather than an environmental agency. No climate content, codeable per the v4 scope rule as general anti-bureaucratic rhetoric.</t>
  </si>
  <si>
    <t>Foro Economico De Las Americas (Iefa Latam Forum)</t>
  </si>
  <si>
    <t>2024-03-27</t>
  </si>
  <si>
    <t>Buenos Aires (Four Seasons)</t>
  </si>
  <si>
    <t>Lamentablemente en Argentina la educación pública - porque toda es pública, puede ser de gestión privada, de gestión Estatal - ha hecho muchísimo daño lavando el cerebro de la gente y llevando a la lectura de autores que verdaderamente han sido nefastos para la historia de la humanidad y, en especial para Argentina. Siempre hago el chiste que si ustedes van a la Universidad de Buenos Aires, a la Facultad de Ciencias Económicas y le preguntan ¿Quién es Ludwig von Mises? Les van a decir que es el 9 de Holanda, y para otros es el mejor economista de todos los tiempos junto a Murray Newton Rothbard. Eso sí, al barbudo sí, lo conocen, al barbudo alemán, a ese empobrecedor de Marx, a ese sí lo conocen, a Lord Keynes también. Pero si les preguntan por Milton Friedman, les van a decir que era un asesino asesor de Pinochet, lo cual es falso. Y si les hablan de Friedrich von Hayek, les van a decir que por culpa de él hundieron el Belgrano. Así de poca ideologizada está la educación. Entonces qué se puede pretender de un burro más que una patada, entonces hablan de tipo de cambio real, del equilibrio... como si pudieran saber qué es eso. Pero más allá de esta situación, lo otro gracioso es que si tengo la curva de los futuros de dólar alineada con el Crawling peg que está llevando el Banco Central, ¿Por qué tendría que devaluar? Es increíble, es ridículo. Están viendo los datos de mercado y no. Está todo el mercado equivocado, se parecen a Keynes. Es increíble porque cuando los keynesianos hablan del gran inversor que era Keynes… Él se dedicó a las finanzas y quebró como una rata y el argumento… si ustedes miran el libro de Valuation de Damodaran está la frase de Keynes, que dice que era tan arrogante que dice: "De nada sirve tener la razón, cuando todo el mercado está equivocado. Van a perder igual". Entonces estaban todos equivocados, salvo él pero cómo se pusieron todos en contra de él perdió plata y así quebró. Le tuvo que ir a pedir la escupidera al padre, que era amigo de Marshall, tomó un curso de 6 meses y ahí lo incorporaron a Cambridge. Y cuando dicen que era un gran inversor era todo mentira porque en realidad como era una persona con mucha influencia en la política inglesa entonces estaba de los dos lados del mostrador, durante la Guerra y la gran depresión. O sea, estaba tanto en Inglaterra como en Estados Unidos y el señor Keynes, la fortuna que hizo, la hizo a la luz de, por lo cual, hoy iría preso, que es el inside trading. Es decir, tomaba información del gobierno americano, que iba a utilizar sobre determinadas cosas y con eso traidiaba. Es como la película Wall Street, Gordon Gekko era un bebé de pecho al lado de Keynes. Así que, tampoco es otro mito de que era un gran inversor, el tipo jugaba con información calificada. O sea, a nadie se le ocurría, a él sí. Por eso, después vinieron todas las regulaciones que hay en Wall Street al respecto. Entonces también parece bastante cómico esto de que tengamos que cambiar el crawling peg, cuando está toda la curva de futuro alineada con la política monetaria.</t>
  </si>
  <si>
    <t>"La educación pública... ha hecho muchísimo daño lavando el cerebro de la gente" and the UBA anecdote (students not recognizing Mises/Rothbard while lionizing Marx and Keynes) frames public university economics education as ideologically corrupted knowledge production — the codebook's "indoctrination centers" recognize-by cue. No climate content, but this is the same institutional-delegitimization move applied elsewhere to climate-adjacent research institutions.</t>
  </si>
  <si>
    <t>Pero ¿Saben qué? Hay algo que es maravilloso, algo que tampoco digamos el círculo rojo analógico no lo ve. Todos los DNU que se mandaron en Argentina, todos fueron destinados a generar regulaciones, o sea, quitar libertad de mercado, hacer mercados más concentrados, regalarle negocios a los amigotes, curros enormes y sobre todo, cercenamiento de las libertades individuales. A punto tal, recuerden lo que hicieron en la pandemia esta manga de delincuentes y, sin embargo, había gente aplaudiéndoles que nos encerraran. Ahí nadie se opuso a toda esa catarata desde DNU.</t>
  </si>
  <si>
    <t>The generalized claim that "todos los DNU que se mandaron en Argentina, todos fueron destinados a generar regulaciones... y sobre todo, cercenamiento de las libertades individuales" frames regulatory decrees as categorically illegitimate rights violations rather than context-dependent policy tools — the same regulation-as-coercion move applied elsewhere to environmental/deregulation content. No climate mention here, but codeable under the v4 scope rule.</t>
  </si>
  <si>
    <t>Nuestro DNU es el primero en la historia que devuelve libertades individuales, hace que los mercados sean más competitivos. Fíjense lo maravilloso en el tema de alquileres, no se podía conseguir una propiedad. Se duplicó la cantidad de viviendas en alquileres, los precios en términos reales cayeron, se expandió fuertemente ahora el mercado inmobiliario durante el mes de febrero. Miren las cosas interesantes que logra el DNU, que aún sigue vigente, pero que tuvo un traspié en la cámara de senadores que, dicho sea de paso, no es tan malo porque si nosotros solo tenemos siete senadores y tuvimos 25 votos, tan mal no nos fue, hay una mejor, hay gente que está apostando al cambio. Pero obviamente, como esto también toca curros de la política, evidentemente como los políticos no quieren ceder sus curros, no quieren perder sus privilegios, no quieren ceder nada, prefieren hundir en la miseria a los argentinos con tal de mantener sus privilegios de casta, por eso voltearon el DNU. Y esto es muy interesante, porque si yo les hubiera dicho que en dos meses, tres meses que íbamos a poder ordenar el espectro ideológico argentino, ustedes me hubieran dicho que estaba loco. Y después de lo que pasó con la Ley de Bases y lo que pasó con el DNU, es maravilloso en términos de principio de revelación, dejaron todos los dedos sucios. Están por un lado los orcos, que son orcos no pueden esperar otra cosa que comportamientos de orcos, porque son orcos. Está la gente que verdaderamente quiere el cambio, y están los farsantes delincuentes que dicen que quieren el cambio, pero en realidad se disfrazaron de querer el cambio, pero son tan delincuentes como los orcos, pero les da vergüenza estar con los orcos. Entonces, se esconden dentro de las formas y todas esas cuestiones, pero en el fondo son la misma porquería que los orcos. Eso fue muy interesante porque quedó en evidencia, tanto la votación en diputados, en los artículos en particular, como en el Senado el otro día, los dejó en evidencia. Hoy ustedes tienen que con el voto quedaron claros quiénes son los que están en contra del progreso, quiénes son los delincuentes, quiénes son los que están a favor del curro y del robo, y que están en contra de devolverle la libertad a la gente, que están en contra de que haya mercado competitivos, y que están en contra de dejar los curros para que le devuelvan la guita la gente. Entonces, es maravilloso, porque en tres meses terminamos sacándoles la careta a estos delincuentes. Y eso también es muy interesante, porque no les va a ser gratis en la elección de medio término, los van a pagar con los votos, esos delincuentes se van a quedar afuera. Y eso nos va a permitir que las elecciones de medio término, hagamos una elección muchísimo mejor que la que hicimos el último año. Eso es interesante, porque ahí vamos a tener otra composición del Congreso y todas las reformas que no hayamos podido meter ahora, las vamos a meter en ese momento, a partir del 11 de diciembre del 25. Y, además, les vamos a meter las 3.000 reformas que están pendientes y que no podemos sacar por este por este conjunto de delincuentes, que son la máquina de impedir, que quieren que continúe el statu quo, donde ustedes pagan la cuenta y ellos se benefician.</t>
  </si>
  <si>
    <t>"Prefieren hundir en la miseria a los argentinos con tal de mantener sus privilegios de casta, por eso voltearon el DNU" is an explicit Anti_Casta move: legislative resistance to deregulation is attributed to the political class protecting its extractive privileges, not to policy substance. The passage also contains "la máquina de impedir" (Anti_State_Anti_Bureaucratic register), but the casta-privilege framing is the dominant and structuring move — per the overcoding test, removing the casta framing would collapse the passage's core argument, while the "máquina de impedir" phrase is a restatement rather than a distinct insight.</t>
  </si>
  <si>
    <t>Pero como demostró el presidente Roca, la economía por sí sola no alcanza. No hay soberanía, no hay respeto internacional por nuestros intereses, si la dirigencia política hace hasta lo imposible para ensuciar el nombre de nuestras Fuerzas Armadas. En los años donde se consolidó nuestra soberanía las Fuerzas Armadas eran valoradas por el conjunto de la dirigencia y por la sociedad. Vestir un uniforme era motivo de enorme orgullo. La política ha querido borrar esto de nuestra memoria colectiva, hostigando y humillando a nuestra fuerzas, pero ¿qué reclamo por la soberanía es posible si la dirigencia de un país se dedica a menospreciar y hostigar a sus Fuerzas Armadas? ¿qué homenaje a los Héroes Malvinas puede ser sincero sin simultáneo, el Estado financia grupos y organizaciones que no hacen otra cosa que desprestigiar a nuestra fuerzas? A los Héroes de Malvinas y a nuestras Fuerzas Armadas les digo: ese tiempo se ha acabado. Ustedes son motivo de orgullo para nuestra Nación y en esta nueva Argentina tendrán el respeto que les ha sido largamente negado. Pero, además no quiero que el respeto a las Fuerzas Armadas y a los Héroes de Malvinas sea monopolio de un espacio político ¡No! Nuestros militares y veteranos se merecen algo más grande y duradero que eso. Por eso, convoco al conjunto de la sociedad y a la dirigencia política a que este 2 de abril inauguremos una nueva era de reconciliación con las Fuerzas Armadas que trasciende a este gobierno. Una era que rinda homenaje sincero a sus Héroes dándole a las Fuerzas Armadas el lugar el reconocimiento y el apoyo que se merecen.</t>
  </si>
  <si>
    <t>a concrete, specific allegation that the state itself funds organizations dedicated to discrediting the armed forces — an early instance of the corpus's recurring claim that state resources are diverted to fund ideologically hostile organizations, here applied to military institutions rather than the more common welfare/piquetero context.</t>
  </si>
  <si>
    <t>42 Aniversario Del Dia Del Veterano Y De Los Caidos En Malvinas</t>
  </si>
  <si>
    <t>2024-04-02</t>
  </si>
  <si>
    <t>acto conmemorativo/patrio</t>
  </si>
  <si>
    <t>Commemorative &amp; Community</t>
  </si>
  <si>
    <t>Tanto el pueblo norteamericano como el argentino tienen en común que cuando las adoptaron pudieron emprender las expansiones territoriales más importantes de sus historias a la altura de la ambición y vitalidad de sus pueblos. Tristemente, la Argentina se apartó hace mucho tiempo de estas ideas e insistió por un siglo con valores contrarios a los de nuestros padres fundadores. Hoy las estamos volviendo a abrazar para revertir 100 años de decadencia. Pero veo con preocupación que Occidente tal como conocemos corre riesgo, corre peligro, en parte por darle la espalda a estas ideas. Por eso, hoy más que nunca, es importante reforzar los lazos de amistad entre quienes sostenemos estos valores y la forma de vida que permiten. Hoy estamos aquí para ratificar nuestro esfuerzo en el desarrollo de nuestra base naval integrada. Se trata de un gran centro logístico que constituirá el puerto de desarrollo más cercano a la Antártida y convertirá a nuestros países en la puerta de entrada al continente blanco. Esta obra nos permitirá desarrollar la economía local, brindar un servicio logístico que permita las reparaciones y apoyo a los cruceros de buques comerciales que operan en el Atlántico Sur. Brindará apoyo logístico real al desarrollo científico de los diversos programas antárticos internacionales y permitirá que navíos y rompehielos argentinos y del mundo puedan acceder en Ushuaia a reparaciones, reabastecimiento u otros servicios que necesitan antes de dar el último paso de su travesía.</t>
  </si>
  <si>
    <t>"Veo con preocupación que Occidente tal como conocemos corre riesgo, corre peligro, en parte por darle la espalda a estas ideas" is a near-verbatim restatement of the "Occidente está en peligro" master framing named explicitly in the codebook's recognize-by cues for Civilizational_Defense — the US-Argentina military/logistics cooperation is presented within an existential East-West civilizational-stakes register rather than as ordinary bilateral defense cooperation. No climate content in this passage (the Antarctic base is framed logistically/scientifically, not ideologically), but the civilizational frame itself is the codeable move.</t>
  </si>
  <si>
    <t>Palabras Junto A La Gral. Laura Richardson (Southcom)</t>
  </si>
  <si>
    <t>2024-04-05</t>
  </si>
  <si>
    <t>Ushuaia</t>
  </si>
  <si>
    <t>bilateral / diplomatico</t>
  </si>
  <si>
    <t>International &amp; Diplomatic</t>
  </si>
  <si>
    <t>Después teníamos un problemita menor que llamaba reservas internacionales netas, estábamos 11.500 millones de dólares abajo. Teníamos otro problemita también no blanqueado, que todos sabíamos que existía, que se llamaba el Sira, que en realidad eran 60 mil millones de dólares pero que cuando pedimos que se blanqueara y que se acercaran, evidentemente había una parte que sabía que estaba haciendo cosas no lícitas. Y se blanquearon 45.000 millones. Otro problema más que teníamos es que teníamos vencimientos en moneda extranjera por 25,000 millones de dólares, concentrado principalmente en multilaterales y teníamos el acuerdo con el Fondo Monetario caído, por lo tanto, teníamos un problema enorme digamos con esos 25 mil millones de dólares. Y la verdad que como si todo esto fuera poco teníamos vencimientos en pesos por el equivalente de 90.000 millones de dólares. Entonces, si ustedes contemplan el desequilibrio que teníamos en el plano monetario que era peor que el de la previa del Rodrigazo; una situación patrimonial del Banco Central muchísimo peor que la que teníamos en la previa de la hiperinflación del 89; y que además teníamos indicadores sociales peores que los que teníamos en el 2001, verdaderamente estábamos frente a la madre de todos los males porque todas las peores crisis las teníamos todas juntas. ¿Esto es para llorar? Miren, la verdad no; porque la única forma en que podría llegar a haber un gobierno liberal libertario en un país que arrastra 100 años de socialismo era en el medio de un desastre. La única forma que esto podía ocurrir era esto, era una carambola tres bandas y las fuerzas del cielo lo permitieron.</t>
  </si>
  <si>
    <t>"Un país que arrastra 100 años de socialismo" frames Argentina's entire post-1930s political-economic trajectory as a single collectivist doctrine, and casts his own government's possibility as contingent on that doctrine's terminal failure ("la madre de todos los males"). No climate content, but this is the same general anti-collectivist historical framing later applied specifically to environmentalism at Davos and the UN — codeable per the v4 scope rule as the discursive infrastructure of the broader argument.</t>
  </si>
  <si>
    <t>Foro Llao Llao</t>
  </si>
  <si>
    <t>2024-04-19</t>
  </si>
  <si>
    <t>Bariloche</t>
  </si>
  <si>
    <t>Y, obviamente que esto se está traduciendo en la baja en la tasa de inflación, porque como les decía la inflación de mayorista que es la que se anticipa estaba en 54%, es decir el equivalente del 17000 por ciento anual y hoy está en 5. Es más, el propio Fondo Monetario Internacional que tenía expectativas de inflación para este año para Argentina en torno al 250% anual, la bajó a 150. Bajarla a 150 significa que, de hoy para adelante, está esperando que en promedio la inflación sea del cinco y medio. Pero como es el proceso no es lineal quiere decir que vamos a un dígito bajo hacia diciembre. Es decir que lo estamos logrando. Naturalmente hay un montón de críticas; lo que pasa es que las críticas a mí me parece que se tendría que hacer entendiendo el modelo que uno tiene en la cabeza. Yo por ejemplo no sé cuándo dicen ‘programa integral’, entonces dicen ‘políticas sectoriales’ dentro del programa dentro del programa. Miren, yo no soy Leontief, no les voy a hacer el plan quinquenal. Yo no creo en eso. Yo no creo en una economía dirigista. Yo soy liberal libertario, yo me voy a ocupar de arreglar la macro, la micro la tienen que arreglar ustedes, ¿qué tengo que estar haciendo yo con la micro? Ya bastante con las estupideces que venimos haciendo hace 100 años, que hacemos cualquier desastre macro y después vienen los políticos eligiendo los ganadores. Lo cual además es una fuente de corrupción enorme. Por lo tanto ¿cuál es la regla de un liberal en esto? Don't pick the winners. Yo me voy a encargar de estabilizar la economía, de bajar la inflación, de generar las condiciones para que la economía vuelva a crecer; el resto es todo de ustedes. Es decir, el que mejor esto lo explica es Claudio Zuchovicki, que tiene un ejemplo fabuloso: ¿Milei se va a ocupar de la inflación? Sí. ¿Se va a ocupar del déficit fiscal? Sí. ¿Se va a ocupar de la cuestión cambiaria? Sí. ¿Se va a ocupar de limpiar el balance del Banco Central? Sí. ¿Se va a encargar de su negocio de pizzería? No. Usted tiene dos pizzerías, una le va bien, otra le va mal. Tiene el mismo contexto internacional, tiene la misma macro: yo no me voy a ocupar de la pizzería, eso es un problema micro, eso lo tienen que resolver ustedes. ¿Qué tengo que estar haciendo yo metiéndome en el negocio de cada uno de ustedes? No se puede ser tan fatalmente arrogante.</t>
  </si>
  <si>
    <t>"Yo no soy Leontief, no les voy a hacer el plan quinquenal... no creo en una economía dirigista... Don't pick the winners" rejects any role for state economic planning beyond macro stabilization, on the ground that market agents ("ustedes," "los empresarios") are the legitimate allocators of micro-level outcomes. This is the Market_Primacy move that any state coordination role beyond the barest minimum is illegitimate — applied here to industrial policy in general, not to environmental/climate coordination specifically, but codeable per the v4 scope rule as the same anti-planning logic.</t>
  </si>
  <si>
    <t>Para enfrentar esto, nosotros enviamos el programa de reformas más ambicioso de la historia argentina. Mandamos mil reformas en dos instrumentos: un tercio en el DNU, dos tercios en la Ley Bases. El DNU todavía sigue en pie. ¿Pero cuál es la característica de estos instrumentos? Tiene tres elementos: el primero que a diferencia de todos los DNU que hubo en Argentina, donde todos avanzaron sobre las libertades individuales, sobre la propiedad privada, esta es la primera vez que devuelve libertades, o sea le devuelve libertad a los ciudadanos, hace un respeto furioso de la propiedad privada, promueve estructuras de mercado más competitivas. Eso sí tiene un defecto enorme, tanto el DNU como la Ley Bases, un defecto tremendo: va contra el curro de los políticos. Eso se vio con claridad lo que hicieron, cuando lo voltearon en la cámara de senadores. Obviamente que los mayores abanderados de los curros ¿qué van a decir? ‘No, el decreto es inconstitucional’. Afortunadamente la Corte después de algunas cosas ahora parece como que se encaminó, se reorientó y ahora falló en dos casos a favor del DNU. No es suficiente todavía, pero es un buen inicio. En cuanto a la Ley Bases también tiene los mismos conceptos, pero eran cosas que no podían salir por decreto, sino que tenían que pasar por el Congreso por el tipo de cosas que implicaba. Entonces cuando nosotros nos sentamos con los gobernadores en Casa Rosada una de las cosas que yo le propuse a los gobernadores era arreglarles el problema fiscal que tenían. Y eso estaba en el capítulo 4 en la Ley Bases. Ahora ¿qué es lo que sucede? Los gobernadores en lugar de entender eso como un acto de buena voluntad, lo entendieron como un signo de debilidad. Frente a ese caso, empezaron a hacer un desastre en materia fiscal. Entonces ¿qué es lo que pasó? Nosotros sacamos el capítulo 4 de la Ley Bases. ¿Cómo lo leyó el círculo rojo que cada día está más analógico? ‘Esta es una derrota de Milei’. Salió Toto y explicó: ‘bueno, si ustedes no quieren dejar el capítulo 4 como estaba y hacen un desastre fiscal como el que están haciendo para que nos peguemos la piña de acá seis meses, nosotros levantamos el capítulo 4. Pero si nosotros levantamos el capítulo 4, ustedes van a terminar haciendo un ajuste fiscal más grande que el que están dispuestos a hacer. Ahora volvió la Ley Bases, adivinen qué tiene. El mismo capítulo 4. ¿Quién ganó? Tengan cuidado con estos muchachos, que están muy analógicos, que parece que no entienden bien cómo funciona la política.</t>
  </si>
  <si>
    <t>"Un defecto tremendo: va contra el curro de los políticos" attributes legislative resistance to the DNU and Ley Bases directly to the political class protecting its extractive rent ("curro"), not to substantive disagreement — the same parasites/producers Anti_Casta logic named explicitly in the codebook. No climate content in this passage, codeable per the v4 scope rule.</t>
  </si>
  <si>
    <t>Buenas noches. En primer lugar, quiero decirles a todos los argentinos que entiendo que la situación que estamos viviendo es dura, pero también que ya hemos recorrido más de la mitad del camino. Este es el último tramo de un esfuerzo heroico que los argentinos estamos haciendo y por primera vez en mucho tiempo esta vez el esfuerzo va a valer la pena. En segundo lugar, hoy estoy aquí rodeado de nuestro equipo económico, encabezado por el ministro Luis Caputo y el presidente del Banco Central, Santiago Bausili, para anunciar algo que hace tan solo unos pocos meses parecía imposible en la Argentina. En contra de los pronósticos de la mayoría de los dirigentes políticos, los economistas profesionales televisivos y petardistas tribuneros, los periodistas especializados y buena parte del establishment argentino quiero anunciar que el sector público nacional registró durante el mes de marzo un superávit financiero de más de 275.000 millones de pesos, logrando de esta manera y luego de más de casi 20 años, superávit financiero de 0,2% del PBI durante el primer trimestre del año.</t>
  </si>
  <si>
    <t>dismisses professional economists collectively as "petardistas tribuneros" (grandstanding loudmouths/bomb-throwers), framing their skepticism about the fiscal program's feasibility as illegitimate punditry rather than substantive critique — an early instance of the corpus's recurring dismissal of professional economic commentary.</t>
  </si>
  <si>
    <t>Cadena Nacional (Equilibrio Fiscal)</t>
  </si>
  <si>
    <t>2024-04-23</t>
  </si>
  <si>
    <t>Para mencionar algunos ejemplos, destacamos la reducción del 76% de las transferencias discrecionales a las provincias, un sistema tóxico con el que el poder central repartía recursos de todos los argentinos a unos pocos que se sometían a la voluntad del gobierno nacional. También una reducción drástica del 87% en la obra pública, históricamente vinculada al festival de corrupción que ha sido la Argentina los últimos 20 años, donde se gastaba dinero de los contribuyentes en rutas que no conducían a ningún lado o en obras que se inauguraban cinco veces y nunca se terminaban. En nuestro modelo, las obras de infraestructura pasarán a ser financiadas por el sector privado, de manera tal que efectivamente tendremos las obras que los argentinos necesitamos, evitando que ese dinero termine en los bolsillos de los políticos o sus amigos contratistas del Estado. Además de estas medidas, hemos reducido la estructura del Estado, eliminando el 50% de los cargos políticos, cerrando organismos innecesarios que se usaban para perseguir a quienes pensaban distinto. También eliminamos la pauta publicitaria, como habrán notado por la reacción de los medios, que con otras medidas redundaron en una reducción del 22% de los gastos de funcionamiento del Estado. Es decir, a diferencia de lo que muchos afirman, no solo ha sido posible terminar con el déficit fiscal, sino que lo hemos hecho de una manera que es económicamente sustentable y moralmente deseable, ya que por primera vez en la Argentina no pagan justos por pecadores. El superávit fiscal que hemos logrado sin olvidarnos de aquellos sectores postergados que han sido las principales víctimas del modelo empobrecedor, por eso es que hemos aumentado, entre otros, un 500% del Plan Primeros Mil Días que beneficia 70.000 mujeres embarazadas; incrementamos en un 311% la Asignación de ayuda escolar llevándola a $70.000; hemos duplicado la Asignación Universal por Hijo, incluyendo el aumento del 27% en el mes de marzo; duplicamos la Tarjeta Alimentar, que es una asistencia que llega en forma directa a 3,8 millones de personas; aumentamos un 75% la ayuda para los comedores, acompañado de medidas para garantizar la transparencia, eliminar a los intermediarios y terminar con los gerentes de la pobreza. Y lanzamos un sistema de vouchers educativos para asistir a aquellas familias que envían a sus hijos a establecimientos que reciben subvención estatal.</t>
  </si>
  <si>
    <t>an early, detailed articulation of the corpus's discretionary-transfers/public-works-as-clientelism theme, framing both provincial transfers and public works spending as systemic corruption/patronage mechanisms ("festival de corrupción," "bolsillos de los políticos o sus amigos contratistas") rather than legitimate governance functions — includes an early instance of the recurring "gerentes de la pobreza" phrase.</t>
  </si>
  <si>
    <t>FLAGSHIP — alleges that state bodies were being used specifically to political ends ("perseguir a quienes pensaban distinto"), an escalated claim beyond mere fiscal-waste critique, characterizing the pre-existing state apparatus as an instrument of ideological persecution rather than a merely bloated bureaucracy.</t>
  </si>
  <si>
    <t>Hola a todos. Si no, no soy yo, bueno buenas noches. Muchas gracias a la Fundación Libertad por permitirme ser parte de esta reunión, que además honrado por tantas personalidades como el presidente Macri, como el presidente Lacalle Pou, como el presidente Aznar, la doctora Bullrich, genia Patricia. Así es que, obviamente que al momento de que uno tiene que elegir una ponencia, digo tiene que acostumbrarse y acomodarse a lo que son las necesidades del momento y al lugar donde está y dada la discusión digamos que hoy está tan presente en Argentina sobre el tema de la inflación, sobre la discusión del tipo de cambio y ese tipo de cuestiones y dado que estoy frente a un público calificado, un público que está acostumbrado a recibir análisis económico, la intención de esta charla es básicamente contarle cómo es nuestra visión de cómo enfrentar y atacar y exterminar de una vez por todo el problema de la inflación en Argentina, que tiene una fecha de inicio clara que es cuando se creó esa institución nefasta que está en Reconquista 266 llamada Banco Central de la República Argentina.</t>
  </si>
  <si>
    <t>Naming the central bank itself "esa institución nefasta" frames a core state institution as inherently harmful by its nature, not merely mismanaged — the origin point of "el problema de la inflación" is the institution's existence. No climate content, but this is the same generic state-as-pathology framing applied elsewhere to environmental/regulatory bodies, codeable per the v4 scope rule.</t>
  </si>
  <si>
    <t>Cena Anual De La Fundacion Libertad</t>
  </si>
  <si>
    <t>2024-04-25</t>
  </si>
  <si>
    <t>Rosario</t>
  </si>
  <si>
    <t>fundacion / think tank</t>
  </si>
  <si>
    <t>Awards, Academic &amp; Think Tanks</t>
  </si>
  <si>
    <t>Por ende la presentación se llama "Dineros, precios, política monetaria e inflación". Otra cosa que descubrí que en la interacción con distintos economistas locales, es que la gran mayoría de los economistas locales, profesionales y de renombre, no tiene ni idea de algo tan importante en esto que es el problema del ancla nominal y porque básicamente no entienden que es el dinero. Es decir, Keynes en ese tratado nefasto llamado "Teoría general de la ocupación, el interés y el dinero", causó un daño tan grande que todavía, digamos, seguimos heredando algunos problemas de definición de marco conceptual, que hace que nos equivoquemos tanto y tan seguido los economistas. De hecho, recién en el auto repasábamos un chiste que decía "las últimas cinco recesiones, ¿cuántas pronosticaron los economistas? Nueve". Digo, más allá de los chistes de esto, entonces digo, resulta fundamental y clave entender qué es el dinero. O sea, lo que uno se da cuenta es que discuten el problema de la inflación y no entienden qué es el dinero.</t>
  </si>
  <si>
    <t>Keynes's foundational treatise is branded "nefasto," and "la gran mayoría de los economistas locales, profesionales y de renombre" are dismissed as not understanding money at all, reinforced by the economists-can't-forecast-recessions joke. This delegitimizes mainstream professional economic expertise wholesale, not just a specific policy disagreement.</t>
  </si>
  <si>
    <t>El problema aparece cuando ese oro falso, yo lo meto adentro de la economía como si fuera bueno y cuando hago eso, ¿cuál es el problema? estoy aumentando la oferta de oro y al aumentar la oferta de oro, el poder adquisitivo del oro cae, es decir, que todos los precios expresados en unidades de oro suben, ¿eso se llama cómo? Inflación. Es decir, donde la verdadera estafa no es la inflación, la verdadera estafa es el señoreaje. Es la emisión monetaria la verdadera estafa, porque yo les hago una pregunta, si ustedes tuvieran una economía en crecimiento y el Banco Central emite acorde al crecimiento de la demanda de dinero como consecuencia del crecimiento de la economía, suponiendo que el consumo fuera una fracción constante del ingreso, digo así queda todo perfecto en términos de la estructura que usé.</t>
  </si>
  <si>
    <t>Casting monetary emission itself as "estafa" ("la verdadera estafa es el señoreaje") delegitimizes the state's ordinary regulatory control over the money supply as inherently fraudulent, rather than a policy choice open to disagreement. Distinct from the earlier Anti_State_Anti_Bureaucratic code on the BCRA-as-institution passage — this one targets the specific regulatory *act* (monetary issuance) as theft, not the institution's existence per se.</t>
  </si>
  <si>
    <t>Por lo tanto, fíjense que cuando nosotros recibimos ese déficit Monumental de 15 puntos del PBI, 5 en el tesoro y 10 en el Banco Central, hoy, entre el ajuste que hicimos en el tesoro y el ajuste que lleva hecho el Banco Central, de 15 puntos lo bajamos a 13. No solo eso. Cuando termine el año, le habremos devuelto al sector privado 15 puntos del PBI en ahorro. ¿Quieren saber cómo va a crecer la economía? Va a subir como pedo de buzo. "Pero no hay ancla nominal", menos mal. Bueno, eso, digamos, entonces hay una ancla, digamos el caso del ancla nominal que cuando ustedes fijan la cantidad de dinero. Obviamente que no es la única forma de anclar. Hay cosas que verdaderamente a mí me parecen divertidas, no. Porque vienen economista y dicen "no, bueno, porque no hay un plan integral, porque debería definir la matriz productiva de los próximos, digamos no sé, 5 años". ¿Qué quieren un plan quinquenal? No soy Leontief, no soy un comunista. Soy liberal libertario, creo en la libertad, creo que eso lo tienen que determinar los empresarios, no un burócrata fatalmente arrogante desde una oficina. O cuando dicen "no, bueno, pero deberías fijar el sendero de precios, salarios". Digo, de vuelta muchachos, soy liberal, yo creo en el sistema de precios. Es decir, ustedes para determinar, para poder saber cuál es el vector de precios, deberían, de vuelta, conocer las preferencias, la tecnología y las dotaciones.</t>
  </si>
  <si>
    <t>"No soy Leontief, no soy un comunista. Soy liberal libertario" explicitly rejects central economic planning by name-checking communism, positioning any five-year industrial-matrix planning as collectivist by definition. The adjacent "no un burócrata fatalmente arrogante" phrase reprises the Anti_State_Anti_Bureaucratic register already coded once in this speech (the BCRA passage); coding this instance under Anti_Socialism_Anti_Collectivism instead — rather than stacking a second Anti_State code — captures the genuinely distinct move here: the explicit communist/collectivist framing of the "plan quinquenal," which the BCRA passage did not have.</t>
  </si>
  <si>
    <t>Entonces lo que yo propongo es un debate más serio, un debate intelectualmente honesto y plantear esto: lo primero, y que me parece mucho más grave, es, si yo voy a definir atraso, quiere decir que para definir atraso estoy comparando contra algo. Eso quiere decir que yo tengo que conocer el vector de precios de equilibrio en la economía. Eso significa que, dado que es una economía abierta, necesito conocer las preferencias de todos los agentes de la economía, sobre todos los bienes de la economía, las dotaciones y la tecnología pero no solo para la economía Argentina sino para el mundo también. El pobre Hayek hay que en este momento se estaría retorciendo en su tumba. Digo, no podría creer digamos el nivel de fatal arrogancia que tenemos en creer que podemos hacer esa cuenta.</t>
  </si>
  <si>
    <t>"La mayoría de los analistas" claiming exchange-rate lag are branded "chantas" running dishonest analysis to "lavar sus culpas," and the entire professional consensus's technical claim is dismissed as impossible "fatal arrogancia." This delegitimizes mainstream economic expertise wholesale rather than engaging a specific methodological disagreement.</t>
  </si>
  <si>
    <t>Consejo Interamericano De Comercio Y Produccion (Cicyp)</t>
  </si>
  <si>
    <t>2024-05-15</t>
  </si>
  <si>
    <t>consejo empresarial</t>
  </si>
  <si>
    <t>Por lo tanto, digamos o sea vamos a ir a un régimen donde el peso va a quedar fijo y ustedes van a elegir la moneda que ustedes quieran. Todas las monedas van a competir contra el peso. ¿Les gusta el tipo de cambio, la canasta de moneda? Bueno el lugar que lo determina un burócrata, un ponderado, lo van a determinar ustedes mismos con sus decisiones.</t>
  </si>
  <si>
    <t>The choice of currency basket weighting is framed as either decided by an illegitimate "burócrata" or, correctly, by individuals' own market decisions — a direct bureaucrat-vs-individual framing that casts any state role in monetary policy design as an usurpation of a decision that rightly belongs to private actors.</t>
  </si>
  <si>
    <t>Es decir, se acabó el problema de la apreciación cambiaria. Eso sí: el peso va a estar como una roca. Porque no se mueve pero ustedes van a poder elegir en qué moneda van a ser las transacciones. Y que en la medida que la economía se expanda la cantidad de pesos relativamente va a ser más chica. Y, cuando ustedes se den cuenta, va a ser tan chica la cantidad de pesos que podré dolarizar o la economía o cualquier esquema monetario de esos y eliminar el Banco Central. Y se terminará la posibilidad de que cualquier político ladrón de este país los vuelva a robar con el impuesto.</t>
  </si>
  <si>
    <t>"Cualquier político ladrón de este país los vuelva a robar con el impuesto" frames the political class categorically as thieves who use monetary/fiscal policy to extract from citizens — the classic Anti_Casta parasites-vs-producers framing, here applied to the political class as a whole rather than a specific rival.</t>
  </si>
  <si>
    <t>Por lo tanto, no es que no hay un programa económico. Si son miopes, no es mi culpa. Si son ignorantes, no es mi culpa. Porque, de vuelta, esos que dicen "no, tiene que tener una matriz productiva proyectada", digo no soy Leontief, no soy comunista, soy liberal. Creo que los artífices del futuro son ustedes. Por lo tanto, no le pidan peras al olmo. No voy a ser un intervencionista. Voy a ser un liberal libertario y creo que ustedes son los creadores de riqueza. Muchísimas gracias.</t>
  </si>
  <si>
    <t>"No soy Leontief, no soy comunista, soy liberal" rejects industrial/production-matrix planning by explicitly equating it with communism — the same recurring self-positioning move seen in the Llao Llao and Fundación Libertad speeches, reused here to close out a purely monetary/exchange-rate lecture.</t>
  </si>
  <si>
    <t>Entonces, en ese contexto, además cuando yo empecé a ir a la tele estaba más solo que Adán en el día de la madre. Porque eran todos socialistas, todos colectivistas, todos políticamente correctos, o sea eran luchas desiguales, eran 15 a uno, Gladiator era un chiste al lado de lo que me tocaba a mí. Bueno, pero así con la teoría económica debajo del brazo, la evidencia empírica y lo que iba pasando en la realidad, las ideas fueron ganando espacio. Y básicamente la parte 2 son aquellos temas que a mí me parecen, cuando hice el libro para el 2022, que eran los más relevantes en ese debate. De hecho digo hoy se sigue discutiendo los temas de crecimiento, hoy se siguen discutiendo los temas de inflación, hoy se siguen discutiendo los temas del atraso cambiario. Es decir, hay uno que se llama atraso cambiario, cuando los economistas son parte del problema. De hecho vengo de dar una conferencia esta semana frente a empresarios explicando que eso del atraso cambiario está mal, pero no importa. Y después la tercera parte del libro tiene mis discursos de campaña. Y como cierre tiene la discusión del presupuesto, ya siendo diputado. O sea, eso es básicamente la estructura del libro que tengo el honor de que Juan Ramón me lo haya prologado y cuando digo liberalismo ya lo sabes, digamos, yo suelo apalancarme sobre la definición que ha dado nuestro máximo prócer de las ideas de la libertad en Argentina, que es el profesor Alberto Benegas Lynch hijo, que dice que el liberalismo es el respeto irrestricto del proyecto de vida del prójimo, basado en el principio de no agresión, esto es un tema no menor, lo remarcó, y en defensa el derecho a la vida, a la libertad y a la propiedad. Y además, digo, y es uno de los capítulos, o sea, cuyas instituciones son la propiedad privada, los mercados libres de intervención estatal, la competencia, la división del trabajo y la cooperación social, donde solamente se puede ser exitoso en el capitalismo sirviendo al prójimo con bienes de mejor calidad a un mejor precio. Es decir, que en el fondo un capitalista exitoso es un benefactor social, es un héroe, o si no lo podemos poner en los formatos de ancho basto, o sea, capitalismo, ahorro, y trabajo duro, duro, duro.</t>
  </si>
  <si>
    <t>bundles "socialistas," "colectivistas," and "políticamente correctos" together as a single undifferentiated hostile bloc he faced alone on television, collapsing economic ideology, collectivist politics, and cultural progressivism into one adversary.</t>
  </si>
  <si>
    <t>Presentacion Del Libro *El Camino Del Libertario*</t>
  </si>
  <si>
    <t>2024-05-17</t>
  </si>
  <si>
    <t>Madrid, España</t>
  </si>
  <si>
    <t>ahí aparece el gran problema, digo, que se manifiesta como déficit fiscal, en general cuanto más inmoral es un político, lo financia con deuda. Vean que siempre la dimensión moral o sea, y esto el liberalismo lo aporta de lleno. ¿Por qué es inmoral la deuda? La deuda es inmoral, porque la fiesta de hoy se lo estoy pasando las generaciones futuras. Es como que nosotros no fuéramos todo de fiesta y le pasemos la cuenta a nuestros nietos. ¿Cómo lo calificarían? Una cosa bastante fea. O por ejemplo financiarlo con emisión monetaria, que es un impuesto no legislado. Los impuestos son un robo y este también es un robo. El verdadero robo es el señoreaje, es la emisión de dinero. Pero no solo eso, sino que además es profundamente regresivo, entonces pega con más fuerza sobre lo más vulnerables. En Argentina por ejemplo pasa que los mayores fanáticos del señoriaje y el impuesto inflacionario son los progres y son una máquina de producir pobres. Y lo otro directamente son los impuestos, que directamente es un robo, es una confiscación. Entonces, ¿Qué es lo que pasa?. Cuando se quedan ya sin recursos, terminan yendo por la emisión monetaria, y eso empieza a generar inflación. Como no les gusta la inflación, digo, porque es un efecto nocivo y que a la gente le molesta, entonces ¿Qué es lo que hacen? Para tratar de controlar los precios fijan el tipo de cambio, y al fijar el tipo de cambio se empiezan a perder reservas. Es de manual. Entonces, como no les gusta perder reservas ¿Qué hacen? Ponen control de capitales. El control de capitales no solo que está vulnerando la libertad de ustedes de decidir en qué moneda ahorrar, sino que además les está destrozando el consumo futuro, pero no solo eso, además los obliga a retener más de la moneda local, por lo tanto, aumenta la base imponible del impuesto inflacionario por la fuerza. Es decir, entonces vean que el control de capitales, por ejemplo, es una política fuertemente inmoral, es una aberración, o por ejemplo, esto es un ejemplo divertidísimo, divertidísimo salvo que haya que vivirlo. Otra de las cosas que hacen los políticos es, para en lugar de atacar las causas, van sobre los efectos, entonces ponen controles de precios. Entonces, por ejemplo, durante la última etapa del kirchnerismo, antes de que llegáramos nosotros al poder, ¿qué es lo que hizo el kirchnerismo?. Frente al hecho de que estaban subiendo los precios y que no les cumplían los acuerdos de precios y aparecía el desabastecimiento, por lo cual también hay leyes de abastecimiento, ley que nosotros hemos eliminado con el DNU. Pero no solo eso sino que además, es interesante. Entonces que hicieron, mandaron a la patota de los sindicatos con palos para controlar los precios. Entonces, digo está claro que eso es una aberración. Ahora, un sector de la oposición, la crítica era “no hay que mandar a los patoteros, hay que mandar a la policía”, es decir el patotero legal. Es más, fíjense, terminan siendo más nefastos y más siniestros que los propios populistas kirchneristas, porque el populista kirchnerista mandó los patoteros, se terminó el gobierno kirchnerista, nadie manda más a esos patoteros. Ahora qué es lo que hace esa parte de la oposición cobarde, que quería mandar a los uniformados a controlar los precios, es mucho peor. Porque ¿qué es lo que hace? Manda una ley para que se haga eso. Con lo cual tienen un problema más grande, porque ahora tienen que además sacar esa ley que institucionaliza la violencia, cuando en realidad esto nunca debería haber ocurrido porque ustedes no lo deberían haber hecho por respeto del derecho a propiedad. Y ahí está el respeto a la vida, a la libertad y a la propiedad, justamente. Entonces fíjense cómo es importantísima la definición de liberalismo y las instituciones, y cómo la cuestión moral, es decir, porque la violencia está mal, la expropiación está mal, entonces eso es una guía de la política económica. Y cuando uno le saca la pata opresora del Estado a la política, las sociedades florecen. Entonces, nosotros venimos de una decadencia de más de 100 años,</t>
  </si>
  <si>
    <t>FLAGSHIP — frames capital controls, deficit spending, and monetary emission as morally equivalent to theft ("robo"), an explicitly moralized (not merely technical) case for market/monetary non-intervention grounded in property-rights language rather than efficiency arguments.</t>
  </si>
  <si>
    <t>envidia, en el odio, en el resentimiento, en el trato desigual frente a la ley y obvio que ellos no tienen ningún problema de asesinar gente tampoco, porque ellos cargan en su haber 150 millones de muertos. Pero al margen de eso es muy importante la discusión de la distribución del ingreso. De hecho después de la caída del muro, si uno podría llamarlo el postmarxismo que fue y se agrupó en distintos lugares Acá está maravilloso y genial Agustín Laje, que lo describe como pocas personas en el mundo. Trasladaron la idea de la lucha de clases a distintas cuestiones, y en la economía, la discusión sigue siendo de que no niegan la superioridad en el plano productivo del capitalismo, pero dicen que es injusto y que es insoportablemente injusto, y me parece que esa es la discusión que hay que dar y hay que ir con los valores morales, y cuando uno vea los valores morales aberrantes detrás del socialismo, o sea, uno se daría cuenta que es, no solo como diría Huerta de Soto, un fraude intelectual, sino que es un horror en términos humanos. Pero una de las cosas que el socialismo hace muy bien ahí y que está muy bien plasmado en un libro de Mises, que se llama la mentalidad anticapitalista, es cómo recurren a las miserias humanas para implantar sus ideas. A ver, supongamos que estamos ahora en todos acá en una situación de equilibrio, viene un shock que hace que por algún motivo nosotros querramos demandar más de un bien respecto a los otros. Ese bien naturalmente qué va a pasar, ese bien va a subir de precio. Obviamente que aquel que logre satisfacer esa demanda le va a ir muy bien, va a ganar mucha plata; es decir, ese tipo es un héroe. Y los socialistas logran mostrar eso como una monstruosidad de que “Mirá todo lo que gana y cómo se abusa de los demás, cómo está explotando los demás”. Entonces, ese mecanismo por el cual ellos meten el problema, lo que hacen es darle una justificación bonita la envidia. Entonces, y eso genera un ataque sobre el que genera riqueza y que lo que termina haciendo es hundir al país. Yo vengo de un lugar donde eso se hizo, se llama Argentina, la idea de la justicia Social es eso. Es una idea de resentidos, envidiosos, que además es injusta porque implica además un trato desigual frente a la ley, porque implica violencia. Porque ustedes para hacer esa política redistributiva le tienen que robar a uno para dárselo a otro. Es verdaderamente aberrante la idea de la justicia social y el correlato es que entonces aquel que tenía que invertir no termina invirtiendo y entonces estamos todos peor. En cambio, si entendiéramos que ese que está ganando plata lo está haciendo sirviendo al prójimo con bienes de mejor calidad a mejor precio es un héroe. Entonces una sociedad muy dinámica y que crece mucho va a generar desigualdad. ¿Por qué? Porque cada vez que se crea un producto, cada vez que se resuelva una necesidad, ese individuo va a ganar dinero. Miren está de testigo mi hermana: Una de las cosas más maravillosas que me pasó hablando con Elon Musk, en un momento me dice “yo me levanto todos los días a ver qué quilombo le puedo arreglar a la gente”, un tipo genial. O sea qué problema le puede arreglar a la gente. Eso es genial, digamos, porque entonces está pensando a ver cómo les arregla problemas a ustedes. Entonces a ustedes que les importa si gana plata o más plata, menos plata, si les está haciendo la vida mejor. Qué me importa si viene alguien y hace estos anteojos diez veces mejor y diez veces más barato, digo, que gane mucha plata, si yo estoy muchísimo mejor, tengo mejores anteojos y además tengo más plata para gastar en otro montón de cosas. Pero por eso porque el socialismo eso es lo que hace. Hay un chiste que están de dos personas, ¿no? A y B. A tiene una oveja y está feliz con la oveja y todo bárbaro, y se le presenta a B el Creador y le dice “te doy lo que quieras”, porque estaba profundamente envidioso que A ya tenía una oveja. Entonces qué podría haber pedido, que le dé una oveja, 10 ovejas, ¿no? Tenía al Creador enfrente, todo. “Que se muera la oveja”. Eso es el socialismo. Por eso se hunde.</t>
  </si>
  <si>
    <t>FLAGSHIP — explicit post-Marxism thesis (citing Agustín Laje) that class-struggle framing has been relocated into other domains after 1989, combined with the "150 millones de muertos" historical-atrocity indictment and "fraude intelectual"/"horror en términos humanos" moral condemnation — the corpus's clearest theoretical articulation of why socialism/collectivism is treated as illegitimate rather than merely mistaken.</t>
  </si>
  <si>
    <t>Javier Milei: Yo voy a voy a hacer varias referencias. La primera es, uno tiene que ser una persona que tenga gratitud y ser agradecido. Cuando yo era un ser despreciable que nadie me quería, el único que me abrazó fue Santiago Abascal. Por lo tanto, era un imperativo moral participar del evento. Porque además es un amigo y es un gran ser humano. Lo otro que hay que entender, que el poder es un juego suma cero y si lo tiene los zurdos no lo tenemos nosotros. Y eso ellos lo entienden. Entonces yo diría, miren el cáncer de la humanidad es el socialismo, el enemigo es el socialismo. Si yo le estuviera que decir algo es traten de ponerse todos, o sea una de las cosas maravillosas que se dio ahora en Argentina y que cuando yo lo proponía durante la campaña y cuando ingresé en política era que tenía que haber un ordenamiento en términos ideológicos para que la gente cuando vota sepa lo que vota. Entonces, que de un lado queden los colectivistas y del otro lado los que abrazan las ideas de la libertad. Después, obviamente que va a haber matices, hay una frase de Friedman que era genial, dice mire los liberales, hay distintos tipos de liberales dice, mire tiene los liberales clásicos, podría poner ahí a Adam Smith, lo podemos poner a Friedman ahí, digo, hay algunos que hasta lo podrían a Hayek ahí, digo, usted tiene los minarquistas, no sé, podríamos poner a Mises. Y en un momento, dice Friedman, cosa que sabía en carne propia por su hijo, y si se fija bien hasta los hay anarquistas. Entonces, lo que digo es, en lugar de estar tan preocupados por las diferencias que podemos tener en este lado de la vida, no dejemos que el lado oscuro, negro, satánico, atroz, espantoso, cancerígeno, que es el socialismo, nos gane. Muchas gracias.</t>
  </si>
  <si>
    <t>FLAGSHIP — closing appeal to European right-wing allies (VOX/"nuevas derechas") to set aside internal differences and unite against socialism cast in absolute, quasi-theological terms ("cáncer de la humanidad," "lado oscuro, negro, satánico, atroz, espantoso, cancerígeno") — an existential civilizational-defense framing distinct from the more analytical post-Marxism argument coded above.</t>
  </si>
  <si>
    <t>Así es que debo decir que, al igual que cuando expuse en el Instituto Milken en Los Ángeles, es grato hoy estar entre amigos. Es reconfortante estar frente a un público que comparte nuestras ideas y que es parte de la enorme tarea de dar la batalla cultural, frente a quienes quieren imponernos una visión del mundo que no solo es inmoral, sino que es contraria a los valores que hicieron grande occidente. Es cierto que dos años no son nada, pero han pasado algunas cosas desde la última vez que estuve aquí con ustedes. Cuando me presenté acá, hace 2 años, era tan solo un diputado nacional que acompañado solamente por quien ahora ejerce el cargo de vicepresidente de la Nación, enfrentábamos a la totalidad del sistema político en Argentina defendiendo las ideas de la Libertad. Quiero decirles que si bien ahora tengo un trabajo un poquito más complicado y algo más particular, nunca he dejado de lado, ni lo haré en el futuro, mi tarea histórica que es ser un humilde divulgador de las ideas de la libertad. Porque estoy convencido que hoy más que nunca que estas ideas y valores que llevaron a lo más alto a la especie humana corren peligro y necesitan ser defendidas del asedio del maldito y cancerígeno socialismo. El socialismo, esa de ideología que está pintada de una pátina altruista que, básicamente, esconde lo peor del ser humano, que es la envidia, el odio, el resentimiento, el trato desigual frente a la ley y si es necesario el asesinato, porque nunca se olviden que los malditos socialistas asesinaron a 150 millones de seres humanos.</t>
  </si>
  <si>
    <t>Socialism is branded "el maldito y cancerígeno socialismo," reduced to envy/hatred/resentment cloaked in altruism, and tied to a 150-million death toll — a maximal delegitimization of collectivist ideology as such, framing the entire Western political tradition of the left as inherently murderous rather than a disputed policy tradition.</t>
  </si>
  <si>
    <t>Acto De Vox "Viva 24"</t>
  </si>
  <si>
    <t>2024-05-19</t>
  </si>
  <si>
    <t>Madrid, España (Vistalegre)</t>
  </si>
  <si>
    <t>Este punto es central para lograr una acabada comprensión de la tragedia que significa el socialismo. Dado que el socialismo es una ideología que va directamente en contra de la naturaleza humana, necesariamente derivan esclavitud o muerte, no hay otro destino posible, abrirle la puerta al socialismo es invitar a la muerte. Pero si bien, todo esto es obvio, hoy es más importante que nunca señalarlo, porque en las últimas décadas las élites globales, lamentablemente, han sido cautivadas por los cantos de sirena socialistas. A través de ideas, discursos y valores que se han colado en el sentido común de nuestras sociedades, promovidos por organismos supranacionales, por ONG, por instituciones educativas y por la industria del entretenimiento y los medios de comunicación; discurso que dicen que el capitalismo es malo porque es individualista y que el colectivismo es bueno porque es altruista y, por lo tanto, bregan por la justicia social. Que persiguen al privado para que se someta a mandamientos de supuesta moral en cuestiones como el género, la cuestión racial o la cuestión ambiental, que muchas veces terminan atentando directamente contra la libertad y la capacidad de las empresas para generar riqueza, sino también sobre la vida humana.</t>
  </si>
  <si>
    <t>Gender, racial and environmental agendas are explicitly bundled together as a single "mandamiento de supuesta moral" imposed by the same global-elite/NGO/academia/media network on private business — the textbook Woke_Bundling move of treating unrelated progressive causes as one ideological package.</t>
  </si>
  <si>
    <t>Within the same bundled framing, the "cuestión ambiental" specifically is said to "atentar directamente contra la libertad y la capacidad de las empresas para generar riqueza" — sustainability governance is cast as harmful to wealth creation rather than addressed on its substantive merits. Stacked with Woke_Bundling because it captures a distinct, climate-specific insight (sustainability-as-harmful) beyond the general bundling move — removing either code would lose one of the two analytically separate claims.</t>
  </si>
  <si>
    <t>Por eso, a todos aquellos que se piensan que están salvando el mundo con el Estado presente, con impuestos altos, con cupo de géneros y castigando a los empresarios, yo les digo: ¿Saben qué es lo mejor para los trabajadores? Que pacten contrato libremente con sus empleadores. ¿Saben que es lo mejor para las mujeres? Dejar de tratarlas como víctimas que necesitan cuidados especiales. Yo me pregunto: ¿Acaso los socialistas consideran a las mujeres como seres inferiores para estar otorgándoles privilegios? Les pregunto a los socialistas ¿o acaso no alcanza con ser iguales ante la ley? ¿Saben qué es lo mejor para el planeta? Dejar que el mercado encuentre como ha hecho siempre, las mejores soluciones.</t>
  </si>
  <si>
    <t>"¿Saben qué es lo mejor para el planeta? Dejar que el mercado encuentre... las mejores soluciones" is the single most explicit climate-relevant Market_Primacy statement identified in the corpus to date — environmental problem-solving itself is declared to be a matter the market, not any collective/state mechanism, should resolve, mirrored in the same rhetorical structure used for labor and gender questions in the same passage.</t>
  </si>
  <si>
    <t>Hay que destruir esa idea parasitaria que ha aprendido en Occidente que dice que la tarea del Estado, o sea, del burócrata, es controlar cada aspecto de la vida de los ciudadanos. Esa idea de que los políticos deben cuidar a la gente desde la cuna hasta la tumba. Esto no ha sido nunca la tarea del Estado, la tarea del Estado, en caso de existir, es defender la vida, la libertad y la propiedad privada de los individuos.</t>
  </si>
  <si>
    <t>"Esa idea parasitaria... que la tarea del Estado, o sea, del burócrata, es controlar cada aspecto de la vida de los ciudadanos" frames any expansive state role — including the "cuidar a la gente desde la cuna hasta la tumba" welfare/regulatory conception — as inherently parasitic, restricting the legitimate state to a minimal life/liberty/property-defense function.</t>
  </si>
  <si>
    <t>A la luz de las cosas que suelo decir, de las discusiones en las que me suelo meter, muchas veces recibo críticas de distintos actores del establishment y en particular, de los ensobrados del periodismo. Digo, con esto de haberle quitado la pauta oficial a los medios, parece que estoy buscando empleo en el subsuelo, y lo voy a rajar al coloradito…Pero no se hagan problema, ese es zurdo también, así que, no me interesa ese negocio. Me dicen: "pero usted ahora es un jefe de Estado, cómo va a estar haciendo estos comentarios, cómo va a abrir a hablar así de sus adversarios políticos, cómo va a hablar así de otros mandatarios como hace dos años, o de un presidente", como me toca ser ahora. En todo caso, ahora que soy presidente, mi responsabilidad por librar la batalla cultural es, aún, mucho mayor, porque lo que hago y digo tiene un efecto más grande. Y dar la batalla cultural no es solo moralmente correcto, sino que, además, es necesario de un punto de vista del gobierno, es necesario para el éxito de cualquier programa de gobierno liberal o libertario, para que las políticas que implementen sean duraderas y para que en el futuro sean los propios ciudadanos lo que defiendan su libertad y no se dejen pisotear nuevamente por los socialistas. Porque, además, es importante alzar la voz, porque nuestros adversarios siempre juegan con ventaja. Porque tienen su gente metida en todos los niveles del Estado, tienen la fuerza de los sindicatos y de las organizaciones sociales, tienen a los empresarios prebendarios que viven del Estado y los financian, tienen los organismos supranacionales, las organizaciones no gubernamentales, los medios de comunicación y la industria del entretenimiento, y en mi caso, en mi país, hasta el control sobre el fútbol.</t>
  </si>
  <si>
    <t>The enumerated "adversary coalition" — state insiders, unions, "empresarios prebendarios que viven del Estado," supranational bodies, NGOs, media, entertainment — extends the Anti_Casta parasites-vs-producers frame beyond politicians to a broad extractive establishment coalition, echoing the enumeration style seen in the CPAC Washington speech.</t>
  </si>
  <si>
    <t>En ese sentido hay que reconocer que han hecho un trabajo formidable, en términos de lo que, Antonio Gramsci, llamaría "la construcción de una verdadera hegemonía global". Si todos los que creemos en la vida, la libertad y la propiedad, no hacemos nada, estamos condenados. Si todos los que creemos en los valores que hicieron de Occidente la civilización más próspera de la historia no hacemos nada, estamos condenados. Por eso, todos los que estamos acá, ciudadanos españoles, argentinos, presidentes, pensadores, empresarios, todos aquellos que creemos en la libertad, debemos ponernos de pie y decirles ¡basta! Basta al odio al resentimiento y a la envidia que implica el socialismo. Basta a la autoflagelamiento y la culpa de Occidente. Basta a la pretensión de vivir en un mundo de cristal, sin que nadie se pueda sentir ofendido. Basta de la intromisión del Estado en todos y cada uno de los aspectos de nuestra vida, volvamos a defender los valores que hicieron grande a Occidente. Volvamos a defender la vida, la libertad y la propiedad.</t>
  </si>
  <si>
    <t>"Basta a la autoflagelamiento y la culpa de Occidente... volvamos a defender los valores que hicieron grande a Occidente" is the speech's clearest Civilizational_Defense passage — an explicit call to stop Western self-criticism and rally in defense of a civilization framed as under existential threat, distinct from the earlier Anti_Socialism_Anti_Collectivism passage which targeted the ideology itself rather than the civilizational-stakes framing.</t>
  </si>
  <si>
    <t>En ese sentido, si no hubiera dinero, estaríamos lo que se llama en una economía de trueque. Ahora, en la economía de trueque ustedes derivan funciones de demanda, pero hay algo que es muy importante porque esto tiene que ver con la contaminación intelectual que generó el keynesianismo, porque, básicamente, Keynes, que no era economista y que solo había tomado un curso de economía de 6 meses con Alfred Marshall, no entendía la diferencia entre los modelos de equilibrio general y modelo y de equilibrio parcial.</t>
  </si>
  <si>
    <t>Keynes is dismissed as never having been "economista" (having taken only a six-month course), and Keynesianism is branded "contaminación intelectual" — a foundational credential-based delegitimization of an entire school of professional economic thought rather than engagement with a specific claim.</t>
  </si>
  <si>
    <t>Cierre Del Congreso Del Iaef (Ejecutivos De Finanzas)</t>
  </si>
  <si>
    <t>2024-05-21</t>
  </si>
  <si>
    <t>Con lo cual, si hay algo que pueda hacer el Banco Central, lo único que puede hacer es daño. Por lo tanto, lo mejor que puede hacer el Banco Central es nada. Y si lo mejor que puede hacer el Banco Central es nada, es mejor no tenerlo, porque siempre puede aparecer un delincuente político que lo quiere utilizar para estafar a la gente. Si no, miren lo que ha pasado con la historia monetaria Argentina desde 1935 en adelante.</t>
  </si>
  <si>
    <t>"Lo único que puede hacer [el Banco Central] es daño... es mejor no tenerlo" is a theoretical, in-principle claim that the institution itself is inherently harmful regardless of who runs it or how — going beyond criticizing specific policy choices to argue the institution should not exist.</t>
  </si>
  <si>
    <t>Entonces, ¿que no hubo motosierra?, hubo tremenda motosierra y después les explico algo, cuando la licuadora es permanente, también es motosierra. Entonces, aquellos que decían que no se podía hacer un ajuste más de un punto de PBI. Entonces, ¿ahora qué hacen? No, porque el problema ahora es la calidad del ajuste. Dale, mediocre fracasado, vos no lo podías hacer porque no tenías con qué hacerlo. En cambio, el Señor y yo hemos decidido poner lo que había que poner, a ver si ustedes se creen que es fácil bancarse a estos gasto-maníacos, degenerados del gasto público. Fíjense que lo único que están haciendo ahora es mandar proyectos al Congreso, ¿para qué? Para rompernos el equilibrio fiscal. Yo les aviso por si les interesa, que cualquier proyecto que manden desde el Congreso, que quieran romper la caja y hacer volar este país por los aires, se los voy a vetar, me importa tres carajos. Que obviamente lo van a hacer con fines electoralistas para tratar de esmerilarnos electoralmente. Pero le vamos a explicar a la gente lo que está haciendo, miren cómo les salió el tiro por la culata cuando fueron con el tema de una causa noble de las universidades y después la gente se dio cuenta de cómo se prostituyó una causa con una mentira y en la cual se prendió toda la casta política, y terminó en una foto todo el tren fantasma. Principio de revelación, aparte lo estamos exportando ahora al principio de revelación y lo bien que trabaja.</t>
  </si>
  <si>
    <t>"Se prendió toda la casta política" explicitly names the political class as opportunistically attaching itself to a manufactured cause (the university-funding protest) purely for electoral ends — the direct "la casta" framing applied to a concrete recent political episode.</t>
  </si>
  <si>
    <t>El otro mecanismo es un mecanismo perverso que es el de los puts, donde ahí hay corresponsabilidad con el FMI, porque como no querían financiar al fisco preferían el riesgo de crédito del Banco Central e inventaron ese monstruo de los puts. Entonces, cuando terminemos con los con los remunerados, cuando terminemos con el problema de los puts que ya lo tenemos, lo estamos encaminando, se va a terminar y avancemos en la reforma del sistema financiero, se termina la emisión por sector financiero. Como tenemos equilibrio fiscal financiero, no necesitamos emitir por el fisco y, por ende, vamos a dejar el tipo de cambio libre y no emitimos más. Una vez que tenemos esa situación, vamos a mandar una ley al Congreso donde la emisión monetaria sea considerada un delito, un delito como un delito de lesa humanidad, va a ser un delito imprescriptible. Entonces, si emitimos dinero, va a ir preso el Presidente del Banco Central, todo el directorio, el Presidente de la Nación, el ministro de Economía, y diputados y senadores. Es decir, todo los que laburen para emitir dinero, van a ir todos presos.</t>
  </si>
  <si>
    <t>Proposing that monetary emission be classified as an imprescriptible "delito de lesa humanidad" reframes the state's ordinary monetary-policy discretion as a crime against humanity — an extreme delegitimization of the regulatory function itself, going further than simply criticizing past emission decisions.</t>
  </si>
  <si>
    <t>Por lo tanto, en la medida que la economía crezca de manera permanente y eso implique un aumento permanente del consumo, la contracara es que me va a aumentar la demanda de dinero. Entonces ¿cuál es el problema que yo tengo ahora si dejé fija la cantidad de dinero? Es que como tengo el tipo de cambio flexible, la moneda se va a apreciar, pero también otra cosa que puede pasar y va a pasar, ¿cómo se resolvía el aumento de la demanda de dinero en convertibilidad? La gente iba y le vendía los dólares al Banco Central y así inyectaban los pesos, de hecho, hablábamos de ese mecanismo endógeno, bueno, pero ahora nos vamos a emitir. ¿Cómo hacemos entonces?, vamos a permitir la competencia de monedas, entonces supongamos, solo para hacerlo fácil ahora, qué se puede utilizar el dólar y permitimos que se use el dólar como otra moneda más; conforme aumente la demanda de dinero, la única forma de monetizar la economía cómo es, con los individuos metiendo los dólares adentro de la economía. Entonces ¿qué es lo que va a pasar? Se van a encontrar con una situación que los pesos están fijos y una economía que crece cada vez tiene más dólares, y cada vez tiene más dólares, siempre los mismos pesos y hacen las transacciones en la moneda que ustedes quieran. Consecuentemente, el peso pasa a ser algo así como una pieza de museo y cuando es muy chiquitito respecto a la cantidad de dólares ¿qué creen que vamos a hacer? Vamos a dolarizar y ahí va a desaparecer el peso, y la dolarización en un sistema de competencia de moneda, porque hay gente que tiene miedo, "no porque en realidad, la apreciación y que no sé qué cosa…" Basta de miedo, basta de miedo, tanto miedo la libertad, tanto miedo a los precios. Va a haber competencia de monedas. Entonces ustedes van a poder usar, ¿vieron que algunos hablan de canasta de monedas? Bueno, ustedes van a poder usar la moneda que quieran; pueden usar el dólar, pueden usar el yen, pueden usar el Renminbi, pueden usar la libra esterlina, el Franco, pueden usar lo que se le da la gana, a mí me da lo mismo, no me importa, usan cualquiera. Por lo tanto, ahí tendrían un modelo de canasta de monedas, pero en lugar que la determine un burócrata las ponderaciones ¿quién la va a determinar?: el mercado, lo van a determinar los individuos con sus decisiones de comprar y vender en la moneda que se les dé la gana.</t>
  </si>
  <si>
    <t>"En lugar que la determine un burócrata las ponderaciones ¿quién la va a determinar?: el mercado" repeats the CICyP speech's bureaucrat-vs-market framing for currency basket weighting, coded here again as a distinct instance in this separate speech.</t>
  </si>
  <si>
    <t>Claro, pero ahí le vamos a decir algo incómodo a los políticos [...] monopolio es cuando el Monarca o el señor feudal le daba a una empresa la potestad para hacer la única empresa que vendiera ese producto en ese lugar [...] Es decir, el monopolio es malo cuando el que está en el medio es el Estado. Por lo tanto, el problema sigue siendo el maldito Estado.</t>
  </si>
  <si>
    <t>reframes the entire concept of harmful monopoly as definitionally requiring state involvement ("el problema sigue siendo el maldito Estado"), setting up the chapter's broader thesis that market dysfunction is always traceable to state intervention rather than market structure itself.</t>
  </si>
  <si>
    <t>Presentacion De Su Libro</t>
  </si>
  <si>
    <t>2024-05-22</t>
  </si>
  <si>
    <t>Buenos Aires (Luna Park)</t>
  </si>
  <si>
    <t>En ese contexto, una de las cosas que yo digo es: los fallos de mercado no existen. Si ustedes consideran que hay un fallo de mercado, lo primero que sugiero es que revisen que no esté la intervención del Estado. Porque si está la intervención del Estado, el problema no es el mercado, el problema no es la gente, el problema son los políticos.</t>
  </si>
  <si>
    <t>FLAGSHIP — the book's central thesis stated in its starkest form ("los fallos de mercado no existen"), an absolute denial of market failure as a coherent economic category, presented as the organizing frame for the entire lecture.</t>
  </si>
  <si>
    <t>Entonces, ahí, como no podía faltar el aguafiesta [...] inventó la idea de los rendimientos marginales decrecientes [...] Malthus lo que quería explicar era una cosa verdaderamente aberrante, que se llamaba 'la ley de hierro en los salarios' [...] ¿Y cómo se le ocurrió a Malthus corregir esto? Con control de natalidad, cuyas versiones modernas son los aborteros. Que, dicho sea de paso, si ustedes van y leen el libro de Shemot [...] van a encontrar que ya en esa época era un mecanismo para masacrar poblaciones que estaban usando los egipcios para liquidar a los judíos. Y si quieren más, acá en el tiempo, lo que está inspirando toda la agenda asesina de hoy, es el Club de Roma. Cuando se desclasifican los archivos de este hombre Nixon, lo que se encuentra es que, inspirados en todas las predicciones del Club de Roma, que decía que cuando llegáramos al año 2000 no iba a haber lugar para más gente en el planeta y se iba a producir un apagón energético y eso iba a hacer caer la cantidad de producción de alimentos, y nos íbamos a morir y quedar mil millones. Entonces, sugerían impulsar la agenda del aborto. Es decir, lo que se creen tan avanzado con la agenda del aborto, es una agenda que tiene más de tres mil años y es una agenda absolutamente asesina por un par de salames que hicieron malas cuentas. "Pero el Señor Milei es un negacionista de la ciencia".</t>
  </si>
  <si>
    <t>HIGH PRIORITY FLAGSHIP — directly names the Club of Rome's resource-exhaustion/population-collapse predictions (the foundational text of modern environmental-limits discourse) and dismisses them as failed, discredited ("un par de salames que hicieron malas cuentas") pseudo-science retroactively linked to a "murderous" population-control/abortion agenda traced through Malthus and the Exodus narrative. The closing self-quotation — "Pero el Señor Milei es un negacionista de la ciencia" — is a rare explicit, pre-emptive acknowledgment and rejection of the "science denier" label, confirming Milei's own awareness that this line of argument reads as climate/environmental science denialism.</t>
  </si>
  <si>
    <t>Y ahí aparece el modelo de competencia monopolística de Chamberlin [...] Viene la gran depresión [...] frente a ese revés que sufre la Escuela Austríaca [...] aparece una de las cosas más oscuras en la historia de la humanidad junto al marxismo, ¿qué aparece? ¿Quién? ¡Keynes, bien!</t>
  </si>
  <si>
    <t>bundles Keynesianism together with Marxism as jointly "una de las cosas más oscuras en la historia de la humanidad," collapsing the distinction between mainstream demand-management economics and revolutionary socialism into a single historical-darkness category.</t>
  </si>
  <si>
    <t>En esa línea del equilibrio general, cuando se le empieza a poner matemáticas a la economía, un efecto derivado es que aparece un señor llamado Vilfredo Pareto, cuyas ideas influenciaron a un señor nefasto de izquierda que se llamaba Mussolini, quien inventó la doctrina el fascismo y que declara abiertamente que él odia el liberalismo, dice que "dentro del Estado todo, fuera el Estado nada y nada contra el Estado". Che, qué ignorantes, eso que nos dicen fascistas a nosotros, ¿no?</t>
  </si>
  <si>
    <t>distinct rhetorical move from the Keynes/Marx bundling above — explicitly recategorizes fascism as "de izquierda" (statist/collectivist) rather than right-wing, and uses this reclassification to pre-empt and invert accusations that Milei's own movement is "fascist." A notable instance of the corpus's recurring strategy of relocating historically right-coded ideologies into the collectivist/statist camp.</t>
  </si>
  <si>
    <t>Al igual que estamos atacando la inflación, nos comprometimos a que cada peso recaudado que termine en superávit fiscal será devuelto a los argentinos a través de reducción de impuestos, porque no hay destino posible para nuestra Nación si no le quitamos el peso del Estado de encima a los argentinos de bien.</t>
  </si>
  <si>
    <t>frames tax reduction not merely as fiscal policy but as removing an oppressive burden ("el peso del Estado") as a precondition for national viability — a moralized anti-statist framing rather than a technical tax-policy justification.</t>
  </si>
  <si>
    <t>Cadena Nacional – 214 Aniversario Revolucion De Mayo</t>
  </si>
  <si>
    <t>2024-05-25</t>
  </si>
  <si>
    <t>Cordoba (Cabildo)</t>
  </si>
  <si>
    <t>Ustedes son testimonio del infierno que es el socialismo. Gracias venezolanos.</t>
  </si>
  <si>
    <t>brief but explicit address to Venezuelan emigrants in the audience, casting socialism itself (rather than a specific policy failure) as "el infierno" — an absolute, totalizing condemnation delivered as a direct address rather than abstract argument.</t>
  </si>
  <si>
    <t>Recuerden que el primero estaba dispuesto a pagar con tal de que se lo lleven; y el segundo estaba desesperado para conseguirlo, para poder hacer su proyecto. Entonces, este tercer individuo – obviamente - que le va a ir bien porque está resolviendo un problema. Y si aparece el Estado regulándolo lo que va a pasar es interferir en ese proceso va a abortar y si el Estado avanza mucho hasta lo va a abortar directamente. Por lo tanto, todos vamos a vivir mucho peor; – probablemente - el caso más emblemático haya sido, durante la pandemia, con los barbijos, si hubieran dejado a la fuerza del mercado libremente hubiera habido muchísimos más barbijos, más rápidamente y mucho más barato. Y el hecho de que se metiera el Estado lo único que hizo fue generar un gran problema.</t>
  </si>
  <si>
    <t>The pandemic mask-shortage example is used to argue that state intervention in a market "va a abortar" the discovery process and that free market forces alone would have produced more masks, faster and cheaper — casting a concrete instance of pandemic regulation as actively harmful rather than a defensible public-health response.</t>
  </si>
  <si>
    <t>Clase Abierta En El Instituto Hoover (Universidad De Stanford)</t>
  </si>
  <si>
    <t>2024-05-29</t>
  </si>
  <si>
    <t>Stanford, California, Ee.Uu.</t>
  </si>
  <si>
    <t>clase magistral / universidad</t>
  </si>
  <si>
    <t>Es decir, que el Estado presente, la intervención estatal a los argentinos nos costó cien mil vidas, en un año. Es decir, la intervención del Estado, a la postre, termina siendo una intervención asesina, de manera directa o indirecta. Y esto, es importante porque también esta combinación del mercado como proceso de descubrimiento, más el principio de apropiación de Locke, aquel que señala que "el que lo descubre, se lo queda" es la base del pensamiento, de Israel Kirzner, en estos temas, donde muestra al mercado como un proceso de descubrimiento y que si ustedes se meten a intervenirlo - por el motivo que quieran -, en general se suele hacer por cuestiones de índole distributiva, ustedes lo que van a hacer es daño.</t>
  </si>
  <si>
    <t>"La intervención del Estado, a la postre, termina siendo una intervención asesina" attributes 100,000 Argentine COVID deaths directly to state intervention itself (pandemic regulation), the most extreme formulation of state-as-inherently-harmful found in the corpus to date — going beyond policy criticism to frame state action as literally murderous.</t>
  </si>
  <si>
    <t>Es decir, les diría que estamos enfermos de fatal arrogancia. Y me incluyo, digo, porque yo he dado clases de Microeconomía, 25 años de mi vida y he leído cuanto libro de Microeconomía daba dando vueltas, leía cuantos modelos y papers salían nuevos, pero todo cambió el día, que leí a Murray Newton Rothbard, en un trabajo, que se llama: "Monopolio y competencia" y ahí ese día mi vida cambió, pero entonces lo que quiero decir es que habilitar ese concepto de falla de mercado y la intervención lo que hace es favorecer el socialismo. Es decir, terminamos siendo funcionales al socialismo. De hecho, dentro de lo que es la estrategia del socialismo, del siglo XXI, y la forma de avanzar sobre las economías y donde Latinoamérica es un gran ejemplo, el socialismo del siglo XXI ha sido muy exitoso en Latinoamérica. Ha tenido un montón de presidentes. Y en Argentina tuvo cuatro períodos kirchneristas; en Uruguay ha tenido a Pepe Mujica, ha tenido a Tabaré Vázquez; en Chile ha tenido a Lago, a Bachelet (dos veces), a Boric; ahora, en Paraguay, han tenido a Lugo; en Brasil han tenido dos gobiernos de Lula, uno de Dilma Rousseff, después Lula nuevamente; tienen a Petro, en Colombia; tienen a Castillo, que estuvo en Perú; a López Obrador, en México y creo que no me estoy olvidando ninguno y después - en España - tienen a Pedro Sánchez, que es algo así como un kirchnerista y ya no diría que es de buenos modales porque no los tiene. ¿Y entonces, qué hacemos?</t>
  </si>
  <si>
    <t>An explicit region-wide catalog of elected left-of-center governments (Kirchnerism, Mujica, Bachelet, Boric, Lula, Petro, Castillo, López Obrador, Sánchez) is presented uniformly as "socialismo del siglo XXI," collapsing distinct democratic governments and platforms into a single delegitimized collectivist bloc.</t>
  </si>
  <si>
    <t>Nadie me forzó a hacer esa transacción. Y el único agente dentro de la economía, que hace esas transacciones forzadas es el Estado. Por lo tanto, el único que puede generar fallos adentro de la economía es el Estado. No, el mercado. Porque de hecho el mercado somos nosotros mismos. Si cuando hablan del mercado somos nosotros el mercado, somos nosotros el mercado.</t>
  </si>
  <si>
    <t>"El único que puede generar fallos adentro de la economía es el Estado. No, el mercado" is the theoretical core thesis of the entire lecture — voluntary market exchange is defined as incapable of failure by definition, so any apparent market failure must originate in state intervention. This is the strongest possible Market_Primacy claim: not merely that markets outperform the state, but that the very concept of market failure is categorically impossible.</t>
  </si>
  <si>
    <t>Obviamente que hay otro tipo de supuesto fallo de mercado y que lo podríamos analizar, las externalidades. Ustedes toman el caso de las externalidades, las externalidades en consumo es para evitar ese punto, para que no haya un problema de circularidad en la resolución del equilibrio del problema general. Pero ustedes se creen que la gente es tan idiota que no va a poder decidir, va a llegar un momento en que se va a morir de hambre, con lo cual, va a decidir de alguna manera para no morirse. Es decir, entonces no necesito que alguien intervenga para resolverme la externalidad del consumo porque a la postre alguien lo va a resolver. Los casos de externalidad en producción, ¿cuántas veces vieron en los libros de texto lo de la empresa que contamina el mar o el agua? En realidad es un problema de definición de propiedad, de hecho, una de las cosas brillantes que también resolvió Coase, era el tema de resolver estos problemas asignando derechos de propiedad.</t>
  </si>
  <si>
    <t>The textbook case of a firm polluting the sea or water — the paradigmatic environmental-harm externality — is reframed as "en realidad un problema de definición de propiedad," dissolving pollution regulation as a legitimate policy response and replacing it with a property-rights assignment problem. This is a direct climate/environment-relevant move: it delegitimizes the standard justification for environmental regulation of pollution at the theoretical root, not merely a specific regulation.</t>
  </si>
  <si>
    <t>Es decir, ellos se auto crean su propia demanda ¿por qué? Porque tienen el poder coercitivo del Estado en el medio. Es decir, el tipo que está en el Estado se fija qué puede regular, una de las cosas que les va a pasar con los reguladores y esto es importante que lo tengan en cuenta, es que, como están en esa oficina y necesitan justificar por qué están calentando la silla, crean regulaciones para justificar su existencia y nos arruinan la vida a todos. No es menor porque tiene implicancias directas sobre cómo esto impacta negativamente sobre la innovación, por ejemplo. Bueno, regulan porque no saben, regulan porque tienen que calentar la silla, regulan por lo que sea y nos están arruinando la vida.</t>
  </si>
  <si>
    <t>Regulators are cast as "sátrapas" who invent regulations purely to justify their own jobs ("calentar la silla"), a self-serving-bureaucrat account of why regulation exists at all — a distinct move from the earlier COVID/Anti_State passage, which was about intervention's consequences rather than regulators' motives.</t>
  </si>
  <si>
    <t>Y esto en un contexto donde, además, nosotros partíamos de un desequilibrio monetario peor que el que teníamos en la previa al Rodrigazo y con indicadores sociales peores que los que teníamos, en el 2001. Es decir, un perfecto combo por el cual la casta nos hacía pagar todo el ajuste a nosotros y ellos después venir como salvadores y hacer la gran Kirchner: agarrar todo en el quinto subsuelo y mostrarlo como una obra maravillosa, que no fue más ni menos que un rebote y ayudado por un contexto internacional pocas veces visto.</t>
  </si>
  <si>
    <t>"La casta nos hacía pagar todo el ajuste a nosotros y ellos después venir como salvadores" frames the political establishment's entire strategy as a cynical scheme to offload the cost of crisis onto the incoming government and later claim credit — the parasites-vs-producers Anti_Casta logic applied specifically to the prior administration's handling of the transition.</t>
  </si>
  <si>
    <t>10 Latam Economic Forum</t>
  </si>
  <si>
    <t>2024-06-05</t>
  </si>
  <si>
    <t>Buenos Aires (Golden Mercantil)</t>
  </si>
  <si>
    <t>Para aquellos que toman decisiones en serio, saben que eso es un problema grave. Entonces, en realidad, ese análisis está mal. Básicamente porque el único monopolio que es malo es el monopolio que está determinado, por la fuerza del Estado.</t>
  </si>
  <si>
    <t>"El único monopolio que es malo es el monopolio que está determinado, por la fuerza del Estado" collapses the category of harmful market concentration entirely into a state-intervention problem — no market outcome as such is presented as capable of being a genuine problem, only state-created ones. Distinct from the Anti_Casta code above: this targets economic theory about markets, not the political class.</t>
  </si>
  <si>
    <t>O les resultaría más fácil entenderlo si se les aportara un billete, pero como nosotros no estamos dispuestos a jugar en esa liga, no ocurre. Pero al margen de eso, ¿qué es lo interesante de todo esto? Es que cuando uno está en un país en vías de desarrollo, hay un montón de oportunidades que ya se descubrieron, se descubrieron en otros lugares. Por lo tanto, uno lo que tendría que hacer ¿qué es?, copiarlo. Y si uno copia, va a crecer muy fuerte. Y con el avance de la información, esa copia es más rápida. Entonces, por ejemplo, miren, el primer país en duplicar el PBI per cápita fue el Reino Unido, en un proceso que duró 58 años, arrancando en 1780. Y eso implicó que crecía el PBI per cápita al 1,2%. El segundo en lograrlo, arrancando en 1839, que tardó 47 años, fue Estados Unidos. Eso implicó una tasa de crecimiento del 1,5% per cápita. El tercero en lograrlo fue Japón, en 34 años, arrancando en el año 1885, y eso implicó una tasa de crecimiento per cápita del 2,1%. Otro caso es el de Italia, que lo hizo en 21 años, arrancando en 1890, e implicó una tasa de crecimiento del 3,3%. España, en 1950, lo hizo en 18 años, con una tasa del 4%. Corea del Sur, desde 1978, tardó 9 años, una tasa de 7,8%. O China, que arrancó en 1987, y lo hizo en 7 años, con tasas de crecimiento del 10%. Es decir, fíjense que conforme avanzamos en el tiempo, los procesos de convergencia se dan más rápido porque el proceso de descubrimiento vale en la frontera, pero en la transición lo que hay que hacer es tener buenas instituciones para que copiemos y se crezca, y eso es ganando libertad económica. Y por qué a mí me interesa muy particularmente el caso de la inteligencia artificial, porque la inteligencia artificial es como la nueva Revolución Industrial. ¿Y qué fue la Revolución Industrial en la historia? Por eso hablé del palo de hockey, implicó un aumento dramático en la tasa de crecimiento. Entonces, ¿qué es lo que genera la inteligencia artificial? Genera una exacerbación de los rendimientos crecientes, esa exacerbación de los rendimientos crecientes implica aceleración en la tasa de crecimiento, y la forma de lograr esa aceleración del crecimiento es no matándolo con regulación económica. ¿Cuál es la zona que menos crece del planeta, a pesar de que tiene un polo de inteligencia artificial? Europa, porque está repleto de regulaciones. Cuando ustedes se ponen a pensar como macroeconomistas y quieren hacer que el monopolio se parezca a una empresa competitiva, le están reventando las cuasi-rentas, están reventando los beneficios extraordinarios, están reventando los incentivos a la innovación, están matando el crecimiento económico.</t>
  </si>
  <si>
    <t>"¿Cuál es la zona que menos crece del planeta, a pesar de que tiene un polo de inteligencia artificial? Europa, porque está repleto de regulaciones" attributes Europe's growth underperformance to regulation as such, in the context of Argentina's pitch to become a global AI/energy hub — climate/energy-adjacent given the surrounding pitch about cheap energy and cold land as national assets.</t>
  </si>
  <si>
    <t>Ahora es cierto que hay algunos que pueden decir: "Bueno, pero acá hubo leyes y se las llevaron puestas". Sí, es cierto. Ahora también es cierto que nosotros le vamos a dar a esta ley categoría de delito de lesa humanidad, por lo tanto, es imprescriptible.</t>
  </si>
  <si>
    <t>Proposing that a future "Ley de No Emisión" classify monetary emission as an imprescriptible "delito de lesa humanidad" reframes the state's ordinary monetary-policy discretion as a crime against humanity — a recurring extreme formulation across this batch, coded here as a distinct instance in this separate speech.</t>
  </si>
  <si>
    <t>30A Edicion De Agroactiva 2024</t>
  </si>
  <si>
    <t>2024-06-06</t>
  </si>
  <si>
    <t>Armstrong, Santa Fe</t>
  </si>
  <si>
    <t>sectorial</t>
  </si>
  <si>
    <t>El crédito está creciendo 650 por ciento - respecto al año anterior - y está creciendo 45% - respecto al mes pasado - es decir, la economía está rebotando y va a rebotar fuerte. Entonces, si hoy, a pesar de haber hecho el ajuste más grande de la historia de la humanidad, mi imagen sigue estando en los niveles de cuando asumimos, cuando la intención de votos del espacio está en torno al 55%, o sea, con lo cual, si fuéramos a una elección general, ganaríamos en primera vuelta por escándalo. Saben qué los chorros están nerviosos, la casta tiene miedo y tiene tanto miedo que lo único que hace es querer sabotear este gobierno.</t>
  </si>
  <si>
    <t>"Los chorros están nerviosos, la casta tiene miedo... lo único que hace es querer sabotear este gobierno" applies the explicit "la casta" label to explain political resistance as fear-driven self-preservation rather than substantive disagreement — the core parasites-vs-producers Anti_Casta frame.</t>
  </si>
  <si>
    <t>En este contexto, el Estado ni está en su derecho, ni es capaz de impartir justicia a través de la distribución de la riqueza, porque la justicia social es un concepto equivocado a nivel moral, a nivel teórico y a nivel empírico. En el plano moral porque todo acto de distribución supone el acto de coacción previa, que es confiscarle sus bienes a un privado que son suyos por derecho natural. Lo cual significa que el Estado es una organización criminal y violenta, en tanto se financia con una fuente coactiva de ingresos llamada impuestos.</t>
  </si>
  <si>
    <t>"El Estado es una organización criminal y violenta, en tanto se financia con una fuente coactiva de ingresos llamada impuestos" is a categorical, in-principle claim about the nature of the state itself — not a criticism of specific policy, but a definitional equation of ordinary taxation with criminality, delivered as academic argument to a Cato Institute audience.</t>
  </si>
  <si>
    <t>Conferencia Del Instituto Cato Y Libertad Y Progreso</t>
  </si>
  <si>
    <t>2024-06-12</t>
  </si>
  <si>
    <t>Y por último, como si todo esto no alcanzara, también está a la vista la evidencia empírica de la inferioridad del socialismo. Si miramos los índices de libertad económica, los países más libres tienen un PBI per cápita 12 veces más grandes que los reprimidos. E incluso los habitantes del decil más bajo del sistema libre, viven mejor que el 90% de la población de los países reprimidos. O sea que el capitalismo de libre empresa es superior al socialismo incluso en la principal tarea que presumen el socialismo hace mejor, que es ayudar a los relegados. Lo que está en la base de todo esto es que hay una relación directa y probada entre represión y miseria, por un lado; y por el contrario hay una relación probada entre libertad y prosperidad. Y las ideas socialistas son fundamentalmente incompatibles con la prosperidad, precisamente porque son incompatibles con la libertad. Son incompatibles la anulación de la competencia con la defensa del mérito y el esfuerzo; son incompatibles el control burocrático con la creatividad y la innovación; son incompatibles la distribución dirigida con la generación de riqueza; y en el fondo son incompatibles un estado grande con atribuciones amplias que se mete en cada uno de los asuntos privados de la gente, con tener una sociedad libre, creativa y pujante, que pueda generar la riqueza para sí y para las futuras generaciones.</t>
  </si>
  <si>
    <t>The catalog of point-by-point "incompatibilities" (competition vs. merit, bureaucratic control vs. creativity, directed distribution vs. wealth generation, big state vs. free society) systematically forecloses any coexistence between socialist policy instruments and prosperity — a comprehensive theoretical delegitimization of the entire collectivist policy toolkit, not a single specific critique.</t>
  </si>
  <si>
    <t>Hoy parece que la Argentina y buena parte del mundo libre giran en direcciones contrarias. Mientras algunas potencias de Occidente se olvidan las normas básicas que trajeron la prosperidad de la que gozaron en las últimas décadas, la Argentina se reencuentra con esas ideas y valores y vuelve a apostar por el modelo de la Libertad. Mientras los países desarrollados se vuelven pesados en regulaciones, en imposiciones injustificadas, nosotros quitamos las regulaciones que desde hace década atan de las manos a nuestro pueblo e invitamos a los capitales del mundo a cooperar con la Argentina; porque entendemos la actividad económica libre como el acto de cooperación más natural que tiene la especie humana. Esto es, en Argentina nos estamos reencontrando con las ideas que hicieron del occidente moderno la hazaña civilizatoria y de desarrollo económico más grande de la historia humana. Y queremos ser un refugio para quienes defienden y viven estas ideas a lo largo y a lo ancho del planeta. Siempre hubo una puja entre quienes innovan y quienes regulan; entre quienes generan y quiénes confiscan; entre quienes exploran el territorio y quienes luego dibujan los mapas y trazan los límites. Siempre hubo y habrá una puja entre el privado y el estado. Hoy en el sector tecnológico, que es el sector más dinámico de la economía global, esa puja es palpable. Los grandes visionarios del sector huyen de las regulaciones que les buscan imponer la dirigencia política global infectada de socialismo. Yo les digo hoy a ustedes lo que ya le he dicho a estos actores en persona: esta Argentina está del lado del sector privado, no del Estado; está del lado de los que trabajan, de los que comercian, de los que se esfuerzan, está del lado de quienes arriesgan, invierten, innovan.</t>
  </si>
  <si>
    <t>"Los grandes visionarios del sector [tecnológico] huyen de las regulaciones que les buscan imponer la dirigencia política global infectada de socialismo" frames global tech regulation as an ideological imposition to flee from rather than a legitimate governance function — pitched explicitly as part of Argentina's bid to attract capital and talent fleeing regulatory regimes, climate/energy-adjacent given the AI/energy-hub framing that follows.</t>
  </si>
  <si>
    <t>Entonces, una de las decisiones muy importantes que había que hacer era ¿qué hacíamos con el tipo de cambio? Sabíamos que no lo podíamos liberar por el problema de stocks, que teníamos en el balance del Banco Central. Entonces, la pregunta era ¿dónde poner el tipo de cambio? Esto también fue una decisión muy importante. Yo me acuerdo de esta decisión, pues estaba "Toto" Caputo, "Santi" Bausili, Fede Furiase y Martín Gutiérrez, estábamos - en el Hotel Libertador - que es donde estuve viviendo, durante tres meses. Pero estaba buenísimo era el Hotel "El Libertador", o sea más claro imposible, y encima de color violeta. O sea, el orden espontáneo no falla, muchachos. Adam Smith siempre tiene razón, salvo que esté el gobierno metido en el medio. Pero pido que no le echen la culpa a la mano invisible, échenle la culpa a la garra de hierro, del Estado.</t>
  </si>
  <si>
    <t>"Adam Smith siempre tiene razón, salvo que esté el gobierno metido en el medio... échenle la culpa a la garra de hierro, del Estado" reframes any market outcome that looks like failure as, categorically, state interference in disguise — the state is cast as a violent "garra de hierro" counterposed to the benevolent "mano invisible."</t>
  </si>
  <si>
    <t>Expofi 2024</t>
  </si>
  <si>
    <t>Buenos Aires (La Rural)</t>
  </si>
  <si>
    <t>Y, finalmente, en esto que también me parece muy interesante es ¿cuánto falta para abrir el cepo? Para abrir el cepo lo que tenemos que hacer es terminar de limpiar la hoja de balance, del Banco Central. Uno de los problemas era terminar con los pasivos remunerados. Es interesante, porque hoy la relación entre pasivos remunerados y base monetaria es de 1.2. O sea, tenemos 15 billones de pesos de base monetaria y 18 billones de pesos de pasivos remunerados. Con lo cual lo bajamos a 1.2, pero hay algo que es más interesante, de esos 18 billones que tenemos de pasivos remunerados, 12 billones están en manos, del sector público. De esos 12 billones, 7 están, en manos del Banco Nación, donde además la contracara es que hay depósitos del Tesoro, por 3.5 billones. Por lo tanto, hay 7 billones - de esos 12 - que no son un problema. Además, hay 3 billones que corresponden, al Banco Provincia, pero como el enano comunista genera déficit fiscal tiene recontra exigido, al Banco Provincia, tomándole financiamiento.</t>
  </si>
  <si>
    <t>"El enano comunista" is an explicit "comunista" epithet applied to a specific rival political figure (the Buenos Aires provincial governor), extending the Anti_Socialism_Anti_Collectivism frame from abstract ideology to a concrete domestic political opponent.</t>
  </si>
  <si>
    <t>No solo eso, aviso que no solo los periodistas dependen del sobre, hay supuestos intelectuales que pasean también por los canales que responden a sobres, o sea hay profesionales que son parte de este armado, aviso. O sea, la casta no solo son los políticos ladrones, sino que también son los empresarios prebendarios, son los medios y periodistas ensobrados, pero también están los profesionales que son cómplices de estas aberraciones.</t>
  </si>
  <si>
    <t>"La casta no solo son los políticos ladrones, sino que también son los empresarios prebendarios, son los medios y periodistas ensobrados... también están los profesionales que son cómplices" is an explicit extended definition of "la casta," widening the frame from politicians to an entire complicit professional-media-business network — mirrors the same enumeration move seen in the VOX Madrid speech.</t>
  </si>
  <si>
    <t>Belgrano era un maximalista de la libertad. Él entendía que, o éramos libres o no lo éramos; no había peros ni puntos intermedios. Por eso eligió no renunciar a la bandera, aún a pesar de las órdenes de Buenos Aires, porque la libertad no pide permiso, la libertad se impone. No se esperan las órdenes de ningún burócrata que especula con qué conviene o con qué no. La libertad es un instinto innato de ser argentino y es por eso que, a la larga, siempre se abre camino, porque la libertad es ineludible, por más que unos pocos se resistan o la quieran contener.</t>
  </si>
  <si>
    <t>generalizes Belgrano's 1812 defiance of the Triunvirato into a timeless maxim against bureaucratic authorization ("ningún burócrata que especula con qué conviene"), transposing a historical anecdote into a present-tense anti-bureaucratic principle.</t>
  </si>
  <si>
    <t>Acto Del Dia De La Bandera</t>
  </si>
  <si>
    <t>2024-06-20</t>
  </si>
  <si>
    <t>Belgrano no solo fue un líder de hombres, sino también fue un ejemplo de austeridad y honradez en el ejercicio de la autoridad pública. Hablamos de alguien que, cuando fue vocal de la Primera Junta, era el único que no cobraba; alguien que, cuando recibió un premio de la Asamblea por sus victorias en las batallas de Salta y Tucumán, lo donó entero para construir cuatro escuelas en el norte. Lamentablemente, esas escuelas nunca se hicieron porque el dinero nunca llegó a donde debía llegar. Belgrano también, como tantos otros después de él, tuvo que enfrentarse a las porosas manos de los políticos.</t>
  </si>
  <si>
    <t>uses the historical anecdote of misappropriated donation funds to invoke the Bastiat "porosas manos de los políticos" trope (used elsewhere in the corpus), explicitly extended via "como tantos otros después de él" to imply an unbroken, ongoing pattern of political corruption rather than a one-off 19th-century failure.</t>
  </si>
  <si>
    <t>Recibimos el país en esa situación, con más de 13 años de caída del PBI per cápita, más del 50% de pobres y una situación escandalosa, donde un país que produce alimentos para 400 millones de seres humanos, donde la presión fiscal sobre el sector productor de alimentos es del 70%, es decir, que el Estado se queda con el alimento de 280 millones de seres humanos, hay cerca de 5 millones de argentinos que no les alcanza para comer. Esa catástrofe es la virtud del socialismo: generar pobreza.</t>
  </si>
  <si>
    <t>FLAGSHIP — deploys Argentina's decline as a direct cautionary tale for Spain ("venimos del futuro a contarles una historia"), attributing the entire century of decline explicitly and singularly to "socialismo empobrecedor," with poverty framed not as a policy failure but as socialism's inherent "virtud."</t>
  </si>
  <si>
    <t>Medalla Internacional De La Comunidad De Madrid</t>
  </si>
  <si>
    <t>2024-06-21</t>
  </si>
  <si>
    <t>premio / reconocimiento</t>
  </si>
  <si>
    <t>Es por eso que quiero comentárselos y alertarles sobre los riesgos y cómo funciona ese modelo, porque no es necesario tener que llegar a una situación tan extrema como la que llegó a Argentina, sería bueno evitarse todos esos dolores. En especial, yo venía hacia acá y voy viendo Madrid, y es tan hermoso. No dejen que el socialismo les arruine la vida es la consigna. Y el punto es, cuando iniciamos en la carrera electoral, ya en la primera etapa, cuando estaba por ir por una banca de diputados por la Ciudad Autónoma de Buenos Aires, nosotros ya hablábamos de lo que era el modelo de la casta. El modelo de la casta, básicamente parte de una premisa socialista que dice que donde hay una necesidad nace un derecho. Ahora, esa definición tiene un problema. El primero es que las necesidades son infinitas, y el tema es que los derechos alguien los tiene que pagar y los recursos son finitos. Por lo tanto, esa inconsistencia, ese conflicto entre necesidades infinitas y recursos finitos, requiere de una solución. Aquellos que creemos en las ideas de la libertad, en el capitalismo de libre empresa, donde consideramos que el mercado es un mecanismo de cooperación social, donde voluntariamente se intercambian derechos de propiedad, consideramos que ese trabajo lo hace el sistema de precios. Y no hay nada mejor que pueda resolver lo que resuelve el sistema de precios, que probablemente haya sido una de las mayores invenciones humanas en la historia de la humanidad.</t>
  </si>
  <si>
    <t>FLAGSHIP — explicitly derives the corpus's central "casta" frame from a named socialist premise ("donde hay una necesidad nace un derecho"), tying the anti-establishment casta narrative directly to the anti-socialism thesis rather than treating them as separate critiques.</t>
  </si>
  <si>
    <t>Sin embargo, los socialistas no creen en eso; creen en un monstruo horrible y empobrecedor llamado justicia social, una idea realmente aberrante. Hayek hablaba de algo que llamaba palabras comadrejas: cada vez que ustedes le ponían un adjetivo a algo, destruía el sentido original de la palabra, en este caso, justicia social. La verdad es que la justicia social es profundamente injusta y profundamente violenta, porque la justicia social lo primero que hace es violentar la igualdad ante la ley, porque a algunos les quita y a otros les da, y eso antes está precedido de un robo, porque los impuestos no se pagan voluntariamente, se pagan a punta de pistola, a cambio de que si no los paga uno, va preso. Entonces, está precedido de un robo y de un trato desigual ante la ley. Por lo tanto, la justicia social nunca es justa; es profundamente injusta. Además, suelen enarbolar cuestiones nobles, pero la discrecionalidad siempre juega una mala pasada, siempre hay filtraciones. Bastiat hablaba de las porosas manos de los políticos.</t>
  </si>
  <si>
    <t>FLAGSHIP — frames taxation itself as coercive theft ("se pagan a punta de pistola") and "justicia social" as an inherently violent, unjust concept via Hayek's "weasel words" argument, a moralized property-rights case against redistribution rather than an efficiency argument.</t>
  </si>
  <si>
    <t>Todas estas aberraciones en la Argentina, hace más de 100 años que las padecemos, y han generado esta tremenda decadencia como pocas veces visto en la historia de la humanidad. Pero afortunadamente, los argentinos despertaron, despertaron a las ideas de la libertad, despertaron y entendieron que no se sale más con populismo, se sale con responsabilidad, se sale con capitalismo, ahorro y trabajo duro, diría el profesor Anxo Bastos. La salida es el liberalismo, por eso, nosotros - y esto a mí me resultó muy sorprendente cuando hacíamos nuestros actos de campaña; el cierre lo hacíamos con una frase de nuestro máximo exponente de las ideas de la libertad, el profesor Alberto Venegas Lynch hijo-, que dice que “el liberalismo es el respeto y respeto del proyecto de vida del prójimo, basado en el principio de no agresión y en defensa el derecho a la vida, a la libertad y a la propiedad, cuyas instituciones son la propiedad privada, los mercados libres, la no intervención estatal, la división del trabajo, la cooperación social y donde solamente se puede ser exitoso sirviendo al prójimo con bienes de mejor calidad y mejor precio”. Es decir, donde los verdaderos héroes son los empresarios y los emprendedores, no los burócratas que nos persiguen, que persiguen a la prensa, que mienten, que roban y que en el fondo destruyen a un país, y sobre todas las cosas, producen un daño mucho más complicado que deteriora el tejido social porque el socialismo está basado en la envidia, el odio, el resentimiento y el trato desigual frente a la ley. Si es necesario, no tienen problema en recurrir al asesinato, porque donde se aplicó el socialismo de manera pura fue un fracaso en lo económico, cultural, social, y nunca se olviden que asesinaron a más de 100 millones de seres humanos.</t>
  </si>
  <si>
    <t>contrasts entrepreneurs-as-heroes against bureaucrats characterized as persecuting the press, lying, and stealing — an escalated moral framing (state officials as active persecutors of journalism) beyond generic anti-bureaucratic sentiment, paired with the recurring "100 millones de muertos" historical-atrocity indictment of socialism.</t>
  </si>
  <si>
    <t>Pero no solo es una cuestión de lo que nosotros estamos planteando en términos de la estrategia de estabilización y lo que tiene que ver con la estrategia de poner el control en las calles. Nosotros también dijimos que íbamos a apuntar a recuperar el crecimiento económico y que, obviamente, eso implicaba hacer una reforma del Estado. Bueno, lo primero que hicimos fue bajar la cantidad de ministerios a la mitad, que, muy a mi pesar porque me hubiera gustado que otro fuera mi video más popular, es afuera. Ese es el video más popular de los que tengo y que todo el mundo se volvió, al igual que el que no hay plata. Y esto es muy interesante con el que no hay plata, los distintos políticos de distintos pelajes o están perdidos totalmente porque son socialistas de los más rancios, o son socialistas puros, keynesianos, dos tipos que ignoran la restricción de presupuestos.</t>
  </si>
  <si>
    <t>"Los distintos políticos de distintos pelajes o están perdidos totalmente porque son socialistas de los más rancios, o son socialistas puros, keynesianos" collapses the entire spectrum of political rivals — regardless of actual platform — into two flavors of the same collectivist error, a blanket dismissal that forecloses any legitimate non-libertarian fiscal position.</t>
  </si>
  <si>
    <t>Premio Juan De Mariana 2024</t>
  </si>
  <si>
    <t>Madrid, España (Real Casino)</t>
  </si>
  <si>
    <t>Entonces, lo que ustedes ven es un proceso de aceleración. Y ¿por qué pasa esto? Porque en realidad esas oportunidades del mercado en los países que están desarrollados ya fueron descubiertas. Entonces, ustedes lo que tienen que hacer es tener buenas instituciones, instituciones que defiendan la vida, la libertad y la propiedad, y el principio de no agresión, las ideas de la libertad. Y cuando ustedes hacen eso, van a crear un ambiente para que las empresas se puedan desarrollar, para que los emprendedores puedan descubrir y apropiarse desde su descubrimiento, y eso hace que ustedes puedan converger, y cuanto más libres sean, más rápido lo van a hacer. Y cuanto más los ayude la tecnología, más lo van a poder hacer. Por eso, mi última gira por Estados Unidos tuvo que ver con ir a ver a los empresarios más importantes del mundo tecnológico. Porque, ¿qué es la inteligencia artificial? No es ni más ni menos que una nueva suerte de Revolución Industrial, una situación donde se da un aumento de la productividad nunca visto. Y el único riesgo que tiene eso, todos habrán leído Hazlitt cuando dice el "odio a la máquina". Bueno, ustedes habrán visto a los políticos, pareciera que tuvieran el odio a la máquina, la falacia erudita. Y es interesante porque están basados en un montón de mitos, que son todas mentiras que la Escuela Austríaca sabe que son todas mentiras. Y con eso, lo que hacen es regular. Pero ¿qué es lo que pasa? Cuando ustedes regulan, esto en economía es el problema de las no convexidades son esos problemas que nos inventamos en la cabeza, los economistas, para determinadas propiedades normativas, llámese óptimo de Pareto en nuestro modelo de equilibrio general, y que en realidad no tienen nada que ver con la vida real.</t>
  </si>
  <si>
    <t>"Los políticos, pareciera que tuvieran el odio a la máquina, la falacia erudita... están basados en un montón de mitos... con eso, lo que hacen es regular" frames technology regulation as grounded in myths and fallacy rather than legitimate governance concerns — the general anti-regulation move that, applied later in the same passage to Europe's growth underperformance, is the recurring energy/tech-regulation delegitimization theme of this batch.</t>
  </si>
  <si>
    <t>Ahora les voy a contar una anécdota divertida de Elon Musk, esto les va a gustar...Estábamos en la primera reunión con Elon Musk y él me plantea el problema demográfico. Entonces nos ponemos a discutir el tema demográfico y a él le preocupa que la población está creciendo cada vez menos y que hay un problema con la tasa de natalidad. Entonces, se nos frena el motor de la innovación, y él propone revertir el lavado de cerebro que se hizo en la población con todo lo que fue el Club de Roma, cuyos archivos se desclasificaron los archivos de Nixon. Donde proponían una cuestión científica sobre los elevados del aborto, pero los que no saben es que es una agenda antigua.</t>
  </si>
  <si>
    <t>The Club of Rome's demographic/limits-to-growth research program — the direct intellectual ancestor of environmental sustainability concerns about population and resource constraints — is dismissed wholesale as "lavado de cerebro" (brainwashing) rather than engaged as a body of scientific work with genuine claims to evaluate, framing population-limiting research as ideological indoctrination rather than science.</t>
  </si>
  <si>
    <t>Pero, sin lugar a dudas, con la llegada de la pandemia, el COVID y las cuarentenas cavernícolas que se impulsaban desde la Organización Mundial de la Salud y a las cuales Argentina adhería fuertemente, hubo toda una reivindicación de las ideas de la libertad y pasaron muchas cosas interesantes. Porque muchos de mis seguidores eran personas jóvenes. Y esto es muy interesante porque esas personas jóvenes tenían tanta afinidad con lo que yo estaba haciendo. Eso es porque los jóvenes tienen menos tiempo de exposición al lavado de cerebro que es la educación pública, independientemente de que sea de gestión estatal o privada, porque los contenidos los suele fijar el Estado. Entonces, eso lo que hace es marcar la cancha y determinada literatura ustedes no pueden acceder porque el Estado trata de bloquearselos, es decir, a ningún estatista o digamos político le va a gustar que ustedes lean Rothbard, porque, imagínense, les están torpedeando la fuente de ingresos y en realidad, como ellos tienen el poder, el monopolio de la violencia, lo ejercen para que justamente no puedan acceder a esas ideas.</t>
  </si>
  <si>
    <t>Public (and even private, since "los contenidos los suele fijar el Estado") education is characterized wholesale as "lavado de cerebro" (brainwashing) that the state uses to block access to liberal ideas, a categorical delegitimization of the education system's epistemic function rather than a specific curricular critique.</t>
  </si>
  <si>
    <t>Premio De La Sociedad Hayek</t>
  </si>
  <si>
    <t>2024-06-22</t>
  </si>
  <si>
    <t>Alemania</t>
  </si>
  <si>
    <t>Por lo tanto, no solo hemos dado la batalla cultural, sino que ahora la estamos llevando a cabo en los hechos. El motivo por el cual los socialistas están tan violentos es porque está funcionando y se les está cayendo la mentira. Y finalmente, quiero dejar algunas reflexiones. Una es que defiendan las ideas con pasión y crean en las ideas porque funcionan. Nosotros no solo es que la política no nos acompañó en estos primeros meses de gestión porque no nos votó ninguna ley, no nos sacó ninguna ley, fue una máquina de impedir todo el tiempo. Es decir, no es que no solo no ayudaron, sino que además, desde el primer momento intentaron hacer un golpe de Estado. A pesar de todas las trabas, todos los intentos de desestabilización, todos los ataques que hemos recibido, estamos saliendo adelante, estamos siendo exitosos en controlar la inflación, está la actividad recuperándose. Es decir, las ideas son tan fuertes, que aún frente a toda la casta política, la peor práctica, la parte más decadente de la política argentina, que ha tratado de impedir y que ha llevado a distintos gobiernos a lo largo de la historia, les estamos ganando gracias a las ideas de la libertad.</t>
  </si>
  <si>
    <t>"Toda la casta política, la peor práctica, la parte más decadente de la política argentina" is invoked as the systematic obstructive force behind Argentina's institutional dysfunction across governments — the recurring casta frame applied here to legislative obstruction of the reform agenda.</t>
  </si>
  <si>
    <t>¿Por qué digo esto? Porque la batalla cultural la discusión de las ideas es muy importante, lo que uno hace en el ámbito académico es muy importante. Pero sin una acción política, no se llega a ningún lado. Porque si volvemos a la metáfora futbolística: ellos sí patean, ellos sí van contra el arco, ellos siguen anotando goles y no les importa. Entonces la única forma real de parar el avance del socialismo, del estatismo, del colectivismo, del constructivismo, la única forma es parárseles en frente y darles la batalla, no solo en lo cultural sino también en la arena política.</t>
  </si>
  <si>
    <t>"La única forma real de parar el avance del socialismo, del estatismo, del colectivismo, del constructivismo" bundles four distinct political/philosophical traditions into a single undifferentiated adversary requiring direct confrontation, extending the usual socialism/collectivism pairing with "constructivismo" (a Hayekian epistemological category) as an equivalent threat.</t>
  </si>
  <si>
    <t>Premio Del Instituto Liberal De La Republica Checa</t>
  </si>
  <si>
    <t>2024-06-24</t>
  </si>
  <si>
    <t>Praga, Rep. Checa</t>
  </si>
  <si>
    <t>No extraña que - tal cosa - venga por izquierda, esas ideas que nos empobrecieron como país; también vienen por izquierda quisieron negar y demonizar a Sarmiento, con todo lo que hizo para elevar el común de los argentinos. No extraña tampoco que quienes promueven estas ideas sean también los que - desde el gobierno nacional - impusieron el cierre de las escuelas, en el año 2020 e interrumpieron - irresponsablemente - el desarrollo educativo de millones de chicos. Lamentablemente, no se ha hablado mucho de alfabetización, en Argentina, en las últimas décadas, probablemente porque sea menos negocio que administrar una universidad.</t>
  </si>
  <si>
    <t>attributes both historical Sarmiento revisionism and the 2020 pandemic school closures to a single ideological source ("la izquierda"), linking economic impoverishment, historiographical attacks on a founding-father figure, and a specific recent policy decision under one adversarial frame.</t>
  </si>
  <si>
    <t>Presentacion Del Plan Nacional De Alfabetizacion</t>
  </si>
  <si>
    <t>2024-07-04</t>
  </si>
  <si>
    <t>San Juan (Casa Sarmiento)</t>
  </si>
  <si>
    <t>implies universities have a self-interested financial motive ("menos negocio") for neglecting primary-level literacy in favor of higher-education administration — a brief but pointed insinuation of institutional bad faith rather than a neutral resource-allocation observation.</t>
  </si>
  <si>
    <t>Hoy quiero hablarles de la receta económica y cultural del socialismo en América Latina, sobre que ellos están equivocados y nosotros tenemos razón. Y cómo se está librando la batalla por el destino de la Argentina desde que asumimos la presidencia. Si analizamos los distintos casos de gobiernos socialistas o de izquierda en América Latina, en los últimos 20 años, encontrarán seguramente una serie de denominadores comunes que aparecen en conjunto y que constituyen una verdadera receta del desastre, tanto en lo económico, en lo social, en lo político y en lo cultural, porque hay una relación de causalidad entre todos estos elementos y no es una mera coincidencia. En primer lugar, es notable que los socialistas comiencen con un periodo de bonanza económica en un contexto de cuentas públicas ordenadas y precios internacionales de commodities altos. En este primer momento la economía crece, la sociedad gana en poder adquisitivo, el Estado recauda y el Banco Central acumula reservas. Pero los gobiernos socialistas se enamoran de la popularidad generada por la bonanza que heredaron, se asustan que no vaya a ser eterna y aumentan indiscriminadamente el gasto público para sostenerla. ¿Cómo lo hacen? Subsidiando tarifas y servicios públicos, aumentando el empleo público, y repartiendo dádivas de distinto tipo, lo cual etiquetan como inclusión social. Cuando la plata se acaba, empiezan a aumentar los impuestos para recaudar más, pero el costo es contraer la actividad económica y destruir la inversión. A medida que avanza el tiempo, van consumiendo los stocks para solventar una bonanza ficticia que lo único que hace es hipotecar el futuro. El stock se va acabando hasta que, en un punto, deben recurrir al endeudamiento. Nunca resuelven el problema de fondo, que es el círculo vicioso de expansión del gasto público y el consecuente déficit fiscal; simplemente buscan distintas maneras de seguir financiándolo. Cuando ya no pueden recurrir a los impuestos o al endeudamiento, recurren al peor de todos los males, que es la emisión monetaria, destruyendo así el valor de sus monedas y condenando a toda la población a la pobreza. En el camino, ponen regulación sobre regulación ante cada problema que aparece con tal de no solucionar el problema de fondo. En cada uno de esos parches le inventan un negocio a algún amigo, generando una casta de empresarios prebendarios protegidos por el poder político que compiten artificialmente, pescando en una pecera. El costo de todo esto, tarde o temprano, lo paga la gente, la misma gente que los gobiernos socialistas dicen proteger, pero que realmente quieren esclavizar para conseguir una base de apoyo cautiva que les permita permanecer en el poder. Porque no podemos engañarnos, lo único que les interesa a los socialistas es el poder por el poder mismo. La consecuencia es que la gente termina pagando la inflación desenfrenada, lo que les regalan en subsidios, y terminan pagando en bienes más caros y de peor calidad la política de protección industrial y manufacturera que los gobiernos promueven para beneficiar a sus amigos. Esta película ya la vimos decenas de veces en toda la región y en el resto del mundo también. No es ni más ni menos que la historia del socialismo del siglo XXI, del que tanto hemos escuchado hablar los hermanos latinoamericanos y que defienden todos los populistas que integran el Grupo Puebla, y que antes se llamaba Foro de San Pablo.</t>
  </si>
  <si>
    <t>This paragraph builds a totalizing causal "recipe of disaster" model in which every 21st-century Latin American left/socialist government follows the identical script (spending, subsidies, regulation, crony capitalism, monetary emission), collapsing decades of heterogeneous policy experience across an entire region into a single deterministic ideological pathology.</t>
  </si>
  <si>
    <t>Cpac Brasil</t>
  </si>
  <si>
    <t>2024-07-07</t>
  </si>
  <si>
    <t>Camboriu, Brasil</t>
  </si>
  <si>
    <t>Por eso, cuando digo que la Argentina es un caso intermedio, lo es únicamente en términos relativos, porque es un punto de comparación es el horror humanitario que han sido otras dictaduras asesinas de la región, como Cuba, Nicaragua, Venezuela, de donde se escaparon 7 millones de personas en la última década para no compartir el hambre con los que se quedaron. Y ni hablar de las experiencias socialistas del siglo XX en Europa y Asia, que se cargaron con la vida de más de 100 millones de seres humanos. Por eso digo que, como el socialismo es una ideología que va directamente en contra de la naturaleza humana, necesariamente derivan en esclavitud o muerte. No hay otro destino posible para el socialismo.</t>
  </si>
  <si>
    <t>The "100 millones de seres humanos" body-count claim and the framing of socialism as an ideology "directamente en contra de la naturaleza humana" that "necesariamente" ends in "esclavitud o muerte" elevates the argument from policy critique to a civilizational/moral-historical verdict, positioning the speech's audience as defenders of human nature itself against an intrinsically destructive ideology.</t>
  </si>
  <si>
    <t>Pero obviamente, el descenso al socialismo no ocurre de la noche a la mañana, ni sale de un repollo. Nada de esto es posible sin un esfuerzo cultural constante por esmerilar a quienes defendemos el libre mercado, el capitalismo y los valores que hicieron de la civilización occidental la punta de lanza de la historia del progreso humano. Es un esfuerzo que lamentablemente muchas personas, de poder e influencia en el mundo libre, han dado por hecho. Solo fíjense en las ideas que defienden muchos organismos supranacionales, las ONG, las instituciones educativas, la industria del entretenimiento y los medios de comunicación. Uno se pregunta por qué lo hacen. En algunos casos, lo hacen desde un lugar bien intencionado, en el afán de ser buenos o solidarios. En muchos casos, también, porque son socios hipócritas y viven del financiamiento que el socialismo les permite. En la mayoría de los casos, no perciben que están jugando con fuego y están comprando un paquete cerrado que tiene como destino las trágicas consecuencias que nosotros ya conocemos. No se dan cuenta de lo destructivo que puede llegar a ser implementar las ideas del socialismo, porque lo sienten demasiado lejos. Pero hay que comprender que la combinación entre buenismo y dirigismo conduce al peor de los lugares. Los buenistas se piensan que de las buenas intenciones y la empatía se derivan los buenos resultados, y tienen el atrevimiento de pensar que dirigiendo el comportamiento de cada integrante de la sociedad se puede coordinar un comportamiento conjunto más eficiente. Hasta se jactan de que lo pueden hacer de manera óptima. Ven un problema y asumen que la solución es tirarle el estado encima, y a eso le llaman justicia. Pero Hayek nos enseñó que aquí radica la fatal arrogancia del ser humano, y cada vez que el estado interviene, tendrá un resultado peor al que no se hubiera intrometido. Tomemos, por ejemplo, la libertad de expresión, valor fundamental de la democracia, que sin embargo se encuentra cuestionado en las principales potencias del mundo, con la excusa de no herir las sensibilidades de nadie o respetar supuestos derechos de algunas minorías ruidosas que quieren imponer su visión minoritaria al resto de la población.</t>
  </si>
  <si>
    <t>Supranational organizations, NGOs, educational institutions, the entertainment industry, and media are bundled together as a single ideologically-captured bloc ("buenismo y dirigismo") complicit in advancing socialism, and free-speech restrictions are attributed to appeasing "minorías ruidosas" imposing a "visión minoritaria" — the characteristic move of collapsing disparate institutions and causes into one illegitimate progressive agenda.</t>
  </si>
  <si>
    <t>Cuantos más burócratas tiene un estado abocado a la tarea de mirar con lupa lo que hacen los ciudadanos y buscar maneras de arruinarles la vida, menos justa es esa sociedad. Incluso, cuanto más leyes tiene un país, menos justo es, sobre todo si se trata de leyes que ponen en cuestionamiento los pilares de nuestra sociedad y de nuestro derecho constitucional, que son la defensa de la vida, la libertad y la propiedad, o nuestra versión aquí: Dios, patria y familia.</t>
  </si>
  <si>
    <t>"Cuantas más regulaciones y restricciones tiene una sociedad, menos justa es... cuantos más burócratas... cuanto más leyes tiene un país, menos justo es" establishes a direct, generalized inverse relationship between the quantity of regulation/bureaucracy/law and the moral quality (justice) of a society — regulation is delegitimized not on efficiency grounds but as intrinsically unjust.</t>
  </si>
  <si>
    <t>Por eso, es falso que la izquierda sea la ideología de los pobres y los oprimidos. Cada día queda más claro en América Latina que la izquierda es la ideología de los ricos, los poderosos que controlan y tienen posiciones prominentes en la difusión cultural, todos entongados con el poder, obviamente. Y cada día queda más claro que la pobreza es un instrumento para quienes predican el socialismo, porque la praxis operativa del socialismo consiste en tener al pobre como cliente de su sistema. Porque el día que el pobre se independiza, progresa en la vida y sale de la pobreza, el socialismo pierde un cliente.</t>
  </si>
  <si>
    <t>Inverts the standard framing of the left as representing the poor, instead casting socialism as an elite-run "business" that manufactures and maintains poverty deliberately to preserve a captive political clientele — a distinct rhetorical move from the earlier "recipe of disaster" narrative, reframing socialism's relationship to poverty as intentional exploitation rather than policy failure.</t>
  </si>
  <si>
    <t>Pero todo esto no debe ser una sorpresa para nosotros, porque en el fondo ellos no solo prefieren que nosotros fracasemos, no solo les conviene electoralmente que fracasemos, sino que lo necesitan en un nivel vital. Porque si tenemos éxito, habremos desmantelado el sistema corrupto a través del cual le chupan la sangre a los 47 millones de argentinos y a todo lugar donde está vigente el socialismo. Por eso no pueden permitir que a la Argentina le vaya bien, porque ellos saben que si a la Argentina le va bien, a ellos les va mal. Por eso, el nivel de obstrucción que ellos presentan será proporcional a la profundidad del cambio que nosotros queremos realizar. Y ya venimos viendo lo que están preparados para hacer para evitar que salgamos adelante. Lo hemos visto en toda la región, lo hemos visto en Chile, lo hemos visto en Brasil, y lo estamos viendo en Argentina. Están dispuestos a tomar el camino de la violencia y la extorsión para obstruir los cambios que reclama la sociedad. Por eso nos hicieron el paro general más rápido de la historia, a pocas semanas después de haber asumido, como respuesta a nuestro plan de estabilización y nuestro proyecto de desregulación económica. Y por eso, hace algunos días, enviaron un pequeño ejército a sembrar el caos en las puertas del Congreso, incendiando autos y vandalizando la ciudad, en busca de extorsionar a los legisladores para que rechazaran nuestras reformas. Pero ¿saben qué? Lo hemos logrado: aprobar la reforma del Estado laboral y económica más importante de la historia Argentina. Hemos aprobado una reforma cinco veces más grande que la de Menem, que había sido la reforma más grande de la Argentina. Y si además le suman el decreto de necesidad y urgencia de cuando asumimos, hoy las reformas son ocho veces más grandes que la reforma más grande de la historia Argentina. Es decir, estamos llevando a cabo no solo la lucha contra la inflación, sino que estamos transformando de cuajo a la economía Argentina.</t>
  </si>
  <si>
    <t>"Le chupan la sangre a los 47 millones de argentinos" and the systematic boycott narrative (labor deregulation, investment promotion, the Congress riot) frame the political-union opposition as a parasitic class whose survival depends vitally on the government's failure, the recurring casta-as-extractive-class frame extended here to an explicitly self-interested sabotage motive.</t>
  </si>
  <si>
    <t>Además, la defensa de la propiedad no solo se trata de un Derecho, sino de la fórmula para el crecimiento económico. Julio Argentino Roca dijo alguna vez que el comercio sabe mejor que el gobierno lo que a él le conviene. La verdadera política consiste pues en dejarle la más amplia libertad. Esto es, los argentinos saben mejor qué hacer con lo suyo que el gobierno. No necesitan que un burócrata les diga qué producir, con quién comerciar, cuánto pueden ganar, con quién trabajar o a quién contratar. Y en la libre disposición de esa propiedad de parte de cada uno le termina yendo mejor a todos. Cuanto más libre es un pueblo, más rico se vuelve. Es tan simple como eso. Por eso, en consonancia con este mandato, desde el gobierno perseguiremos una agresiva agenda de desregulación en todos los órdenes de la actividad económica. Respetar la inviolabilidad de la propiedad privada es ratificarle a los argentinos que ellos son los dueños de sus propias vidas y de sus propios destinos. En definitiva, que son adultos y que en el ejercicio de su capacidad pueden y deben elegir por sí mismos y hacerse cargo la responsabilidad que eso conlleva.</t>
  </si>
  <si>
    <t>"Los argentinos saben mejor qué hacer con lo suyo que el gobierno. No necesitan que un burócrata les diga qué producir, con quién comerciar, cuánto pueden ganar, con quién trabajar o a quién contratar" is a categorical assertion of market/individual decision-making superiority over any state coordination, paired directly with a commitment to "una agresiva agenda de desregulación en todos los órdenes de la actividad económica."</t>
  </si>
  <si>
    <t>Firma Del Pacto De Mayo</t>
  </si>
  <si>
    <t>2024-07-09</t>
  </si>
  <si>
    <t>Tucuman</t>
  </si>
  <si>
    <t>Con lo cual, lo que estamos asumiendo no es otra cosa que un compromiso innegociable con el sentido común. No se puede gastar más de lo que entra y no se le puede imponer a quienes pagarán impuestos en el futuro solventar el despilfarro del presente. La deuda o la emisión para solventar cuentas públicas deficitarias tarde o temprano se termina pagando con impuesto inflacionario, que es el peor de todos, porque afecta más a los que menos tienen, además de tener para mí una carga moral. Estas son leyes básicas inalterables de la economía, es matemática inobjetable. Cuando obedecimos a estos principios como Nación nos fue tan bien en tan poco tiempo que pronto fuimos la envidia del mundo entero. Pero cuando, en un patrón vicioso de fatal arrogancia, la clase política creyó que podía inventar la rueda y desoír estas leyes básicas de la economía, nos hundió en la miseria por un siglo y terminamos en el abismo profundo en el que estamos hoy.</t>
  </si>
  <si>
    <t>"En un patrón vicioso de fatal arrogancia, la clase política creyó que podía inventar la rueda y desoír estas leyes básicas de la economía, nos hundió en la miseria por un siglo" attributes a century of Argentine economic decline directly to the political class's arrogance and self-interest in defying supposedly self-evident economic laws, framing the deficit itself as a political-class pathology rather than a policy outcome.</t>
  </si>
  <si>
    <t>Y lo más complicado de todo, porque el status quo en las instituciones de formación docente y profesorados es impugnar los preceptos básicos del sistema de cooperación social en el que vivimos, que es el capitalismo y la democracia liberal. Esto último es simplemente un suicidio colectivo. Cómo va a ser la norma de los secundarios y universidades del país inculcar que el capitalismo es malo. El fin primero del sistema educativo tiene que ser integrar a los estudiantes a la sociedad conforme a sus normas. Con el analfabetismo nos hicimos los despistados durante décadas y aquí estamos hoy en una situación incompatible con la tradición educativa de nuestro país, que fue el primero en terminar con el analfabetismo en el mundo. Con los demás problemas del sistema educativo no nos podemos hacer los despistados. Los tenemos que abordar antes de que sea demasiado tarde. Por eso les hablo hoy aquí de virar a una educación útil y moderna. Útil para los jóvenes, para que cuenten con las herramientas para insertarse y desarrollarse en el mercado laboral y en la sociedad en general. Y por eso insisto a la dirigencia política y a la sociedad civil a concentrarnos en reconstruir la base del edificio educativo y de la formación humana de los argentinos, que es la escuela. Porque no hay edificio que perdure si sus cimientos están vencidos.</t>
  </si>
  <si>
    <t>Teacher-training institutions and university faculties ("las instituciones de formación docente y profesorados") are accused of a "status quo" of teaching students to "impugnar los preceptos básicos" of capitalism, characterized as "un suicidio colectivo" — the education system's function is redefined as ideological compliance ("integrar a los estudiantes... conforme a sus normas") rather than open inquiry, delegitimizing the sector's current content as an existential threat rather than a pedagogical choice.</t>
  </si>
  <si>
    <t>Sexto: rediscusión de la coparticipación federal. También firmamos aquí el compromiso de rediscutir la coparticipación federal de impuestos, para terminar para siempre con el modelo extorsivo que padecen las provincias. Nuestro federalismo es fraudulento, castiga a quienes son fiscalmente responsables y productivos; y solo sirve para que desde Buenos Aires los políticos extorsionen a las provincias a cambio de favores políticos. Por un lado tenemos una coparticipación federal de impuestos que pervierte todos los incentivos a progresar. Bajo un supuesto principio solidario, les trae a las provincias que hacen los deberes con cuentas públicas ordenadas y economías productivas, para subsidiar a quienes viven de lo ajeno. Tenemos que incentivar a quienes apuestan por el desarrollo del sector privado en vez de castigarlo. Por el otro, se volvió una costumbre en las últimas décadas que desde Buenos Aires la política distribuya recursos discrecionalmente para beneficiar a sus aliados políticos. Nosotros cortamos de cuajo esta práctica, reduciendo estas transferencias a cero, pero necesitamos el compromiso de todos para que estas prácticas no vuelvan más.</t>
  </si>
  <si>
    <t>"Nuestro federalismo es fraudulento... solo sirve para que desde Buenos Aires los políticos extorsionen a las provincias a cambio de favores políticos" frames the entire federal revenue-sharing system as a mechanism of political extortion and clientelism rather than a policy design with tradeoffs, consistent with the casta frame of politics as an extractive racket.</t>
  </si>
  <si>
    <t>Séptimo: recursos naturales. El otro compromiso que firmamos hoy aquí, y para el cual vamos a necesitar la voluntad de las provincias, es el compromiso de explotar los recursos naturales que Dios nos ha dado. Dios bendijo a nuestra tierra con una riqueza enorme en recursos naturales. Nos dio la posibilidad de que en cada rincón de la patria los argentinos puedan crear riqueza y desarrollar sus vidas de manera digna. Pero los políticos han escuchado más la demanda de minorías ruidosas y organizaciones ambientalistas financiadas por millonarios extranjeros, que las necesidades de prosperar que tienen los argentinos. Nosotros venimos a cambiar eso, a dejar atrás la demagogia buenista que condena a la miseria a millones de argentinos para tener el beneplácito de unos pocos acomodados. La naturaleza debe servir al ser humano y a su bienestar; no a la inversa. Los problemas ambientales tienen que poner en el centro al individuo, por eso el principal problema ambiental que tenemos es la pobreza extrema. Y esto solo se soluciona si aprovechamos nuestros recursos. Llegamos al ridículo de compartir cordillera con Chile y no producir cobre, mientras ellos exportan más de 50,000 millones de dólares al año de este mineral; más del doble de lo que nosotros exportamos en soja. Llegamos también al ridículo de trabar la explotación de nuestros recursos marítimos, una de nuestras riquezas más abundantes, logrando únicamente que estos sean apropiados por potencias extranjeras. Tener el compromiso de explotar nuestros recursos naturales es tener un compromiso con la necesidad real de nuestro país, con terminar con la pobreza y con que haya oportunidades de crecimiento para todos los argentinos en cada rincón del país.</t>
  </si>
  <si>
    <t>This is the single most explicit environmental-obstruction passage identified in the corpus to date. Environmentalist organizations are named directly and delegitimized as foreign-funded ("financiadas por millonarios extranjeros") "minorías ruidosas" opposed to Argentine prosperity; the passage then makes the doctrinal claim that "la naturaleza debe servir al ser humano... no a la inversa" and reframes environmental policy itself, asserting that "el principal problema ambiental que tenemos es la pobreza extrema" — substituting poverty for ecological harm as the definition of "the" environmental problem, and using this substitution to justify unrestricted resource extraction (copper, offshore hydrocarbons/fishing) as the only legitimate environmental policy. This passage should be treated as a flagship illustrative quote for the paper's discussion of the sovereignty/anti-environmentalism narrative axis.</t>
  </si>
  <si>
    <t>Reforma laboral. Por supuesto que nada de todo esto será posible sin avanzar en una reforma laboral moderna, que promueva el trabajo formal. Sobre este tema no puede haber dudas, el régimen laboral que impera en la Argentina desde hace 50 años es obsoleto y dañino. Para el mundo laboral que tenemos hoy, no hay lugar para seguir aferrándose a este modelo, cuando el mundo cambió y sobre todo cuando la Argentina cambió, y en la dirección equivocada; arrastrada hasta el fondo del mar por el ancla que es el sistema laboral vigente. Es un régimen con normativas vetustas, que hace casi imposible contratar a alguien formalmente. Por eso dos de cada diez personas en edad de trabajar tienen un empleo formal y hace 10 años que esta cifra prácticamente no se mueve. En paralelo, lo único que sí creció en la Argentina en los últimos 10 años fue el empleo público, que en los gobiernos provinciales creció un 35% del 2011 hasta acá. Hace décadas que venimos retrocediendo y la dirigencia política y sindical ha querido tapar el sol con las manos. Ha preferido dejar que se hunda la economía y que el mercado laboral formal desaparezca antes que habilitar la conversación para modificarlo. Debe entenderse que la legislación laboral actual se pensó para un país que había eliminado la pobreza y no tenía desempleo. Este país no existe más. Somos un país pobre, con la mayoría de la población trabajando en condiciones precarias. Necesitamos generar trabajo. Trabajo formal de calidad. Y para eso es indispensable generar riqueza.</t>
  </si>
  <si>
    <t>"El régimen laboral que impera en la Argentina desde hace 50 años es obsoleto y dañino... normativas vetustas, que hace casi imposible contratar a alguien formalmente" frames labor protections as an "ancla" (anchor) dragging the country down, a regulation-as-obstacle framing applied specifically to labor law.</t>
  </si>
  <si>
    <t>La charla lleva por nombre 'Dinero, precios y tipo de cambio', pero también se podría llamar 'Emisión, inflación y devaluación'. La charla está separada en dos partes: hay una introducción teórica que creo que vale la pena hacer, a la luz de la paupérrima calidad del debate doméstico, donde me sorprende a diario las carencias y falencias de nuestros profesionales en economía. Lo cual hace que uno tenga que estar lidiando en algunos casos con la ignorancia y en otros casos y/o con egos exagerados que no pueden aceptar que se equivocan.</t>
  </si>
  <si>
    <t>Sets the frame for the entire lecture by declaring the domestic professional economics debate "paupérrima" and attributing its failures to "ignorancia" and "egos exagerados" among Argentine economists as a class, before any specific claim has been examined.</t>
  </si>
  <si>
    <t>172 Aniversario De La Bolsa De Comercio De Buenos Aires</t>
  </si>
  <si>
    <t>2024-07-10</t>
  </si>
  <si>
    <t>bolsa / camara de comercio</t>
  </si>
  <si>
    <t>Ahora, para evitar este problema, que este no es un problema nuevo y que pasaba antes de que se creara el dinero papel. Entonces, dijeron, bueno vamos a arreglar esto ¿y qué hicieron? Había instituciones donde ustedes depositaban el oro o la plata y a cambio le daban un papel, y entonces ustedes intercambiaban esos papeles y así hacían transacciones. Hasta ahí la historia es bastante linda, hasta que hubo algún par de revueltas que algunos se emitieron más papelitos que lo que le correspondía, en un proceso de mercado los hubieran hinchado y se acaba de problema, pero cuando apareció el linchamiento, apareció el Estado, alguna de las formas que haya tenido cuando apareció todo esto ¿y qué hizo?: se apropió de eso y entonces, en el fondo se apropió de la maquinita de imprimir billetes y como perdía valor, entonces, ¿qué hizo?, impuso el curso forzoso, y al momento que impusieron el curso forzoso, para que ustedes no pudieran sustituir monedas, los obligaban a demandar la moneda doméstica y, por lo tanto, le ampliaban la base del impuesto inflacionario para robarlos. Digamos, una historia bastante conocida en el caso argentino desde que se creó esa institución nefasta que está en Reconquista 266 llamado Banco Central de la República Argentina. Con lo cual, como verán, no ahora, pero lo sigo teniendo la mira.</t>
  </si>
  <si>
    <t>The Central Bank is described as an "institución nefasta" that "se apropió" of the money-printing machinery to "robar" citizens via the inflation tax — the same "institución nefasta" framing already applied to the BCRA in the April 25 Fundación Libertad speech, here recurring as a distinct instance in a new document within a genuinely new argumentative context (the historical origin-of-money lecture).</t>
  </si>
  <si>
    <t>Les voy a explicar por qué, ¿por qué es un bruto si pone el ingreso? Porque en un modelo de equilibrio general, si verdaderamente hacen equilibrio general como dicen que hacen, si hacen berretada keynesiana es otro problema. Digo, ahí ustedes pueden, lo llaman a Copperfield y que les escriba todas las funciones que quieran. No saben lo creativo que puedo ser para ponerle funciones si quieren o funciones de lo que se le dé la gana. Pero en un sistema de equilibrio general sus ingresos vienen determinados por el valor de sus dotaciones que ustedes venden en el mercado, ejemplo, el ocio que entregan en el mercado y a eso le tendrían que sumar qué cosa, la participación que ustedes tienen en los beneficios. Poner el ingreso en la función de demanda de dinero es una de las tantas brutalidades que hizo Keynes. Que Keynes no era economista, que solamente tomó un curso de economía con Marshall, el que era el campeón del equilibrio parcial. Entonces, ustedes cuando construyen una función de demanda de equilibrio parcial pueden poner el ingreso. Pero ustedes no pueden hacer eso en equilibrio general, porque el ingreso está determinado como parte del sistema. Por lo tanto, no pueden hacer eso, ¿y para qué lo hizo? Lo hizo para poder derivar el multiplicador y el multiplicador, no es ni más ni menos que la violación de la restricción de presupuesto. Por eso es divertido, o sea, cuando ustedes tienen un keynesiano que va a querer y hacer déficit fiscal. Si es magia. Claro, viola la restricción de presupuesto.</t>
  </si>
  <si>
    <t>"Keynes no era economista, que solamente tomó un curso de economía con Marshall" is a direct denial of Keynes's professional credentials as an economist, a sharper and more specific delegitimization move than the general "brutos"/ignorance framing used elsewhere in the speech, since it attacks the formal legitimacy of the field's most influential 20th-century figure rather than a particular claim of his.</t>
  </si>
  <si>
    <t>Entonces, cuando ustedes toman las funciones de equilibrio general solamente dependen de los precios. ¿Por qué?, porque contempla los bienes los precios presentes y los precios futuros. Dicho esto, digo no estoy aspirando a ser Roberto Carlos entre mis pares, pero bueno, tengo más de 15 millones de argentinos que me acompañaron. Dicho esto, entonces, ¿qué es lo que pasa? Esto también tiene que ver con la definición de inflación, sí, porque ustedes pueden usar la definición que más adoptaron los economistas después de la aparición de Keynes, que es la suba generalizada de precios. Bueno, si ustedes lo piensan en esos términos, no va a faltar el cavernícola que quiera arreglar el problema, ¿cómo?: controlando precios. Hay un pequeño detalle que viola el derecho de propiedad y que eso hace que, entonces la oferta se retire, y consecuentemente le genere la escasez. Pero a la gran mayoría de los economistas ustedes le preguntan qué es el mercado y empiezan a tratar de describirle un dibujito y no saben que atrás de ese dibujito hay derechos de propiedad, hay un montón de cosas. Pero, al margen de eso, entonces, cuando ustedes generan un exceso de oferta, ya sea o porque sube la oferta o porque cae la demanda, o pasan las dos cosas a la vez, lo que va a ocurrir es que el poder adquisitivo del dinero cae. Es decir, que todos los precios expresados en unidades monetarias suben. De hecho, salvo que ustedes estén haciendo desastres con la tasa de inflación y terminen pulverizando la demanda de dinero, ustedes lo que van a tener es que cuando suban la oferta de dinero, eso va a llevar a una pérdida de poder adquisitivo el dinero y todos los precios expresados en unidades monetarias van a subir. Por eso era sabia la carta orgánica original del Banco Central que decía 'es misión fundamental del Banco Central preservar el valor de la moneda'. No le salió, ¿no? Porque sacarle 13 ceros a la moneda, le podríamos sacar tres más, claramente no le salió. Lo bueno es que sepamos que nunca le va a salir bien.</t>
  </si>
  <si>
    <t>Price controls are dismissed as the solution of a "cavernícola" (caveman), a categorization move that frames the policy option itself as intellectually primitive rather than engaging with its stated redistributive rationale, before pivoting directly to a property-rights violation claim.</t>
  </si>
  <si>
    <t>Consecuentemente, el déficit cero en la manera más brutal de todas de asegurar la condición de solvencia intertemporal. Por eso es que el riego país pasó del 2900 y llegó a tocar en algún momento mil ciento y algo, hasta que el Congreso empezó a hacer de las suyas con los degenerados fiscales, queriendo gastar como locos y bueno, el mercado nos pasó la factura. Y como todavía tenemos control de capitales, ustedes compran dólares de manera indirecta, no de manera directa, al pegarle por las vías de la solvencia al precio de los bonos, 'uy, está subiendo el dólar'. Y sí, claro mientras que los degenerados fiscales quieran hacer de las de ellos y sí, lo van a ver en el precio de los bonos y, obviamente, lo van a ver en el dólar. Ahora, yo les voy a decir algo: si los degenerados fiscales quieren pasar leyes que vayan contra el equilibrio presupuestario, ¿saben qué? Las voy a vetar todas, no voy a entregar el resultado fiscal.</t>
  </si>
  <si>
    <t>"Los degenerados fiscales" — used twice for members of Congress seeking to increase spending — casts legislative deficit-spending as a moral/character pathology of the political class itself rather than a policy disagreement, paired with a preemptive commitment to veto any such legislation regardless of its content.</t>
  </si>
  <si>
    <t>Los economistas solemos hablar de error tipo uno o error tipo dos. El error tipo uno es cuando uno hace todo bien y le sale mal; y el error tipo dos es cuando uno hace todo mal y le sale bien. Eso es bastante Interesante como metodología, como forma de ser autocrítico, porque aun cuando puede salir bien puede ser una casualidad. Si quieren, el mejor canto al error tipo dos fue el kirchnerismo. Y la verdad es que cada vez que reinsisten en la receta, lo único que nos hacen es cada vez más daño y cada vez nos hunden más. Por eso también es interesante cuando uno está tratando de arreglar el desastre que causaron, que vengan y critiquen, porque la verdad, justamente queremos hacer todo lo contrario porque ustedes hundieron todo y tuvieron una racha de 4 años de suerte por el error tipo dos. Entonces uno no puede estar apostando al error tipo dos, es decir de hacer todo mal y que le salga bien. Por eso, repito, no podemos esperar resultados distintos haciendo lo mismo de siempre. Este principio creo que está en la base de la innovación política que nosotros hemos introducido en los últimos años. Descubrimos que es cierto para la práctica política, porque haciendo lo contrario o lo que hacían todos, llegamos a la presidencia, haciendo todo lo contrario. Hicimos todo lo contrario, todo lo que el manual recomendaba en el formato convencional argentino, hicimos todo lo contrario. Y qué decían, que no íbamos a llegar. Bueno, no la vieron. Todavía siguen sin verla, pero bueno, algunos. Y lo hicimos a pesar de no contar con los recursos con los que contaban todos los demás candidatos y en contra de los que recomendaban todos los analistas, consultores y dinosaurios que escriben columnas en periódicos vetustos, que nunca ganaron nada en su vida, pero creen que su palabra vale oro. Es decir, al margen, ustedes saben que el oráculo de Delfos daba consejos, pero no tomaba decisiones, que es un paso un poquitito distinto también. En la tribuna, son todos son todos grandes técnicos.</t>
  </si>
  <si>
    <t>Analysts, consultants, and newspaper columnists ("dinosaurios que escriben columnas en periódicos vetustos") are dismissed as never having "ganado nada en su vida" yet believing "su palabra vale oro," compared to the Oracle of Delphi that "daba consejos, pero no tomaba decisiones" — a categorical denial that punditry/commentary carries any legitimate authority absent electoral or decision-making accountability.</t>
  </si>
  <si>
    <t>Premio A La Investigacion Politica (Fundacion Ilan)</t>
  </si>
  <si>
    <t>2024-07-21</t>
  </si>
  <si>
    <t>Pero no solo adoptamos esa lógica innovadora para la campaña, sino que también confiamos en que era el enfoque correcto para la conducción del país, para encontrar las soluciones a los problemas que nos castigan como Nación desde hace demasiado tiempo. Porque en todo tiempo la dirigencia política cambió de cocinero, pero siguió siempre utilizando la misma receta del fracaso para gobernar; y así nos fue. Es decir, fue una diferencia de modales. Es decir, muchos del círculo rojo analógico precámbrico, que afortunadamente no los acompaña la audiencia, no los acompaña el rating. Motivo por lo cual están súper enojados y además que son los grandes pifiadores y que están todo el tiempo criticando, porque claro, pronosticaron que yo tenía que perder frente… aún frente a Massa, supuestamente, los de un determinado lado. Y no se daban cuenta que de lo único que estaban haciendo era hablar de la misma receta, pero con distintos modales. De hecho, promueven la misma receta, pero creen que el problema son los modales. Y eso también muestran de lo básico, rudimentario y precámbricos que son, porque no se dan cuenta que lo que cambió verdaderamente es el concepto. Es decir, Argentina se hunde porque hace 100 años que abrazó continuamente dosis crecientes de socialismo. Y acá, volvimos a abrazar las ideas de la libertad. Es más, hasta es, a veces entre irritante o cómico. Digo, gente que me critica "no estás haciendo liberalismo". Y si ni siquiera, entienden las ideas, porque si las entendieran serían liberales. Pero no lo son, porque justamente no las entienden. Entonces me critican, lo que hago o no hago; y ni siquiera entienden de lo que se está hablando. Y ahí también es interesante, durante la campaña el Dipy dijo una frase que para mí es brillante, y una de las cosas que decía es que el problema no era el cocinero, el problema era la receta. Porque en el fondo esa es la contracara de lo que Hayek llamaba la fatal arrogancia. Digo, creer que el otro, entonces, como es menos inteligente o menos educado, o lo que menos fuera, no lo podía hacer por esas cuestiones, pero ahora que viene el que se la sabe toda lo va a arreglar. No. Es que el problema es la idea y la idea esa no funciona.</t>
  </si>
  <si>
    <t>"Argentina se hunde porque hace 100 años que abrazó continuamente dosis crecientes de socialismo" attributes a century of Argentine decline to a single ideological cause (accumulating socialism), framing all prior governance across the political spectrum ("cambió de cocinero, pero siguió siempre utilizando la misma receta") as variations on the same socialist failure.</t>
  </si>
  <si>
    <t>Por eso nosotros sabemos que no alcanza con cambiar el conductor, porque para esperar resultados distintos tenemos que hacer cosas distintas, y por eso volvimos a abrazar las ideas de la libertad, que fue lo que hizo grande el mundo. Fue lo que hizo grande a la Argentina. Fue las ideas que abrazamos a partir de 1860, cuando pusimos en marcha la Constitución de Alberdi del 53 y en 35 años nos convertimos en la primera potencia mundial. Si lo hicimos en el siglo XIX con una situación mucho más adversa en términos tecnológicos y de velocidad del progreso, por qué no lo vamos a hacer ahora. Por eso también, digamos, gran parte de la apuesta es despertar leones, porque no vine a guiar corderos, vine a despertar leones, justamente. Es decir, vine a despertar la fuerza creativa de cada uno, nosotros es lo que vamos a hacer de un futuro un futuro mejor, pero no el Estado que es la máquina de oprimir.</t>
  </si>
  <si>
    <t>"El Estado que es la máquina de oprimir" is a brief but categorical characterization of the state's essential nature as an oppression machine, contrasted with individual "fuerza creativa," in a passage about who is responsible for delivering a better future.</t>
  </si>
  <si>
    <t>También es un hecho que el proceso de declive económico nacional comenzó cuando los políticos le dieron la espalda al sector agropecuario. En vez de pagar con justicia al campo por lo que había hecho por el país, la política lo castigó con impuestos, abusando de la riqueza que generaba para financiar sus aventuras dirigistas. Prometieron que esos impuestos eran para industrializar el país, que había que ayudar a los sectores industriales a competir con las manufacturas importadas. Prometieron que, con el tiempo, lograrían competir de forma genuina e igualitaria y que así habría más y mejor trabajo. Esto fue acompañado por un incesante proceso de difamación al sector agrario. Todos los aquí presentes nos criamos y crecimos escuchando en la televisión a dirigentes y formadores de opinión hablar pestes del agro, llamándolos desde oligarcas y cipayos, hasta todo lo que hay en el medio. Esto es, con cantos de sirena y promesas incumplibles, lo que logró que la sociedad avalara el castigo constante a la gallina de los huevos de oro de nuestra Argentina. Pero, después de 100 años, esa industrialización sustentable nunca terminó de ocurrir y se reveló como una verdadera quimera. En vez de convertirnos en el país industrial que nos prometían, se dilapidaron; toda la riqueza que habíamos acumulado y nos hundió en la miseria hasta tocar fondo el 10 de diciembre del año pasado, entregándonos un país donde siete de cada 10 menores de 14 años son pobres. En el camino, ahogaron al campo y a toda la Argentina. Todos aquí deben conocer a alguien que quebró producto de los abusos del Estado; los ataron de manos y los privaron de alcanzar su potencial. Nos dejaron sin campo y sin industria, y los únicos que terminaron ganando fueron los políticos y sus amigos prebendarios. En la base de este error trágico en nuestra historia nacional está la fatal arrogancia de la dirigencia. Por ignorancia, por negligencia o, inclusive, por mala intención, ellos desconocieron que había sido la misma libertad del sector agropecuario y de los demás sectores genuinamente pujantes de la economía aquello que había engendrado la prosperidad del país y del común de los argentinos. Esa es la triste historia de nuestro siglo de humillación, Argentina.</t>
  </si>
  <si>
    <t>"Los únicos que terminaron ganando fueron los políticos y sus amigos prebendarios... la fatal arrogancia de la dirigencia" attributes a century of agricultural taxation and industrial-policy failure to the self-interested arrogance of the political class, who profited from a system that impoverished the productive sector.</t>
  </si>
  <si>
    <t>Exposicion De Ganaderia, Agricultura E Industria Internacional</t>
  </si>
  <si>
    <t>2024-07-28</t>
  </si>
  <si>
    <t>Es hora de volver a empezar, de volver a definir qué es cierto y qué no, y de volver a comprometernos con algunas verdades elementales. Hace 100 años, la política nos decía que, para tener una economía pujante, el desarrollo industrial debía darse pisoteando al campo. Esa fue la excusa para ahogarlos en impuestos y se les puso cuanta traba fuera posible, porque entienden la economía como un juego de suma cero, donde para que uno gane, otro debe perder, lo cual es una burrada conceptual importante. Ya que, si la economía fuera un juego de suma cero, nunca habría crecimiento. Esta salvajada solo puede ser producto de la mente de un socialista o de un energúmeno, que es otra forma de llamar a los socialistas. O como también decía Hayek: "si los socialistas supieran de economía, no serían socialistas". A ver si entienden de una vez, no hay contradicción entre campo e industria, el sector ya demostró que la industrialización y la innovación tecnológica son una consecuencia natural de su desarrollo. De hecho, no por nada el periodo de mayor expansión e industrial de la historia argentina fue durante el modelo agroexportador y no como dicen algunos mentirosos como el modelo fracasado de sustitución de importaciones.</t>
  </si>
  <si>
    <t>Zero-sum economic thinking is declared to be exclusively "producto de la mente de un socialista o de un energúmeno, que es otra forma de llamar a los socialistas" — a specific economic policy error (import-substitution industrialization funded by agricultural taxation) is attributed entirely to socialist mentality rather than to any legitimate developmentalist reasoning of the era.</t>
  </si>
  <si>
    <t>Mientras tanto, acá en Argentina, algunos iluminados despotrican contra los avances tecnológicos del campo y quieren retornar a la agricultura precámbrica para sentirse bien consigo mismos, desde un piso con aire acondicionado en plena Recoleta. Hay mucho mito sobre el campo; ha habido mucha deshonestidad intelectual en la discusión pública, mucha mentira para defender intereses sectoriales. Una de ellas es que el agro no genera trabajo, cuando, actualmente, en nuestro país, la participación del sector agroindustrial en el empleo formal es de aproximadamente el 25%, incluyendo el procesamiento de sus materias primas, el comercio y los servicios derivados.</t>
  </si>
  <si>
    <t>Critics of agricultural technology (GM seeds, agrochemicals) are dismissed as "iluminados" performing ideological virtue ("para sentirse bien consigo mismos") from a position of urban privilege ("desde un piso con aire acondicionado en plena Recoleta"), delegitimizing the critique by attacking the critics' class position and motives rather than the substance of agro-environmental concerns.</t>
  </si>
  <si>
    <t>Tampoco es cierto que la producción agropecuaria sea nociva para el medio ambiente. Y les digo más: aún si lo fuera, es infinitamente más nociva la pobreza y el hambre. Aunque algunos actores que tienen una agenda ideológica evidente se oculten detrás de banderas bien pensantes, quiero decirles que esta administración siempre estará del lado del campo argentino y no se dejará amedrentar por consignas importadas que nada tienen que ver con nuestra identidad.</t>
  </si>
  <si>
    <t>"Tampoco es cierto que la producción agropecuaria sea nociva para el medio ambiente" is a direct factual denial of agriculture's environmental impact — the clearest environmental-harm-denial statement identified in the corpus so far, structurally similar to classic denialist rhetoric (deny the harm, then argue it wouldn't matter anyway).</t>
  </si>
  <si>
    <t>Stacked with the preceding code because it captures a genuinely distinct second move within the same passage: having denied environmental harm, Milei pivots to an "even if it were true" concession that poverty and hunger matter more, and attributes environmental concern itself to "una agenda ideológica evidente" behind "banderas bien pensantes" and "consignas importadas que nada tienen que ver con nuestra identidad" — reframing environmentalism as a foreign ideological import rather than a legitimate domestic policy concern, directly echoing the "minorías ruidosas y organizaciones ambientalistas financiadas por millonarios extranjeros" language from the Pacto de Mayo signed three weeks earlier.</t>
  </si>
  <si>
    <t>En el interín, hasta que podamos resolver las grandes cargas que el campo soporta, seguiremos avanzando sin pausa en nuestra agenda de desregulación y apertura comercial. Eliminamos los controles discrecionales a las importaciones; se terminó la era en la que un burócrata elegía a dedo quién importaba qué y cuándo. Eliminamos normas distorsivas del comercio exterior, como la ley de góndolas y la ley de abastecimiento. Eliminamos la resolución que prohibía la exportación de siete cortes de carne. Bajamos los aranceles a los herbicidas y eliminamos aranceles claves para abaratar el costo de los fertilizantes, lo cual redujo el precio de esos insumos. Por ejemplo, el precio de la urea se redujo de 830 dólares, el 15 de febrero, a 588 dólares en la actualidad. Estamos abriendo mercados internacionales para nuestros productos agropecuarios y derivados; logramos que China reduzca aranceles a 143 productos agroindustriales argentinos y ampliamos la oferta de vacunas contra la fiebre aftosa para que 200.000 productores ganaderos ya no dependan de un solo laboratorio y puedan acceder a vacunas más baratas. Pero, además de estas cuestiones, en el corto plazo avanzamos con algunas medidas adicionales para el sector, como eliminar las DEX a las vacas de categorías A, B, C, D y E. Vamos a avanzar en la eliminación del 25% de las DEX a la proteína animal, que afecta de manera transversal al sector. Vamos a desburocratizar el comercio de granos, eliminando la necesidad de inscribirse en la RUCA. Vamos a extender de forma indefinida la eliminación de las DEX al sector lácteo. Además, planeamos avanzar en un régimen de amortización acelerada para los bienes de capital del sector agro. Vamos a modificar el manejo contable del ganado, de modo tal que se pague ganancia sobre la venta y no sobre el engorde. Vamos a implementar un régimen de riego para zonas marginales. También avanzaremos en un régimen de amortización acelerada de los toros con valor genético, para incentivar la innovación y la inversión. Y, sobre todo, estamos cumpliendo el objetivo más importante de todos: terminar con la inflación y sanear el balance del Banco Central, para así acabar de una vez por todas con la inflación, el cepo y la imprevisibilidad cambiaria.</t>
  </si>
  <si>
    <t>"Se terminó la era en la que un burócrata elegía a dedo quién importaba qué y cuándo" delegitimizes agricultural/trade import controls as arbitrary bureaucratic discretion rather than a policy tool with tradeoffs, opening an extensive list of specific agricultural deregulation measures (export tax and tariff cuts, elimination of registration requirements).</t>
  </si>
  <si>
    <t>El caso GasAndes es un ejemplo de tantos y hoy todos los argentinos sufren las consecuencias de esas decisiones. No es casualidad que seamos uno de los países de la región que menos inversión extranjera directa recibió en la última década. Ahora tenemos el desafío de reconstruir la reputación política, jurídica, productiva y comercial de un país que ha sido castigado por políticos inescrupulosos y brutos durante demasiado tiempo. Por eso, estamos redoblando esfuerzos para ganarnos la confianza del mundo una vez más; y estoy seguro de que nuestra obsesión por sacarle la bota del cuello al sector privado, por promover la inversión, por honrar los contratos celebrados y por desatar el potencial argentino nos devolverá la credibilidad que tanto necesitamos y con ella la ansiada prosperidad.</t>
  </si>
  <si>
    <t>"Políticos inescrupulosos y brutos" who imposed "la bota del cuello al sector privado" attributes the collapse of a binational energy relationship (contract breaches, lost investment, reputational damage) to the character of the political class and to the state's suffocating presence over private enterprise, rather than to any specific policy tradeoff in energy management.</t>
  </si>
  <si>
    <t>Acto Por 1Er Trillon De Pies³ De Gas – Gasoducto Gas Andes</t>
  </si>
  <si>
    <t>2024-08-08</t>
  </si>
  <si>
    <t>Santiago De Chile</t>
  </si>
  <si>
    <t>Por eso yo - a veces - no sé si los economistas, después de tantos años de vivir en una economía dirigista, se les empastó el cerebro o son directamente burros; y obviamente que al quedar la cantidad de dinero fija, al quedar justamente la escala nominal fija, ¿qué es lo que empezó a pasar? Empezó a caer el tipo de cambio; y la convergencia, entre los tipos de cambio paralelos y el oficial, se está dando desde arriba hacia abajo y no como históricamente, fue en Argentina, desde abajo hacia arriba. Es decir, nosotros no estamos dispuestos a devaluar para arruinar a los argentinos, pues vamos a trabajar en cambiarles los niveles de productividad para que no se tengan que empobrecer los argentinos por culpa de los desaguisados de los economistas de mala calidad y por gobiernos de pésima y peor calaña.</t>
  </si>
  <si>
    <t>"No sé si los economistas, después de tantos años de vivir en una economía dirigista, se les empastó el cerebro o son directamente burros" attributes professional economists' disagreement with the government's monetary framework to either brain damage from statist habituation or outright stupidity, foreclosing the possibility of a legitimate technical disagreement about whether the policy constitutes "intervention."</t>
  </si>
  <si>
    <t>21A Conferencia Anual Del Council Of The Americas</t>
  </si>
  <si>
    <t>2024-08-14</t>
  </si>
  <si>
    <t>Buenos Aires (Alvear)</t>
  </si>
  <si>
    <t>Pero esto implica luchar, entre otras cosas, contra los intereses particulares de la casta empresarial, los intereses de la casta sindical y, en especial, contra los intereses de la casta política, que es la que protege esos intereses sectoriales, algo que el ministro Sturzenegger llama, ingeniosamente, el Triángulo de las Bermudas, porque en el vértice, entre esos elementos, el país entero desaparece. Todo esto que estamos haciendo ya está rindiendo resultados. Tan sólo - en el mes de julio - subieron los índices de patentamientos en un 19%; la producción de autos un 48%; las ventas minoristas un 40%; la construcción un 12% y la actividad en el mercado inmobiliario un 36%. Cuando empiezan a mirar el mapa de actividad o el semáforo, si ustedes quieren, cada vez avanza más el color verde y – técnicamente - la recesión tocó o tuvo su peor momento, entre los meses de abril y mayo. Vayamos a las declaraciones que hacíamos por ese tiempo, que decíamos: "lo peor ya pasó" y, naturalmente, los econochantas decían: "lo peor está por venir", que son los mismos que nos presagiaron que la inflación - por ejemplo - no iba a poder romper un piso de 7, y ahora estamos viendo si va por debajo de 4, en minoristas, pero así estamos.</t>
  </si>
  <si>
    <t>The "Triángulo de las Bermudas" formulation extends the casta frame to a three-way alliance of "casta empresarial," "casta sindical," and "casta política" that "protege esos intereses sectoriales" — a more elaborated and structurally specific version of the casta concept than the usual single-target political-class framing, attributed here directly to minister Sturzenegger's coinage.</t>
  </si>
  <si>
    <t>Miren esto que interesante, porque hoy tenemos déficit cero, pero en un contexto que viene de una recesión; o sea, eso - en términos de resultado estructural - es positivo; quiere decir que cuando rebote la economía, vamos a devolver impuestos; y cuando además la economía empieza a crecer, vamos a devolver más impuestos. Es decir, me voy a encargar – personalmente - de quitarle la bota del cuello a todo el sector privado para que podamos volver a crecer genuinamente, porque la riqueza la crea el sector privado y no los parásitos del sector público.</t>
  </si>
  <si>
    <t>"La riqueza la crea el sector privado y no los parásitos del sector público" characterizes public-sector employment and activity in parasitic terms, a categorical value judgment about the state's economic role rather than a claim about relative productivity or efficiency.</t>
  </si>
  <si>
    <t>A su vez, mientras otros están cada vez más cerca de caer en guerras culturales y religiosas, que van a terminar por expulsar a gente de bien de sus países de origen, nosotros invitamos al resto del mundo libre a participar de un país en reconstrucción. Mientras otros castigan a quienes emprenden y producen, nosotros los celebramos, los invitamos de nuevo al sistema. Mientras otros sacrifican la innovación, la creatividad y la libertad misma en el altar de una falsa moralina, nosotros desregulamos la economía y le devolvemos la autonomía al sector privado. Los argentinos ya nos dimos cuenta de que toda la perorata buenista es una estafa al servicio de la opresión, ya nos dimos cuenta de que siempre los que se hacen los paladines de la moral y los defensores de los desahuciados terminan siendo los autores de las peores atrocidades… y vaya que el sistema está crujiendo.</t>
  </si>
  <si>
    <t>Censorship in England under a "socialist" government, cultural/religious wars, punishment of entrepreneurs, and "una falsa moralina" that sacrifices "la innovación, la creatividad y la libertad misma" are bundled together as a single global pattern ("toda la perorata buenista es una estafa al servicio de la opresión") contrasted point-by-point against Argentina's approach — the anaphoric "mientras otros... nosotros..." structure is a clear instance of collapsing disparate progressive-coded phenomena into one illegitimate package.</t>
  </si>
  <si>
    <t>Las provincias también se comprometieron a ayudar a bajar el gasto público, de 40 a 25 puntos del PBI. Quiero ser claro: sólo con el ajuste nacional no alcanza. El 44% del gasto del Estado de nuestro país corresponde a las provincias y los municipios. Por cada empleado del Estado nacional hay 3 empleados por provinciales, de modo que si queremos cumplir esa meta es fundamental el aporte de las provincias. Lo mismo con el RIGI, desde que lo sancionamos se acumulan anuncios tras anuncios de inversión, a lo largo y a lo ancho del país. La sociedad tiene que saber que las grandes inversiones no van a llegar a las provincias que no adhieran al régimen y los políticos negadores de la realidad tendrán que elegir entre quitarse sus anteojeras ideológicas y acompañar el cambio o condenar a sus propios ciudadanos, privándolos de mayor actividad, más trabajo y más riqueza en sus distritos.</t>
  </si>
  <si>
    <t>Provincial politicians who decline to adhere to the RIGI investment regime are cast as "negadores de la realidad" wearing "anteojeras ideológicas" who "condenan a sus propios ciudadanos" — reframing a federalism/policy-design disagreement about investment incentives as willful, self-interested harm to constituents rather than a legitimate provincial policy choice.</t>
  </si>
  <si>
    <t>A esta pintura se le agregan algunos elementos adicionales: la economía argentina no crecía genuinamente desde el 2011, es decir, tenía fluctuaciones frente a un mismo nivel, que el nivel tope se había alcanzado en el año 2011 y nunca más se logró superar. Eso implica que, al momento de llegar al poder, estábamos con un PBI per cápita entre 13 y 15% por debajo del nivel que se había observado en el año 2011. No solo eso, el empleo formal estaba clavado en 6 millones de personas, en 6 millones de puestos de trabajo, y ese número no se había movido. Lo único que había aumentado significativamente era el empleo informal. Es decir, aquellos que tanto se jactan de cuidar y proteger a los trabajadores generaron un empleo informal más grande que el que había en el sector formal, había ocho millones de personas en el informal respecto al sector formal. Qué linda forma de cuidar a los trabajadores tiene el movimiento nacional de los trabajadores.</t>
  </si>
  <si>
    <t>"Qué linda forma de cuidar a los trabajadores tiene el movimiento nacional de los trabajadores" is an ironic jab charging the labor/Peronist movement with having produced more informal (unprotected) than formal employment despite its self-presentation as the workers' defender — indicting the movement's collectivist self-image as fraudulent on its own terms.</t>
  </si>
  <si>
    <t>Congreso De Inversiones Inmobiliarias</t>
  </si>
  <si>
    <t>2024-08-15</t>
  </si>
  <si>
    <t>O como quiera hacernos creer el soviético, que en realidad es una ficción y sólo una cuestión de cuentitas. El problema es que él no la sabe hacer ni siquiera con un ábaco, porque no sabe sumar ni con un ábaco.</t>
  </si>
  <si>
    <t>"El soviético" — a dismissive nickname for a specific rival politician (widely understood to refer to Buenos Aires governor Axel Kicillof) — combined with "no la sabe hacer ni siquiera con un ábaco" delegitimizes a specific opposition figure's competence via mockery rather than engaging his substantive critique of the fiscal figures.</t>
  </si>
  <si>
    <t>Yo recuerdo que, durante la campaña, yo hacía campaña con una motosierra, es más, hay un video mío, que es el video más popular en el planeta y que hoy por hoy lo usan muchísimos liberales de todo el mundo en campaña, que es el famoso "afuera". Ese famoso "afuera" surgió, estaba en el programa de Joni Viale explicando cómo iba a ser el ajuste. Y una de las cosas que me había propuesto Joni era que pusiera la estructura del Estado y, en vivo, yo fuera tachando cada uno de los ministerios que íbamos a eliminar. Y, dicho sea de paso, lo digo acá, estoy orgulloso de que, dentro de las cosas que eliminamos, eliminamos el siniestro ministerio de la Mujer y el siniestro INADI, que se utilizaban para perseguir ideológicamente.</t>
  </si>
  <si>
    <t>The Ministry of Women and INADI (the national anti-discrimination institute) are labeled "siniestro" and characterized wholesale as instruments of ideological persecution rather than as institutions with a specific, debatable policy mandate — collapsing gender-equality and anti-discrimination policy into a single illegitimate "persecution" apparatus that was abolished.</t>
  </si>
  <si>
    <t>Por lo tanto, ahora la nueva pregunta es: ¿cuándo salen del cepo? Es decir, son tan imbéciles que no entienden que están frente a un gobierno liberal. Eso de estar determinando las fechas es bien de colectivista autoritario dirigista. Es decir, si yo estoy tomando todo un esquema de política económica en el cual le devuelvo la libertad a los agentes, dependo de cumplir metas en función de que los agentes las quieran lograr.</t>
  </si>
  <si>
    <t>Demanding a fixed date for lifting capital controls is itself characterized as "bien de colectivista autoritario dirigista" — reframing a normal policy-transparency request (a timeline) as evidence of the questioner's illegitimate collectivist mindset, rather than addressing the substantive uncertainty the question raises.</t>
  </si>
  <si>
    <t>Pero eso no es suficiente, eso no es crecimiento económico genuino, eso es rebote. Entonces, la pregunta es: cómo se crece, y también ahí los economistas erran de nuevo, lo cual no me llama la atención que en términos de crecimiento le erren, porque la gran mayoría son keynesianos, por ende, son brutos, por ende, no saben de inter temporalidad. Y en realidad lo que hace crecer a una economía es la inversión, pero la inversión ustedes la tienen que financiar y se financia con ahorro. Bueno, el hecho de que se haya corrido el Estado del medio y que hayamos achicado el déficit fiscal en 15 puntos del PBI, son 15 puntos de ahorro que vuelven al sector privado para que invierta, para que acumule capital, para que sea más productivo, que la producción argentina suba y que los salarios reales también lo hagan, y así caigan los pobres y los indigentes. Esa es una fuente de crecimiento.</t>
  </si>
  <si>
    <t>"Los economistas erran de nuevo... porque la gran mayoría son keynesianos, por ende, son brutos, por ende, no saben de inter temporalidad" builds an explicit syllogism equating a specific theoretical school (Keynesianism) with intellectual deficiency ("brutos"), rather than treating it as a contestable paradigm with its own internal logic.</t>
  </si>
  <si>
    <t>Sin embargo, es importante no perder de vista que las condiciones en las que heredamos la administración nacional nos imponen límites materiales para todos nuestros deseos. No es cuestión de soplar y hacer botellas. Durante mucho tiempo el país fue gobernado por gente que en su ambición de poder desconocía cualquier tipo de restricción presupuestaria. Esa voracidad criminal nos hizo dilapidar nuestros recursos, llegando al punto de haber emitido por 13 puntos del PBI el año pasado para financiar la aventura electoral de uno de los máximos exponentes de la casta.</t>
  </si>
  <si>
    <t>"La aventura electoral de uno de los máximos exponentes de la casta" attributes the prior year's monetary emission (13 points of GDP) directly to a named category of political actor ("máximo exponente de la casta") financing his own electoral campaign, framing the fiscal/monetary crisis as a personal act of casta self-enrichment rather than a policy failure.</t>
  </si>
  <si>
    <t>Cena De Camaraderia De Las Fuerzas Armadas</t>
  </si>
  <si>
    <t>2024-08-16</t>
  </si>
  <si>
    <t>Por lo tanto, la primera cuestión es una cuestión cuantitativa en cuanto a lo que tiene que ver cómo están verdaderamente los jubilados hoy. Otra cosa que también me resulta interesante, que es la contradicción de la política. Por eso digo lo del archivo: ustedes pueden ir, ver mi charla en el IAEF, cuando los irresponsables de la Cámara de Diputados habían enviado esto y yo decía si esto sale, lo voy a vetar. Los irresponsables de la Cámara de Senadores, de manera populista, demagógica, mentirosa y empobrecedora, sobre todas las cosas empobrecedoras y exterminadores de jóvenes. O sea, porque medidas como la de ayer exterminan a los jóvenes, dije que lo iba a vetar y efectivamente lo veté. Es decir, hago lo que digo siempre Mi palabra no se negocia y no les voy a dejar pasar ni un milímetro a los degenerados fiscales que quieren arruinar este país por tener beneficios para la casta política.</t>
  </si>
  <si>
    <t>"Los degenerados fiscales que quieren arruinar este país por tener beneficios para la casta política" attributes the vetoed pension-increase law entirely to casta self-interest rather than to any legitimate concern about retiree purchasing power, which the law's proponents explicitly framed as its rationale.</t>
  </si>
  <si>
    <t>140 Aniversario De La Bolsa De Comercio De Rosario</t>
  </si>
  <si>
    <t>2024-08-23</t>
  </si>
  <si>
    <t>Entonces, por ejemplo, alegremente a los políticos le gusta usar la maquinita de imprimir billetes, es decir la emisión monetaria. Total, gastan irresponsablemente, imprimen billetes, se genera inflación, que no es ni más ni menos que un impuesto, que además tiene la característica de ser profundamente regresivo. Es decir, los campeones del buenísimo, los que tanto quieren a los pobres lo único que hacen es multiplicarlos.</t>
  </si>
  <si>
    <t>"Los campeones del buenísimo, los que tanto quieren a los pobres lo único que hacen es multiplicarlos" is an ironic inversion charging self-described progressive/pro-poor politicians with causing the poverty they claim to fight, via the inflationary financing of spending they present as compassionate.</t>
  </si>
  <si>
    <t>Una de las cosas que hacía el kirchnerismo y que lo hacía brutalmente, que mentía la inflación, ¿por qué lo hacía? Porque entonces subestimaba los ingresos y todo lo que venía por arriba era el famoso 'látigo y billetera'. Entonces hacía que todas las provincias tuvieran que ir a besar el anillo a la Casa Rosada. Yo no quiero eso, yo quiero federalismo en serio. Yo quiero que toda Argentina sea libre y que no dependa de un déspota, que pone números caprichosos para arrodillar a las provincias.</t>
  </si>
  <si>
    <t>"El famoso 'látigo y billetera'... todas las provincias tuvieran que ir a besar el anillo a la Casa Rosada... un déspota, que pone números caprichosos para arrodillar a las provincias" frames the prior federal budget/transfer system as a deliberate mechanism of political subjugation rather than a fiscal-federalism design with tradeoffs, extending the casta frame to intergovernmental fiscal relations.</t>
  </si>
  <si>
    <t>Dicho esto, una de las cosas bajo la cual, cómo sería el equilibrio de cero intervención? porque salieron a decir que nosotros estábamos interviniendo el mercado de cambios. Es decir, los economistas con tal de justificar sus errores son capaces de decir cualquier cosa. Entonces, ¿cómo sería un mercado libre de intervención? yo dejaría constante la cantidad de dinero, el tipo de cambio fluctuaría y la variación de reservas sería cero. Entonces, nosotros, ¿qué es lo que pasa? como todavía tenemos el problema de stocks. Ah, les paso un tema. ¿Alguien tiene idea de cuántas regulaciones metió el gobierno anterior en el mercado de cambios? digo porque hablan de la salida del cepo y nosotros estamos diciendo todo el tiempo, estamos más cerca, estamos más cerca, estamos más cerca y dicen: no hicieron nada. ¿Saben cuántas regulaciones se metieron en los últimos dos años el kirchnerismo? a ver, escucho, escucho propuestas de números. 500 sería una aberración, no, sí o no. ¿Quién fue? 500. Sería una aberración. A ver más arriba. 2100, más arriba vamos. Sigan, 5000, 5000 sería un disparate, no. 12,000 sería, sería un disparate también, no. Hay gente bien, poniéndole onda. Estamos claros que si fueran 20,000 sería un disparate total, no. Bien. Exacto, me gusta que hablemos en latín, un tremendo quilombo. Bueno, agárrense bien ahí fuerte de las sillas, 80,000.</t>
  </si>
  <si>
    <t>The audience-participation guessing game escalating to "80,000" regulations imposed by the prior government on the foreign exchange market is a distinctive rhetorical device dramatizing regulatory volume itself as absurd, independent of any assessment of what individual regulations did or why.</t>
  </si>
  <si>
    <t>El primer mito es aquel que dice que existe una incompatibilidad entre el campo y la industria, que uno debe crecer a expensas del otro. Esa falsa dicotomía entre el campo y la industria es una antigualla que en la práctica ha llevado a que la política decidiera que para que el país se desarrollara se tenía que producir todo acá y empezó a arbitrar, con mano férrea, la relación entre los distintos sectores de la economía, robándole a uno para darles a otros en nombre de la justicia social.</t>
  </si>
  <si>
    <t>The import-substitution model is reframed not as an economic policy with tradeoffs but as arbitrary state "arbitration" ("con mano férrea") that expropriates one sector to benefit another under the banner of "justicia social," which is presented in scare-quote fashion as a pretext rather than a legitimate goal.</t>
  </si>
  <si>
    <t>Dia De La Industria – Union Industrial Argentina</t>
  </si>
  <si>
    <t>2024-09-02</t>
  </si>
  <si>
    <t>Buenos Aires (Uia)</t>
  </si>
  <si>
    <t>La verdad es que el campo y la industria no son enemigos, son socios. El campo genera las divisas que el país necesita para poder importar los bienes de capital, la maquinaria y la tecnología que la industria necesita para poder crecer. Sin el campo generando esas divisas, la industria no tiene con qué comprar sus insumos importados. Y a la inversa, la industria le vende al campo maquinaria agrícola, agroquímicos, servicios, es decir, todo un entramado de proveedores que dependen directamente de que al campo le vaya bien. Entonces, a ningún sector le puede ir bien si al conjunto de la sociedad le va mal; salvo quizás a la casta política, que se las arregla para vivir bien mientras el resto del país se hunde en la pobreza.</t>
  </si>
  <si>
    <t>"A ningún sector le puede ir bien si al conjunto de la sociedad le va mal; salvo quizás a la casta política, que se las arregla para vivir bien mientras el resto del país se hunde en la pobreza" isolates the political class as the one group insulated from —and benefiting from— broader economic dysfunction.</t>
  </si>
  <si>
    <t>El segundo mito, que es quizás el más dañino de todos, es aquel que sostiene que la libertad económica es perniciosa para el desarrollo industrial, que solo con un Estado fuerte, regulador, planificador, se puede construir una industria nacional sólida. Y esto es sencillamente falso. Lo único que es pernicioso para el desarrollo industrial es tener un Estado elefantiásico que le succiona los recursos al sector privado, que lo asfixia con regulaciones y que termina siendo el principal obstáculo para que la industria pueda competir en igualdad de condiciones con el resto del mundo.</t>
  </si>
  <si>
    <t>Frames the "Estado elefantiásico" itself as the sole cause of industrial underdevelopment, positioning any regulatory/planning role for the state as inherently obstructive rather than a design choice with tradeoffs — the mirror image of the myth being debunked.</t>
  </si>
  <si>
    <t>La segunda cabeza es el costo laboral. Nuestras leyes laborales, muchas de ellas escritas hace más de 70 años, imponen regulaciones vetustas que supuestamente pretenden proteger a los trabajadores, pero lo único que hacen es destruir el trabajo. En la práctica, las leyes laborales en Argentina son para el trabajador lo mismo que fue la fracasada Ley de Alquileres para el inquilino: una norma bienintencionada que termina perjudicando exactamente a quien dice proteger, porque encarece tanto el empleo que termina destruyendo los puestos de trabajo que se supone debía resguardar.</t>
  </si>
  <si>
    <t>Labor protections are analogized to the rent-control law, framed as regulations that produce the opposite of their stated protective intent — a specific, concrete instance distinct from the general import-substitution critique above.</t>
  </si>
  <si>
    <t>La quinta cabeza, que es una de las más perniciosas, es el costo de los amigos del poder. Durante décadas, la política le regaló privilegios, subsidios y protecciones a sectores amigos del poder de turno, mientras el resto de la industria tenía que competir sin esos beneficios. Ahí tienen el ejemplo de lo que le costó al país durante años el curro de SADAIC o las trabas para que entrara a competir una empresa como Starlink.</t>
  </si>
  <si>
    <t>"Amigos del poder" cronyism (SADAIC, Starlink barriers) is framed as a specific mechanism of casta self-dealing distinct from the fiscal-federalism and electoral-financing casta instances coded in other speeches — here applied to regulatory/market-access privilege.</t>
  </si>
  <si>
    <t>Ahora, algunos de los que defendían el modelo de sustitución de importaciones nunca se dieron cuenta de que el 80% de las importaciones argentinas son insumos productivos, es decir, son justamente lo que la industria necesita para poder producir. Entonces, cuando ustedes ponen trabas a las importaciones para supuestamente proteger a la industria nacional, en realidad le están poniendo trabas a la industria nacional misma, porque le están encareciendo o directamente impidiendo el acceso a sus propios insumos. Los genios de la sustitución de importaciones nunca hicieron ese cálculo tan elemental.</t>
  </si>
  <si>
    <t>"Los genios de la sustitución de importaciones" is an ironic label charging the architects of import-substitution industrialization policy with basic analytical incompetence (failing "ese cálculo tan elemental"), delegitimizing the policy's technocratic authors rather than just the policy's outcomes.</t>
  </si>
  <si>
    <t>Y quiero decirles algo más. 100 años de colectivismo nos enseñaron algo, y es que los argentinos tenemos la extraordinaria capacidad de sacar agua de las piedras. A pesar de cada uno de estos obstáculos, ustedes, los industriales argentinos, lograron sobrevivir y muchas veces prosperar. Imagínense lo que podemos lograr cuando finalmente les saquemos de encima todo este peso muerto.</t>
  </si>
  <si>
    <t>"100 años de colectivismo" retroactively labels the entire twentieth-century Argentine economic-policy tradition (import substitution, labor law, state intervention) as "collectivism," folding the industrial-cost critique into the broader anti-collectivist frame rather than treating it as ordinary industrial policy debate.</t>
  </si>
  <si>
    <t>Porque además, quiero que quede claro: el Estado no genera ni riqueza ni trabajo. La riqueza la generan los empresarios que arriesgan su capital, que innovan, que producen bienes y servicios que la gente quiere comprar. Y cuando el Estado dice que genera trabajo, en realidad lo que hace la mayoría de las veces es generarlo para sus amigos, para los punteros, para los que se sientan del lado correcto de la mesa a la hora de repartir contratos y subsidios.</t>
  </si>
  <si>
    <t>"El Estado no genera ni riqueza ni trabajo... cuando el Estado genera trabajo lo hace para sus amigos" denies the state any legitimate productive role at all, reducing state employment/spending entirely to cronyism — reinforces Market_Primacy-adjacent framing but the core claim being coded here is the categorical denial of state productive capacity.</t>
  </si>
  <si>
    <t>En junio del año pasado, antes de convertirme en presidente, les dije que yo solo no podría sacar a todos del abismo en el que nos dejó la casta política y que ustedes eran piezas fundamentales en la Argentina que se venía. Porque un presidente puede generar condiciones para que invertir sea rentable y atractivo, pero al final del día es el emprendedor y el empresario quien arriesga su capital y en consecuencia el que dinamiza la actividad económica.</t>
  </si>
  <si>
    <t>"El abismo en el que nos dejó la casta política" attributes Argentina's economic collapse to the political class as a distinct extractive category, the standard casta-blame frame recurring across the corpus.</t>
  </si>
  <si>
    <t>Visita A Mercado Libre</t>
  </si>
  <si>
    <t>2024-09-04</t>
  </si>
  <si>
    <t>Buenos Aires (Saavedra)</t>
  </si>
  <si>
    <t>empresa</t>
  </si>
  <si>
    <t>Se obstinaron tanto en arbitrar quién gana y quién pierde, que - en última instancia - destruyeron la economía y terminaron haciendo inviable cualquier tipo de inversión. El tema es que el único que puede generar riqueza - en este país y en el mundo entero - es el empresario, no el político. El político no sabe cómo crear riqueza, ni tiene los incentivos adecuados para hacerlo y cuando lo quiere hacer lo único, que genera es corrupción. Pero para que eso ocurra, el empresario hay que dejarlo ser “porque la libertad de cada uno engendra la prosperidad común”, es una cita velada, de mi papá, Adam Smith, o sea al empresario hay que dejarlo producir y brindar bienes y servicios de mejor calidad y venderlos al mejor precio que pueda y tiene que tener la posibilidad de ganar dinero por ello. Una de las cosas que siempre a mí me interesa que quede claro es que un empresario exitoso es un benefactor social, porque si está ganando dinero quiere decir que le arregló algún problema a la gente y ese tipo merece ser ponderado. Y cuanto más gana es porque le arregló la vida a muchísimas personas. De hecho, en la reunión previa, cuando uno ve los números que muestra la compañía, verdaderamente quiero agradecer porque Marcos y todo tu equipo son grandes benefactores sociales, porque le están arreglando la vida no solo a un montón de argentinos, sino a un montón de personas en todo el continente, así es que gracias.</t>
  </si>
  <si>
    <t>"Un empresario exitoso es un benefactor social... cuanto más gana es porque le arregló la vida a muchísimas personas" (attributed to "mi papá, Adam Smith") equates private profit directly with social benefit, positioning the entrepreneur as the sole legitimate source of social good against the state's claimed role.</t>
  </si>
  <si>
    <t>"El político no sabe cómo crear riqueza, ni tiene los incentivos adecuados para hacerlo y cuando lo quiere hacer lo único, que genera es corrupción" categorically denies the state/political class any capacity for legitimate wealth creation, stacked with the preceding Market_Primacy passage as a distinct complementary claim (state incapacity vs. entrepreneurial virtue).</t>
  </si>
  <si>
    <t>En segundo lugar, democratizó el acceso a diferentes medios de pago a pequeños comerciantes y emprendedores cuentapropistas que anteriormente sólo se manejaban con pagos en efectivo y que no contaban con la infraestructura para aceptar pagos, como sí podían hacerlo los grandes comercios y empresas. ¿A cuántas empresas y emprendedores les fue mejor, gracias a este servicio financiero? Incontables, es un número enorme. Imagínense cómo podría ser la vida de los argentinos si hubiera más empresas así. Existe el talento, sobran regulaciones. Sepan que nosotros estamos trabajando para ser una tierra de oportunidades para los emprendedores.</t>
  </si>
  <si>
    <t>"Existe el talento, sobran regulaciones" is a compact aphorism attributing any gap between Argentine entrepreneurial talent and outcomes purely to regulatory excess, with no acknowledgment of other factors.</t>
  </si>
  <si>
    <t>En particular, en lo económico, primó la noción de que la búsqueda del libre interés individual produce beneficios colectivos, Adam Smith dixit, y que, por lo tanto, el empresario, que arriesga capital, en pos de una ganancia es un benefactor social, no un villano que gana a cuesta de los que más pierden, como nos quieren hacer creer los resentidos de la izquierda.</t>
  </si>
  <si>
    <t>"El empresario... es un benefactor social, no un villano" recurs as a stock formulation (seen also in the Mercado Libre and Council of the Americas speeches), here explicitly opposed to "los resentidos de la izquierda," fusing the Market_Primacy claim with an anti-left framing.</t>
  </si>
  <si>
    <t>Foro Madrid – Edicion Rio De La Plata</t>
  </si>
  <si>
    <t>2024-09-05</t>
  </si>
  <si>
    <t>Buenos Aires (Palacio Libertad)</t>
  </si>
  <si>
    <t>Por cien años nos desviaron de la vida del progreso por el que el resto del mundo libre siguió avanzando, mientras todos los países - que se integraron al sistema global - se desarrollaron. Nosotros tiramos a la basura la posición de privilegio de la que partíamos y dilapidamos el stock que nos costó tanto acumular y pasamos de tener el PBI per cápita más alto del mundo a ser una nación, donde hoy tiene el 60% de la población pobre. Y todo esto se hizo con un solo objetivo: transferir riqueza de la sociedad toda a los políticos de turno y su clientela. Eso es lo que denominamos el Partido del Estado. Para entender de qué hablo - cuando me refiero al Partido del Estado - tenemos que separar a la población en dos grandes grupos: los pagadores de impuestos y los consumidores de impuestos. Entre los consumidores de impuestos se encuentran, obviamente, las ratas del poder, que - en vez de ver la política como vocación de servicio - ven una caja a la que parasitar de por vida y un medio para enquistar a su familia, en el Estado, como si fuera un título nobiliario, el Estado como un botín de guerra. Es curioso - por no decir indignante - porque resulta que los mismos que - en la televisión - se pelean como si fueran perros y gatos; en el Congreso terminan siempre votando juntos cuando se trata de joder a la sociedad. Y vaya que ustedes lo ven en el parlamento europeo.</t>
  </si>
  <si>
    <t>"El Partido del Estado" is developed here as a fully elaborated conceptual frame — "las ratas del poder," "el Estado como un botín de guerra" — generalizing the casta concept beyond Argentine politicians to a transnational category, explicitly offered "como advertencia al mundo."</t>
  </si>
  <si>
    <t>El Partido del Estado no se agota en los políticos y en los contratistas, es decir, no solo es la casta política, sino que – también - son los empresarios prebendarios. Pero no, claramente que la casta no termina ahí, pues en esta larga lista podemos encontrar a los periodistas y a los medios de comunicación, que – hoy - son poco más que un servicio de propaganda, en venta al mejor postor. Podemos encontrar a los sindicalistas que entregan a los trabajadores, a cambio de prebendas; a los gerentes de la pobreza, quienes administran asistencia social de los más vulnerables y los obligan a marchar contra sus propios intereses, bajo la amenaza de cortarles el plan. O los supuestos científicos e intelectuales, que creen que - tener una titulación académica - los vuelve seres superiores, y - por ende - todos debemos subsidiarles la vocación. Si tan útiles creen que son sus investigaciones, los invito a salir al mercado - como cualquier hijo del vecino - investiguen, publiquen un libro y vean si la gente le interesa o no, en lugar de esconderse – canallescamente -, detrás de la fuerza coactiva del Estado. También podemos hablar de los artistas - amigos del régimen - que reciben cuantiosas sumas de dinero para ir a dar recitales para 30 personas y sacarse fotos con el Intendente y el Gobernador. Muy interesante, días atrás, el cantante de Los Ratones Paranoicos, “Juanse”, señalaba que si bien él, originalmente, tenía una posición favorable al Estado, había visto que las cosas… algo había que estaba oliendo podrido porque decía: “no puede ser que vayas a dar un recital, a Caleta Olivia, con 50 personas y cobres como si estuvieras llenando, el Madison Square Garden”. Entonces - en ese sentido - me parece que hay que ver cuándo las retribuciones que están cobrando esos artistas, las pueden validar a mercado porque si no, claramente, es una estafa.</t>
  </si>
  <si>
    <t>"Los supuestos científicos e intelectuales, que creen que tener una titulación académica los vuelve seres superiores... los invito a salir al mercado" specifically targets credentialed researchers and intellectuals, demanding they justify state subsidy through market validation — a direct delegitimization of publicly-funded expertise as parasitic rather than a legitimate collective good, distinct from the broader Partido del Estado list it's embedded in.</t>
  </si>
  <si>
    <t>Yo esto lo recuerdo como un evento muy interesante, yo recuerdo que - por esa fecha - publiqué – probablemente - uno de los que han sido mis mejores libros que se llama Pandenomics, y una de las cosas que uno notaba - cuando miraba los números - era que - si Argentina - hubiera hecho las cosas como un país mediocre, deberían haber muerto por el COVID 30.000 personas, 30.000, de verdad. Sin embargo, esa cuarentena criminal se terminó llevando 110.000 personas por encima de lo que hubiera sido lo normal. Es decir, murieron 140.000 personas, pero 110.000 fueron responsabilidad, de un Gobierno criminal. Un Gobierno que - cuando se le señalaba lo que estaba ocurriendo - mandaba a sus esbirros mediáticos, a esos periodistas pauteros, corruptos, ensobrados a perseguir a todos aquellos que criticábamos la cuarentena. Se jactaban de ser un Gobierno de científicos, y - desde ese púlpito - acusaban a todo el mundo, profesionales de la salud cómplices. Algún día alguien va a estudiar o analizar - en Argentina - por qué si en todo el mundo la solución para atacar a una epidemia era testear, por qué, en Argentina, se testeaba tan poco.</t>
  </si>
  <si>
    <t>"Se jactaban de ser un Gobierno de científicos, y desde ese púlpito acusaban a todo el mundo" frames the prior government's invocation of scientific authority during the pandemic as a political cover story rather than genuine science — a distinct move from the preceding Attack_on_Experts_and_Technocrats passage, which targeted subsidized intellectuals rather than the ideological misuse of a "government of scientists" label.</t>
  </si>
  <si>
    <t>Coquetear con el socialismo puede parecer gratuito, al principio; puede parecer políticamente redituable, pero a la larga siempre genera un monstruo voraz y destructivo. No por nada siempre han sido un fracaso en lo económico, en lo social, en lo cultural y nunca se olviden que asesinaron, a 150 millones de seres humanos.</t>
  </si>
  <si>
    <t>"Asesinaron a 150 millones de seres humanos" is the recurring body-count atrocity claim (a higher figure than the "100 millones" used at CPAC Camboriú in July) used to characterize socialism/collectivism as an inherently murderous system, warning the international Foro Madrid audience against its resurgence in the West.</t>
  </si>
  <si>
    <t>Por lo tanto - como les decía - a mayor nivel de responsabilidad, mayor influencia. Es decir, tienen que alzar cada vez con más fuerza la voz. ¿Por qué? Porque como nuestros adversarios siempre juegan con ventaja, no podemos darnos el lujo de relajarnos, porque tienen su gente metida, en todos los niveles del Estado; tienen la fuerza de los sindicatos y de las organizaciones sociales; tienen a los empresarios prebendarios que viven del Estado y los financian; tienen los organismos supranacionales, las ONG, los medios de comunicación, los periodistas pauteros y la industria del entretenimiento. O sea, realmente han construido una hegemonía, no sólo en Argentina, sino global, con un aparato de propaganda capaz de hacer que la gente se cuestione los hechos más básicos de su propia existencia. No hay nada más interesante que ver la agenda verde, la agenda de ecologista, donde si ustedes llevan esa agenda al extremo, para no contaminar el planeta tendrían que – directamente - eliminar la vida humana. Hay que hay que ser demente para llegar a ese nivel de locura, y todo por ignorancia, porque si entendieran remotamente cómo funciona el sistema de precios, se darían cuenta que la única solución es la libertad y no meter el Estado para arruinarnos la vida. Pero, claro, ellos viven de ese negocio del Estado.</t>
  </si>
  <si>
    <t>Flagship passage.** "La agenda verde, la agenda de ecologista... para no contaminar el planeta tendrían que directamente eliminar la vida humana. Hay que ser demente para llegar a ese nivel de locura" is an explicit reductio ad absurdum against environmentalism, paired with the claim that its adherents act "por ignorancia" of "el sistema de precios" — framing environmental governance itself as both civilizationally dangerous and epistemically primitive, and folding it into the "organismos supranacionales, ONG" hegemony list from the preceding sentence (compare the near-identical "minorías ruidosas y organizaciones ambientalistas" framing at Pacto de Mayo, 2024-07-09, and "iluminados despotrican" at La Rural, 2024-07-28).</t>
  </si>
  <si>
    <t>Y, por último, miremos a Brasil, donde la justicia - adicta el poder petista - ahora mismo está prohibiendo X, que no es otra cosa que la arena pública, donde los ciudadanos brasileros y del mundo pueden expresar su voz y expresar su disidencia, o sea, quieren prohibir el espacio donde los ciudadanos intercambian libremente sus ideas. Quién sino un tirano, que está equivocado en todo, puede avalar semejante acto de opresión. Les aviso que gran parte del periodismo doméstico - como no se banca la libertad de las redes - claman y reclaman por el viejo formato de Twitter, que tenía la censura de los wokes, es decir, claman por el derecho a la libertad de expresión, pero sucede que libertad de expresión sólo para ellos y censura a los que piensan distinto. ¿Eso es libertad, muchachos? Por favor, ¿Por qué no toman un rato y se escuchan solitos, y ven lo vomitivo y repugnante que son tratando de hablar de libertad, mientras que persiguen a los que verdaderamente defendemos la libertad?</t>
  </si>
  <si>
    <t>Bundles disparate international phenomena — European/UK/French "conflictos culturales," Venezuelan authoritarianism, Brazilian platform censorship, and explicit "censura de los wokes" — into one narrative of a single globally coordinated "político-cultural" threat, the defining move of the Woke_Bundling sub-code.</t>
  </si>
  <si>
    <t>La charla de hoy, básicamente, sobre lo que voy a explicar es cuál es el enfoque que nosotros tenemos para terminar de erradicar definitivamente la inflación en la Argentina y eso implica una descripción de condiciones iniciales, un diagnóstico y un diseño de política monetaria. Por lo tanto, lo ideal, es como decía Friedman: primero los datos y en ese sentido, antes de que se creara esa nefasta institución llamada Banco Central de la República Argentina en el año 1935, los 50 años previos Argentina tenía una inflación del 0,9% anual.</t>
  </si>
  <si>
    <t>"Esa nefasta institución llamada Banco Central" is the recurring "institución nefasta" stock phrase (also used for the BCRA at the 2024-07-10 Bolsa de Comercio speech), here extended into a full historical narrative in which the central bank's very creation (not any specific policy) is presented as the origin of Argentina's inflation problem.</t>
  </si>
  <si>
    <t>Convencion Anual Del Iaef</t>
  </si>
  <si>
    <t>2024-09-06</t>
  </si>
  <si>
    <t>Mendoza</t>
  </si>
  <si>
    <t>Señora, es una burrada decir que el tipo de cambio es el que determina el resto de los precios, pero después igual se lo voy a explicar más. Por lo tanto, nosotros, trabajando con equilibrio general en serio, no como lo de esos econochantas que dicen que hacen equilibrio general y no pueden resolver un lagrangiano, y en menos casos inter temporales, nuestro diagnóstico era y es y seguirá siendo que la inflación es siempre y en todo lugar un fenómeno monetario generado por un exceso de oferta, ya sea o porque sube la oferta o porque cae la demanda o pasan las dos cosas a la vez. Por lo tanto, frente al escenario desastroso que teníamos, de que nos íbamos a una inflación del 17,000%, con lo cual, la caída del PBI hubiera sido monstruosa, con lo cual hubiera sido monstruoso también el número de pobres, hubiéramos ido a más de 90% de pobres y más de 50 por ciento de indigentes, es decir, hubiéramos replicado el caso de Venezuela sin lugar a dudas, entonces, nuestra primera idea fundamental era terminar con la inflación, atacar la inflación, que aviso que durante la campaña dije que además la política monetaria que tiene un rezago de 18 a 24 meses. Digo, porque parece que hablara no sé, en sánscrito. Están todos muy apurados y recién van 9 meses. Vayan y vean mis archivos, no los editados, vean los completos. No los que los sucios de los periodistas ensobrados, no todos, una gran parte, editan para deformar la información y para mentir. Entonces, vayan y vean los videos originales, están.</t>
  </si>
  <si>
    <t>"Esos econochantas que dicen que hacen equilibrio general y no pueden resolver un lagrangiano" attacks rival economists' technical competence directly (an inability to solve basic general-equilibrium mathematics), a recurring but here unusually explicit and mathematically-framed instance of the "econochantas" insult used across this batch of speeches.</t>
  </si>
  <si>
    <t>Entonces, además, es interesante porque dice ‘no, el problema no es fiscal’. Porque hay una hipótesis que sostiene que el problema es fiscal, porque yo tengo déficit fiscal, lo financio con emisión monetaria, y eso es lo que genera inflación. Dice ‘no tiene nada que ver con el déficit fiscal’. Es gracioso porque entonces dice que el problema es el exceso de demanda de divisas que me genera la deuda. ¿Y la deuda de dónde salió? ¿De un repollo? La deuda es hija del déficit fiscal, señora, se llama restricción de presupuesto. Trate de ver qué le pasa cuando gasta más de lo que ingresa, se endeuda. Y eso paga intereses. Eso partió porque usted se endeudó. ¿Y quién se endeudó por 450.000 millones de dólares? los gobiernos anteriores. Le voy a contar algo: nosotros bajamos la deuda, con lo cual estamos haciendo nuestro trabajo. Por lo tanto, además, hay una contradicción en sus términos. Pero claro, creen que los precios se generan por un mark up sobre los costos, o sea, teoría del valor, teoría objetiva del valor. Es decir, retrocedieron hasta antes de 1871. Le cuento algo: yo leí a Menger y estoy orgulloso de ser austríaco.</t>
  </si>
  <si>
    <t>"Teoría del valor, teoría objetiva del valor... retrocedieron hasta antes de 1871" characterizes a rival economic framework (the labor/cost theory of value) as intellectually pre-modern relative to the 1871 marginalist revolution, a distinct instance from the "lagrangiano" passage above — here the delegitimization move is historical-intellectual obsolescence rather than technical incompetence.</t>
  </si>
  <si>
    <t>Pero les cuento algo: en el último trimestre del año anterior, el PBI ya había caído 2,5%, y cuando ustedes miran el desestacionalizado del primer trimestre, cayó 2,6%. Con lo cual, no fue algo tan alarmante. Y les voy a decir más: el otro día estaba cenando con el profesor De Pablo y me hizo notar algo que no había percibido. Si ustedes toman el EMAE, que es la proxy del PBI en versión mensual, si ustedes lo toman desestacionalizado y toman la última observación contra diciembre, el PBI cayó 2%. Por lo tanto, no solo estamos haciendo el ajuste más grande de la historia, estamos bajando la inflación, sino que además tampoco cayó tanto la actividad. Yo entiendo, esto es muy doloroso para la casta política. Les estamos demostrando que son unos inútiles que no sirven para nada, que lo único que hacen es daño y que sacar el Estado del medio nos favorece y no es perjudicial; es algo que mejora nuestra calidad de vida, no solo por lo que ganamos en libertad, sino que además somos más productivos y más eficientes.</t>
  </si>
  <si>
    <t>"Son unos inútiles que no sirven para nada, que lo único que hacen es daño" is a blanket dismissal of the entire political class's functional competence, tied explicitly to the broader claim that removing the state from the economy is categorically beneficial.</t>
  </si>
  <si>
    <t>Por último, llegando ya a cómo va a ser la política monetaria de cara al futuro y cómo va a ser la salida del cepo, de vuelta, lo primero que tienen que entender es que no puedo fijar fechas. Yo entiendo que tengan el cerebro maltratado por años de colectivismo, pero ¿a alguno de ustedes se le ocurrió exigirle al Banco Central que, de cara a un año, saber a dónde va a estar la tasa de interés? Digo verdaderamente, o sea, nos piden cosas; falta que nos digan cuánto va a estar el tipo de cambio mañana a tal hora, digamos tal minuto; o sea, es un delirio. Es decir, uno avanza por objetivos, y el punto es que estos logros dependen de las decisiones de los individuos, por lo tanto, es endógeno. Es decir, ¿cuándo, digamos, pudimos terminar con los pasivos remunerados? Y, cuando los individuos quisieron pasarse a deuda del Tesoro.</t>
  </si>
  <si>
    <t>"El cerebro maltratado por años de colectivismo" attributes the audience's (and by extension Argentine society's) difficulty grasping monetary-policy reasoning directly to decades of "collectivism," folding a rhetorical aside into the broader collectivism-as-cognitive-damage frame.</t>
  </si>
  <si>
    <t>Para combatir la inflación ponen controles de precios, que hace 4000 años sabemos que no funcionan, e inventan regulaciones que destruyen la propiedad privada, entorpecen el cálculo económico, destruyen capital y en consecuencia aumentan la pobreza y la indigencia. Esta es la triste historia argentina de lo que los políticos y analistas llaman política económica, que no ha sido otra cosa en la Argentina que la violación sistemática de los derechos de propiedad de los ciudadanos. Dicho de otro modo, el déficit solo se cubre con deuda, que no es ni más ni menos que impuestos futuros, impuestos sobre las futuras generaciones, o con más impuestos presentes o con emisión de dinero. En Argentina más impuestos no puede haber, es el país con mayor cantidad de impuestos del mundo. Y si a eso le sumamos que el 50% de la actividad económica es informal, la presión impositiva formal en Argentina ronda el 60%. Un verdadero disparate para un país que necesita desesperadamente acumular capital.</t>
  </si>
  <si>
    <t>"Controles de precios, que hace 4000 años sabemos que no funcionan, e inventan regulaciones que destruyen la propiedad privada" categorically dismisses price controls and regulation as historically-proven failures with no acknowledgment of context-specific rationale.</t>
  </si>
  <si>
    <t>Cadena Nacional – Presentacion Del Presupuesto 2025</t>
  </si>
  <si>
    <t>2024-09-15</t>
  </si>
  <si>
    <t>Se preguntarán entonces a quién le puede servir este modelo. Bueno, saben cuál es la madre del déficit, la razón por la cual hay déficit: la compulsión inagotable de los políticos por el gasto público, que no conoce restricción presupuestaria alguna. Porque solo gastando plata que no es suya que pueden hacer negocios para ellos, sus clientes y sus amigos. Ya Friedman decía que no hay peor forma de gastar que el gasto estatal, porque hay cuatro maneras de gastar dinero: gastar el dinero propio en uno mismo, gastar el dinero propio en terceros, gastar el dinero ajeno en uno, o gastar el dinero ajeno en terceros. Y como uno no conoce las preferencias ajenas ni es responsable del dinero ajeno, porque no sabe cuánto costó conseguirlo, la peor forma de gastar dinero es gastar el dinero de otros en otros, que es precisamente el gasto del Estado.</t>
  </si>
  <si>
    <t>The Friedman "four ways of spending money" framework is used to argue that state spending is categorically and inherently the worst possible form of resource allocation, independent of what it is spent on.</t>
  </si>
  <si>
    <t>Hoy, algo que tiene que quedar claro de una vez y para siempre: no hay nada, pero nada más empobrecedor para el común de los argentinos que el déficit fiscal, y no hay nada, pero nada que enriquezca más a los políticos que el déficit fiscal. Este es el triste papel que el gasto público juega en el modelo de la casta. La política ha adornado este modelo con buenas intenciones y marcos teóricos rimbombantes. Por años, los hemos escuchado hablar de la justicia social, que no solo no es justa, sino que es extremadamente violenta, porque la justicia social implica sacarle a unos para darle a otros, basada en un principio inconsistente que dice que donde hay una necesidad nace un derecho. Pero el problema, estimados, es que las necesidades son infinitas y los recursos son finitos. Por eso, cuando el político pide más y más y más gasto para repartir plata que no hay, en realidad lo que está haciendo es estafando a todo el pueblo argentino. Está jugando con el futuro de todos para anotarse un par de puntitos políticos con algún discurso bien pensante en el camino. Porque el político sabe perfectamente que cuando aumenta el gasto público, le está poniendo la plata en un bolsillo a la gente para sacarle el doble por el otro bolsillo. Por eso, vetamos el proyecto de aumento del gasto público que sancionó este Congreso y por eso vetaremos todos los proyectos que atenten contra el equilibrio fiscal.</t>
  </si>
  <si>
    <t>"La justicia social... no solo no es justa, sino que es extremadamente violenta" recasts redistributive social-justice policy as a form of violence rather than a legitimate (if contested) political goal — a stronger formulation than the more common "mal llamada justicia social" aside used elsewhere in the corpus.</t>
  </si>
  <si>
    <t>La mano que nos tocó a nosotros no fue ni más ni menos que la peor herencia de la historia, tanto en materia fiscal y monetaria, como en múltiples dimensiones de la vida social argentina. Heredamos un déficit consolidado de 15 puntos del PBI, de los cuales cinco puntos pertenecían al Tesoro y 10 al Banco Central. Más que cualquiera de estas crisis que acabo de mencionar, pero algunos que dicen ser economistas, que viven de olvidarse cosas a propósito, salen todos los días en televisión haciendo la cuenta que vivíamos en Suiza. Para ponerlo en números palpables, ajustar el déficit de 15 puntos del PBI implicó que hiciéramos un recorte del gasto de alrededor de 90 mil millones de dólares, que no es otra cosa que decir que le estamos devolviendo a los argentinos ese dinero. O sea, no exageramos cuando decimos que hemos hecho el ajuste más grande de la historia de la humanidad. Por eso no me deja llamar la atención que dirigentes de todos los colores y banderas nos acusen tan seguido de no tener gestión. A esos les digo: ¿saben qué? Gestionar no es designar miles de funcionarios en todos los rincones del Estado cuando la mitad de esas áreas no deberían existir. Gestionar no es que un director nacional firme una resolución para gastar millones de pesos en servicios que el sector privado puede proveer mejor y más barato. Gestionar no es hacer rutas que no conducen a ningún lado, ni viviendas hacinadas que nadie quiere. Gestionar no es saber usar el GDE, como decía el ex candidato Massa. Gestionar, es haber evitado la hiperinflación que nos dejaron en puerta.</t>
  </si>
  <si>
    <t>The "Gestionar no es... Gestionar es..." litany reframes ordinary state administrative functions (staffing, procurement, infrastructure) as inherently wasteful casta self-dealing ("funcionarios en todos los rincones del Estado cuando la mitad de esas áreas no deberían existir"), contrasted point-by-point against the government's own claimed achievements.</t>
  </si>
  <si>
    <t>Por eso es hora de volver a las bases y barajar y dar de nuevo algunas definiciones. Lo fundamental que tiene que hacer un Estado nacional es asegurar la estabilidad macroeconómica, las relaciones exteriores y el imperio de la ley. Punto. Cualquier otra cuestión puede resolverse a través del mercado o es competencia de los gobiernos subnacionales. Para ser más claro, lo desgloso en partes: ¿Qué es estabilidad macroeconómica? Que no haya déficit fiscal, que haya estabilidad monetaria y que, en consecuencia, no haya inflación y se facilite el crecimiento económico. Facilite porque los privados deciden en qué invertir, no que lo haga un burócrata desde una silla que, en el medio, se queda con algo en el camino.</t>
  </si>
  <si>
    <t>"Lo fundamental que tiene que hacer un Estado nacional es asegurar la estabilidad macroeconómica, las relaciones exteriores y el imperio de la ley. Punto. Cualquier otra cuestión puede resolverse a través del mercado" is an explicit, formal doctrinal statement reducing the legitimate state to three functions and assigning everything else to market or subnational resolution — a foundational Market_Primacy claim rather than an incidental aside.</t>
  </si>
  <si>
    <t>Tiene que entenderse de una vez que no es tarea del Estado interferir en el proceso económico. No creemos en la política económica contracíclica y de ningún tipo; creemos en la libertad, en los derechos de propiedad y en que los precios se expresen libremente. Si el ciclo de la economía es genuino, esto es, si es de origen real, el Estado no tiene nada que hacer más que garantizar la estabilidad macroeconómica y el imperio de la ley. Si el ciclo económico no es de origen real, sino que es generado por el Estado, es lo mismo que aceptar que un mafioso nos rompa las piernas para luego venir a ofrecernos las muletas. No queremos las muletas del Estado, queremos vivir en libertad. No queremos que nos rompan las piernas.</t>
  </si>
  <si>
    <t>The "mafioso que nos rompe las piernas para luego ofrecernos las muletas" metaphor casts any countercyclical state economic intervention as inherently predatory rather than a policy choice with tradeoffs — a distinct, vivid rhetorical instance from the Friedman-quote passage coded earlier in this speech.</t>
  </si>
  <si>
    <t>No sólo eso, sino que, además, desde la propia campaña hemos tenido una clara posición internacional. Es más, siempre dijimos que íbamos a estar aliados con el mundo libre, que íbamos a estar en contra de los autócratas. Ya siendo diputado, me había manifestado, en favor de Ucrania, frente a la invasión rusa y, además, era tan claro mi alineamiento con los Estados Unidos - independientemente de quién vaya a ser el que gobierna Estados Unidos - porque es una decisión estratégica, ser aliado de Estados Unidos, como representante del mundo libre; también dijimos que nos íbamos a alinear con Israel; también señalamos que nos íbamos a alinear con el mundo libre y que íbamos a rechazar de plano la agenda 2030 y todo lo que tiene que ver con el catecismo woke.</t>
  </si>
  <si>
    <t>Flagged for follow-up.** "Rechazar de plano la agenda 2030" is an explicit, named rejection of the UN's 2030 Agenda for Sustainable Development — the framework containing the SDGs, including the climate-action goal (SDG 13) — presented as a formal foreign-policy alignment decision alongside allying with the US and Israel and opposing "autócratas." This is the corpus's most direct and explicit repudiation to date of a specific named multilateral sustainability instrument, distinct from the more diffuse "organismos supranacionales" references coded elsewhere.</t>
  </si>
  <si>
    <t>Palabras Ante Inversores En La Bolsa De Nueva York</t>
  </si>
  <si>
    <t>2024-09-23</t>
  </si>
  <si>
    <t>Nueva York, Ee.Uu.</t>
  </si>
  <si>
    <t>"Todo lo que tiene que ver con el catecismo woke" is stacked in the same breath as the Agenda 2030 rejection, fusing multilateral sustainability governance and "woke" cultural politics into a single rejected package — a distinct bundling move from the multilateral-governance rejection itself, since it operates on cultural/identity terrain rather than institutional/governance terrain.</t>
  </si>
  <si>
    <t>En ese sentido, en el día de ayer, mi grandiosa canciller, la doctora Diana Mondino - que está acá - dio una verdadera clase de por qué Naciones Unidas no debe alejarse de su objetivo original de mantener la paz y debería dejar de abrazar toda la agenda socialista, que lo único que conduce es al empobrecimiento. Por lo tanto, ayer, también hemos dado muestras contundentes de nuestra alineación no sólo con el mundo libre, sino – además - con las ideas del capitalismo de libre mercado.</t>
  </si>
  <si>
    <t>A second, distinct instance: rather than rejecting a specific named agenda (2030), this passage delegitimizes the UN's institutional mandate itself, arguing it has strayed from its "objetivo original de mantener la paz" into an "agenda socialista" — an argument about what the UN as an institution should and shouldn't do, not just what Argentina rejects.</t>
  </si>
  <si>
    <t>I want to be clear on the position of the Argentine agenda: the 2030 Agenda, although well-intentioned in its goals, is nothing more than a supranational government program, socialist in nature, which seeks to solve the problems of modernity with solutions that violate the sovereignty of nation states and violate people's right to life, liberty and property. It is an agenda that pretends to solve poverty, inequality and discrimination with legislation that only deepens them. Because world history shows that the only way to guarantee prosperity is by limiting the power of the monarch, guaranteeing equality before the law and defending the right to life, liberty and property of individuals.</t>
  </si>
  <si>
    <t>The 2030 Agenda — the overarching UN sustainability framework encompassing SDGs, climate action (SDG 13), clean energy, and biodiversity — is formally declared "a supranational government program, socialist in nature." Delivered before the General Assembly, this is the highest-profile Rejection_of_Multilateral_Governance in the corpus. The framing — socialism, sovereignty violation, counterproductive legislation — activates the full set of D1.1 delegitimation registers simultaneously: ideological, statist, and harmful.</t>
  </si>
  <si>
    <t>79 Asamblea General De La Onu – Debate General</t>
  </si>
  <si>
    <t>2024-09-24</t>
  </si>
  <si>
    <t>cumbre internacional</t>
  </si>
  <si>
    <t>"An agenda that pretends to solve poverty with legislation that only deepens it" is Sustainability_as_Ideological_or_Harmful in its strongest formulation: not merely ineffective but actively counterproductive. For climate specifically, SDG 13 and the Paris Agreement-linked elements are cast as policies that will deepen poverty — a geopolitically charged claim delivered to an audience of predominantly developing nations.</t>
  </si>
  <si>
    <t>The UN is positioned as an agent of collectivist civilizational decline. Argentina's dissent is framed as a defense of the principles — life, liberty, property — that define legitimate civilization. The speech functions as a civilizational declaration: Argentina aligning itself in a conflict between freedom and collectivism, with the 2030 Agenda as a key battlefield.</t>
  </si>
  <si>
    <t>It has been precisely the adoption of this agenda, which obeys privileged interests, the abandonment of the principles — outlined in the Universal Declaration of Human Rights — that has distorted the role of this institution. Thus, we have seen how an organization, born to defend the rights of man, has been one of the main proponents of the systematic violation of freedom, as — for example — with the global quarantines during the year 2020, which should be considered a crime against humanity.</t>
  </si>
  <si>
    <t>Framing the UN's COVID-19 pandemic response as "a crime against humanity" attacks both the institution and the expert consensus (epidemiological, public health) that underpinned the lockdown policies. For climate governance, the structural implication is powerful: if the UN's expert-backed response to one global emergency constitutes a crime, why should its expert-backed response to another global emergency (climate change) be trusted? This passage pre-empts any UN-mediated climate science or policy recommendation by establishing institutional criminality as a precedent.</t>
  </si>
  <si>
    <t>In the economic sphere, collectivist policies have been promoted that threaten economic growth, violate property rights, and hinder the natural economic process, preventing the most underprivileged countries in the world from freely enjoying their own resources. Moreover, a toxic relationship has been promoted between global governance policies and international lending agencies, requiring the most neglected countries to commit resources they do not have to programs they do not need, turning them into perpetual debtors to promote the agenda of the global elites.</t>
  </si>
  <si>
    <t>The "toxic relationship" between global governance and multilateral lending agencies is a direct reference to the conditionality apparatus through which climate commitments are embedded in development finance. Framed as extortion — poor countries committing "resources they do not have to programs they do not need" — this delegitimizes climate finance conditionality as neocolonial extraction rather than international solidarity. Delivered at the General Assembly with a developing-world majority, this is a geopolitically targeted version of Rejection_of_Multilateral_Governance.</t>
  </si>
  <si>
    <t>Sustainability programs are characterized as ones that developing countries "do not need," framing the entire sustainable development agenda — SDGs, climate adaptation, energy transition — as externally imposed and harmful to the global poor. This repositions climate skepticism as a defense of the world's poorest nations against elite climate imperialism, maximizing the political appeal of the argument in this specific venue.</t>
  </si>
  <si>
    <t>Nor has the tutelage of the World Economic Forum helped, where ridiculous policies are promoted with Malthusian blinders on — such as "Zero Emission" policies — which harm poor countries in particular. To policies linked to sexual and reproductive rights, when the birth rate in Western countries is plummeting, heralding a bleak future for all.</t>
  </si>
  <si>
    <t>"Zero Emission" policies are named explicitly and characterized as "ridiculous" and "Malthusian," harmful especially to poor countries. This is the most direct attack on net-zero climate policy as policy in the UN corpus: the agenda is framed as ideologically driven (Malthusian) and materially harmful (to the poor), deploying both the sustainability-as-harmful and the broader Malthusian anti-humanist framing simultaneously.</t>
  </si>
  <si>
    <t>"Zero Emission" policies are listed in the same breath as "policies linked to sexual and reproductive rights" — climate policy bundled with population/reproductive policy via the Malthusian linkage. At the General Assembly, where many member states are deeply conservative on reproductive rights, this bundling maximizes delegitimization of climate governance among the audience most capable of blocking multilateral sustainability commitments.</t>
  </si>
  <si>
    <t>An organization that, instead of confronting real global conflicts, invests time and effort in imposing on poor countries what, how and what they should produce, with whom they should associate, what they should eat and what they should believe in, as the present Pact for the Future intends to dictate.</t>
  </si>
  <si>
    <t>The list — what to produce, with whom to associate, what to eat, what to believe — encompasses climate-related production constraints (fossil fuel restrictions), trade conditionalities (Paris-Agreement-linked), dietary sustainability guidelines (meat consumption), and scientific orthodoxy (climate consensus). Framing these as illegitimate impositions on sovereignty and self-determination performs a comprehensive delegitimation covering the full scope of the sustainable development agenda.</t>
  </si>
  <si>
    <t>Therefore, I would like to issue a warning: we are at the end of a cycle. Collectivism and moral posturing, of the woke agenda, have collided with reality and no longer have credible solutions to offer to the world's real problems.</t>
  </si>
  <si>
    <t>"Collectivism and moral posturing, of the woke agenda" — the UN sustainability agenda is absorbed into the "woke agenda" at the General Assembly, delivering the same cultural-war framing to the world's premier diplomatic institution. "Has collided with reality and no longer has credible solutions" performs a temporal delegitimation: the entire 30-year history of sustainable development (from Rio 1992 to the 2030 Agenda) is retroactively framed as a project that never worked and has now conclusively failed.</t>
  </si>
  <si>
    <t>I want to be clear about something: Argentina will not support any policy that implies the restriction of individual freedoms, of trade, or the violation of the natural rights of individuals, no matter who promotes it or how much consensus that institution has. For this reason, we wish to express — officially — our dissent on the Pact of the Future, signed on Sunday, and we invite all the nations of the free world to join us, not only in dissenting from this pact, but also in the creation of a new agenda for this noble institution: the agenda of freedom.</t>
  </si>
  <si>
    <t>[V3 re-code — was D2.3 in v2] The formal announcement of dissent from the Pact for the Future is here coded as D1.1 &gt; Rejection_of_Multilateral_Governance because this passage is a rhetorical act: Milei is legitimizing and framing the exit, not performing the institutional act itself. The phrase "no matter who promotes it or how much consensus that institution has" directly applies the Fallacy_of_Authority logic to formal multilateral commitments — scientific and institutional consensus is explicitly declared non-binding. The invitation to form a counter-coalition extends the rhetorical delegitimation to a geopolitical project. The actual formal institutional act (official communication, voting record, decree) belongs in the D2 formal documentation corpus.</t>
  </si>
  <si>
    <t>From this day on, know that the Argentine Republic will abandon the position of historical neutrality and will be at the forefront of the struggle in defense of freedom.</t>
  </si>
  <si>
    <t>Argentina's declaration of a new activist foreign policy stance "in defense of freedom" — framed against the multilateral collectivist governance architecture — establishes a discursive commitment to sustained opposition to the international sustainability governance system. The rhetorical register is civilizational mobilization: Argentina is not a passive defector but a vanguard actor in a freedom-versus-collectivism conflict.</t>
  </si>
  <si>
    <t>"La lucha en defensa de la libertad" against multilateral collectivism is the Civilizational_Defense frame applied as foreign policy commitment. Western civilization's survival requires active opposition to the institutions (UN, WEF, 2030 Agenda) that Milei has spent the speech identifying as the agents of civilizational decline.</t>
  </si>
  <si>
    <t>Pero, a veces, parece que - no sé si hay falta de perspectiva histórica o hay ignorancia o mala intención o todas juntas a la vez -, producto de esto los depósitos - en dólares - en el sector privado se encuentran, hoy, en niveles récords. [...] Entonces - cuando ustedes toman los recursos para las universidades - si toman el caso de 600.000 sin el aumento, y toman el aumento con el de 400.000 [...] Entonces, ¿de qué estamos hablando? Y eso es - sí el reclamo fuera genuino - si en el medio consideramos que es un mero eufemismo para defender los curros de tres o cuatro delincuentes, que utilizan una causa noble y la prostituyen para ganar dinero, a costa de robárselos a los alumnos y a los profesores y a lo que tiene que ver con los edificios y demás, me parece que no hay mucho más que discutir. [...] Nosotros venimos a terminar con los curros y - en el fondo - si estuvieran limpios ¿cuál es el problema de que los auditen, si estuvieran limpios? Hace casi 10 años que no hacen una auditoría y lo único que estamos pidiendo es auditarlos, pero parece que eso es poner en riesgo la educación pública. No, todo lo contrario, es valorizar la educación pública; es decir, si estuvieran limpios, el principio revelación diría que – claramente - podrían mostrar los números, pero no lo quieren hacer y por algo debe ser, entonces.</t>
  </si>
  <si>
    <t>The university-funding-increase debate is reframed entirely as cover for "curros de tres o cuatro delincuentes" siphoning money meant for students and professors, delegitimizing the institutions' resistance to audits as proof of corruption ("si no quieren ser auditados deben ser porque están sucios") rather than engaging with any substantive funding argument.</t>
  </si>
  <si>
    <t>Xxxv Asamblea Plenaria Del Consejo Empresarial De America Latina (Ceal)</t>
  </si>
  <si>
    <t>2024-10-09</t>
  </si>
  <si>
    <t>Entonces, esa idea llena de envidia y resentimiento, la tenemos que combatir, desde ya, porque el que gana plata es un héroe, es un benefactor social porque lo hace vendiendo precios de mejor calidad, a un mejor precio. Entonces, esto no es menor: porque si Argentina va a empezar a generar un proceso de fuerte crecimiento económico, en la medida que ustedes empiecen a generar ese proceso, se van a generar ganancias extraordinarias. Y no le demos lugar a los zurdos de mierda que vengan a decir que eso está mal. Porque ellos que se basan en la envidia, en el odio, en el resentimiento van a venir a hinchar las pelotas con el Coeficiente de Gini, la desigualdad y - en realidad - esos tipos, que están capturando los grandes beneficios, son los que van a hacer de vuelta que Argentina sea un país grande nuevamente.</t>
  </si>
  <si>
    <t>"El que gana plata es un héroe, es un benefactor social" — extraordinary profits are recast as socially beneficial price signals rather than a phenomenon warranting scrutiny or taxation, the strongest formulation yet of the Market_Primacy claim in this batch.</t>
  </si>
  <si>
    <t>"Los zurdos de mierda... se basan en la envidia, en el odio, en el resentimiento... Coeficiente de Gini, la desigualdad" dismisses concern over inequality metrics as psychologically-driven resentment rather than a legitimate policy consideration, a distinct move from the Market_Primacy claim in the preceding sentence.</t>
  </si>
  <si>
    <t>Ahora me voy a ocupar - de vuelta - del zurdaje. Hoy me agarraron de buen humor. Hay una frase - repetida hasta el hartazgo por la izquierda bien pensante - que dice: “nadie se salva solo”. Y lo que no entiende la izquierda es que el mercado es – justamente - la demostración de ellos. [...] El mercado es un proceso de cooperación social, donde los individuos intercambian - voluntariamente - derechos de propiedad. Eso es el mercado. De hecho, si ustedes entendieran así, hay toda una parte de la literatura que ya la erradicarían. ¿Por qué? Porque no podría existir los fallos de mercado, porque para que existan los fallos de mercado debería haber coacción, pero sí es coacción, entonces no son voluntarios, con lo cual violenta la definición de mercado.</t>
  </si>
  <si>
    <t>This passage goes beyond ordinary deregulation advocacy to deny the theoretical legitimacy of "fallos de mercado" (market failure) as a concept altogether — defining "market" in a way that makes market failure definitionally impossible. This is a foundational move against the entire externality/market-failure framework that underlies environmental and other corrective regulation, distinct from the more common practical "regulations are burdensome" argument.</t>
  </si>
  <si>
    <t>A pesar del importante rol que supo ocupar Sarmiento en nuestra historia, hoy quienes se atreven a cuestionarlo, después de muerto, pretenden instalar un absurdo revisionismo histórico sobre su figura y su presencia, rechazando su enorme legado. Tal como quisieron hacerlo con Roca y muchos otros próceres de esa generación. Los mismos que llevaron a cabo el intento de demonización contra el padre del aula, son los mismos que pretenden ahora rasgarse las vestiduras por la educación y toman a los alumnos de rehenes en sus desesperados intentos por mantener sus privilegios. Y también son estos mismos quienes promovieron el modelo cultural, social y económico que atrasó a la Argentina en las últimas décadas. Solo para ponerlo en datos… Para que vean el desastre que han causado contaminando el socialismo y todo lo que tocan.</t>
  </si>
  <si>
    <t>"El desastre que han causado contaminando el socialismo y todo lo que tocan" attributes Argentina's cultural, social, and educational decline directly to socialism as a contaminating force, bundled with the historical-revisionism attack on Sarmiento's critics.</t>
  </si>
  <si>
    <t>Presentacion Del Centro Cultural Palacio Libertad (Ex Cck)</t>
  </si>
  <si>
    <t>2024-10-12</t>
  </si>
  <si>
    <t>Durante toda la campaña, me han escuchado decir que preferimos una verdad incómoda a una mentira inconfortable. La verdad incómoda en la Argentina es que la universidad pública nacional no le sirve a nadie más que a los hijos de la clase alta y a los hijos de la clase media alta, en un país donde la gran mayoría de los niños son pobres, donde no saben leer ni escribir ni realizar una operación matemática básica, el mito de la universidad gratuita se convierte en un subsidio de los pobres hacia los ricos, cuyos hijos son los únicos que llegan a la universidad con los recursos, con la cultura y el tiempo necesarios para poder estudiar.</t>
  </si>
  <si>
    <t>"El mito de la universidad gratuita se convierte en un subsidio de los pobres hacia los ricos" is a distinct, fully-developed regressive-subsidy argument against free public university — a more elaborate articulation than the "curros"/audit-resistance framing coded two days earlier at the CEAL speech (2024-10-09), reframing the institution's funding model itself (not just its financial management) as illegitimate.</t>
  </si>
  <si>
    <t>Por lo tanto, cuando terminemos con estos ladrones delincuentes y mentirosos, ahí vamos a estar nuevamente frente a la verdadera movilidad social ascendente. Pero la realidad es que no les interesa la movilidad social, ni la educación. Les interesan solamente sus cajas para mantener sus privilegios, mientras enarbolan banderas nobles que les permiten expiar sus culpas. Bueno, a nosotros sí nos interesa el progreso.</t>
  </si>
  <si>
    <t>"Estos ladrones delincuentes y mentirosos... les interesan solamente sus cajas para mantener sus privilegios" targets the specific political groups ("algunas agrupaciones políticas") opposing university audits as casta actors using education as a shield for self-enrichment, distinct from the institutional-funding-model critique coded above.</t>
  </si>
  <si>
    <t>El problema con eso es que ahora estoy trabajando con una teoría objetiva del valor, y ya sabemos que la teoría objetiva del valor fue aniquilada. Por lo tanto, cada cosa que tiene que ver con...actos de brutalidad, como lo que hacía el engendro soviético que tenía gente controlando precios, entonces creía que, sumando los costos de ahí, digamos, sacaba el nivel de precios. Entonces andaban determinando quiénes eran los malos... ¿Se acuerdan del expresidente diciendo "hay diablos"? Bueno, las fuerzas del cielo los mataron.</t>
  </si>
  <si>
    <t>"El engendro soviético que tenía gente controlando precios" analogizes Argentine price-control policy directly to the Soviet command economy, a specific comparative-historical framing distinct from the more generic "colectivismo" references used elsewhere.</t>
  </si>
  <si>
    <t>Jornadas Monetarias Y Bancarias 2024 (Bcra)</t>
  </si>
  <si>
    <t>2024-10-15</t>
  </si>
  <si>
    <t>Dicho esto, obviamente, que todos tenemos una opinión bastante mala de Moreno, sobre todo porque tiene una mala teoría del valor. Él cree que los precios son determinados por los costos. Esto es muy importante, na de las cosas que plantea Menger en sus Principios de economía política de 1871, y que después Von Wieser lo reescribe, es lo que se llama el principio de imputación, donde son los precios los que determinan los costos, y no los costos lo que determinan los precios. Es tan ridículo creer que los costos determinan los precios que, si esto fuera así, no habría quiebras.</t>
  </si>
  <si>
    <t>The extended attack on former Secretary of Commerce Guillermo Moreno's economic theory ("mala teoría del valor... es tan ridículo creer que los costos determinan los precios") is a specific, named individual expert target, framed via reference to the 1871 marginalist revolution as intellectually pre-modern — a similar move to the "retrocedieron hasta antes de 1871" passage coded at the 2024-09-06 IAEF Mendoza speech, but here directed at a specific former policymaker rather than a general rival school of thought.</t>
  </si>
  <si>
    <t>Por lo tanto, dado que sube el flujo de fondos, ya sea porque respetamos los derechos de propiedad, porque no vamos a permitir que los expropien, porque básicamente hay oportunidades de negocio, porque hay crecimiento y porque, además, al mismo tiempo la tasa de descuento está cayendo, si yo me pongo como administrador de portafolio, diría: "long duration en Argentina", es decir, Argentina es un activo para comprar, para estar comprado largo. ¿Y qué se puede hacer para estar comprado largo? Hacer inversiones reales. Por lo tanto, Argentina es un excelente caso de negocios. Ahora, sí quiero volver a la frase original de Pirkei Avot, que solía decir: "Si yo no estoy para mí, ¿quién estará para mí?". Es decir, si no me ocupo de mí, ¿quién se va a ocupar de mí? Más liberal imposible. Ustedes son los responsables de su propio destino, ustedes son los arquitectos de su propio futuro. Si no se ocupan ustedes de ustedes mismos, ¿quién lo va a hacer? ¿El Estado? No, porque el Estado lo único que puede hacer es daño, el Estado no produce nada. Cuando el Estado da algo, es porque antes se lo robó a alguien. Por eso, nosotros hemos implementado la política más liberal de toda la historia argentina. Le bajamos el peso del Estado al sector privado en cerca de 13 puntos del PBI, porque hemos hecho el ajuste más grande de la historia, hemos corrido al Estado en más de seis puntos del PBI. Si solo tomamos en cuenta el Tesoro, nunca se devolvieron tantas libertades en tan poco tiempo.</t>
  </si>
  <si>
    <t>"El Estado lo único que puede hacer es daño, el Estado no produce nada. Cuando el Estado da algo, es porque antes se lo robó a alguien" is a categorical, unqualified denial that the state can ever be a legitimate source of value — the starkest formulation of this claim in the speech, used to close the entrepreneur-empowerment argument.</t>
  </si>
  <si>
    <t>60 Coloquio De Idea 2024</t>
  </si>
  <si>
    <t>2024-10-18</t>
  </si>
  <si>
    <t>Mar Del Plata</t>
  </si>
  <si>
    <t>Y la genialidad de Oded Galor es que, a su modelo, logra conciliar la visión del modelo maltusiano con los modelos de crecimiento endógeno. [...] Es decir, en el momento en el cual, Malthus predecía la gran catástrofe. Digo "catástrofe" después por el Club de Roma y por todos los asesinos verdes que andan dando vuelta, neomarxistas que plantean el problema del hombre con la naturaleza y quieren arreglar el mundo matando inocentes, llámese a los aborteros.</t>
  </si>
  <si>
    <t>Flagship passage.** "Asesinos verdes... quieren arreglar el mundo matando inocentes" is the single most extreme anti-environmentalist formulation found in the corpus so far — environmentalists are literally labeled murderers, their concern for "el problema del hombre con la naturaleza" equated with population-control violence and bundled with "aborteros" (those who perform/support abortion). This exceeds even the "eliminar la vida humana" reductio at the 2024-09-05 Foro Madrid speech by naming and directly accusing the movement's adherents of killing people, rather than only describing the logical implication of their agenda.</t>
  </si>
  <si>
    <t>Tech Forum Argentina 2024</t>
  </si>
  <si>
    <t>2024-10-19</t>
  </si>
  <si>
    <t>Buenos Aires (Hotel Libertador)</t>
  </si>
  <si>
    <t>"Neomarxistas" is stacked directly onto "asesinos verdes" in the same clause, folding environmentalism into the broader Marxism/collectivism delegitimization frame — a distinct ideological-lineage claim from the "murderous" characterization itself.</t>
  </si>
  <si>
    <t>Invoking "el Club de Roma" (the 1972 "Limits to Growth" report) as the origin of "catástrofe" framing casts Malthusian/ecological-limits forecasting as ideologically-motivated pseudo-prediction rather than legitimate scientific modeling, consistent with the sub-code's focus on delegitimizing the scientific status of environmental/resource-limit claims specifically.</t>
  </si>
  <si>
    <t>Por ende, la tecnología es la mayor muestra de las capacidades que tiene el ser humano [...] Como verán, yo soy optimista, y se nota. Saben que hay un grupo que son los tecnopecimistas y ven todo mal, pero bueno, que vayan y se vean con los marxistas y que se hagan un lugar con los hombres en las cavernas. El marxismo es una profecía autocumplida.</t>
  </si>
  <si>
    <t>A second, distinct instance: "tecnopesimistas... que vayan y se vean con los marxistas... el marxismo es una profecía autocumplida" links techno-pessimism generally (not specifically environmentalism this time) to Marxism as a doomed, self-fulfilling ideology.</t>
  </si>
  <si>
    <t>Entonces, fíjense, porque esta es la lógica del ser humano. No porque había oscuridad, sí inventamos el aceite de ballena para iluminar las calles y nuestros hogares. Se le acabó el aceite de ballena, descubrimos el carbón y la química que logró permitir que ese carbón en queroseno. No alcanzaba el queroseno y desarrollamos la energía eléctrica. El carbón es caro e ineficiente como combustible para el motor. Encontramos y aprendimos a procesar el petróleo de forma más barata y eficiente. No alcanzaba la comida para alimentar a 6000 millones de personas; inventamos la revolución genética en la agricultura, que nos permitió multiplicar nuestra producción [...] tal como reza un proverbio antiguo: la necesidad es la madre de la inventiva.</t>
  </si>
  <si>
    <t>The whale-oil→coal→kerosene→electricity→petroleum energy-substitution narrative is marshaled as general-purpose proof that resource/environmental scarcity is always illusory and self-correcting through innovation — a historically selective sequence (each transition is presented as costless and complete) used to pre-empt any argument for planetary limits or urgency around fossil-fuel transition, without engaging the specific physical/timescale differences between historical energy transitions and the climate problem.</t>
  </si>
  <si>
    <t>Lo menciono porque en el día de ayer dejó este mundo ese ser siniestro que fue el impresentable y repugnante ministro de Salud que tuvimos, cómplice de la cuarentena cavernícola más grande de la historia, y que además fue el responsable, junto al ex presidente Alberto Fernández, de la muerte de 100 mil argentinos. Porque si Argentina hubiera hecho las cosas como un país mediocre hubiera habido 30 mil muertos, sin embargo nosotros pasamos los 130 mil. [...]</t>
  </si>
  <si>
    <t>A uniquely vitriolic, personally-targeted attack on a specific named public-health official (the former Health Minister) upon his death, attributing 100,000 deaths directly to his COVID policy decisions — the most extreme individual-level expert-delegitimization instance in the corpus, going beyond the institutional "gobierno de científicos" framing used elsewhere to target a named individual by name-calling after death.</t>
  </si>
  <si>
    <t>Digo "catástrofe" después por el Club de Roma [see above] [...] ¿Alguien quiere hacer una cuenta…? Para ver si desterramos estas estupideces de zurdos que quieren asesinar gente. [...] ¿Cuántos kilómetros cuadrados tiene la Argentina? ¿3 millones? [...] Es decir que hoy en la Argentina entraría 13 veces y medio toda la población del planeta Tierra. Y quedaría todo el resto del planeta para hacer todo lo que quieran. Se dan cuenta que todos esos que andan asesinando gente es porque son ignorantes o porque son unos hijos de puta.</t>
  </si>
  <si>
    <t>A second instance: the live population-density calculation ("Argentina cabría 13.5 veces toda la población mundial") is staged as an audience-participation demonstration debunking overpopulation concerns, closing with the same "asesinando gente" murder framing used in the Club de Roma passage — a distinct rhetorical device (numerical demonstration vs. verbal assertion) making the same underlying claim about anti-natalist/environmentalist "ignorance" or malice.</t>
  </si>
  <si>
    <t>Siempre habrá una puja entre el privado y el Estado, entre quienes innovan y quienes regulan [...] Dirigencias políticas infectadas de socialismo les imponen regulación sobre regulación y a los visionarios del sector no les queda otra que huir. Como dijo Ayn Rand, cuando usted advierta que para producir necesita obtener autorización de quienes no producen nada, entonces podrá afirmar sin temor a equivocarse que su sociedad está condenada.</t>
  </si>
  <si>
    <t>"Dirigencias políticas infectadas de socialismo les imponen regulación sobre regulación" frames European tech regulation not as a policy choice but as an ideological contagion ("infectadas de socialismo"), reinforced by the Ayn Rand quote equating regulatory authorization requirements with societal doom.</t>
  </si>
  <si>
    <t>Creo que no hace falta decir que la Argentina - y ustedes lo saben mejor que muchos -, durante alrededor de 100 años, el Estado ha violado esos derechos naturales de manera sistemática, de innumerables maneras. Bajo la pátina de la democracia se han cometido las peores atrocidades, en nuestro país, porque lejos de defender el Estado de derecho lo que ha primado en Argentina es la razón del Estado. Es decir, que las necesidades del Estado estuvieron por encima de los derechos naturales de los ciudadanos. Desde el fallo, de la Corte Suprema de Justicia, que avaló la pesificación asimétrica - en el año 2004 - hasta los abusos impositivos de las recaudaciones bancarias y retenciones que hacen las provincias, los ejemplos de violaciones a los derechos fundamentales han sido moneda corriente, a lo largo de nuestra historia. Sistemáticamente se ha violado el derecho a la vida, la libertad y a la propiedad, tanto de los argentinos como de los extranjeros, que han decidido venir a invertir acá.</t>
  </si>
  <si>
    <t>The "razón del Estado" doctrine critique — with the specific 2004 Supreme Court "pesificación asimétrica" ruling cited as evidence — is a more historically and legally developed version of the recurring anti-statist argument, grounding the categorical claim ("el Estado de derecho no existió... en décadas") in a concrete judicial precedent rather than only rhetorical assertion.</t>
  </si>
  <si>
    <t>Evento Del Foro Economico Mundial (Wef) En Buenos Aires</t>
  </si>
  <si>
    <t>2024-10-23</t>
  </si>
  <si>
    <t>Para cerrar, antes de ganar las elecciones sabíamos que Argentina es un país donde todo está por hacerse, y desde que asumimos el 10 de diciembre del año pasado, comenzamos a transformar este presente decadente que nos dejaron en un futuro de prosperidad para cada uno de los individuos que habitan este suelo. El modelo de la libertad que estamos aplicando no es exclusivo de los argentinos, también es un ejemplo para el resto de los países de la región, los cuales, en mayor o menor medida, también han sido castigados por las mismas políticas miserables del socialismo del siglo XXI. Abrirnos al mundo, generar oportunidad de inversión y permitirles a los que deben generar riqueza, o sea, ustedes, el sector privado, que lo hagan sin ser asfixiado por la voz del Estado. Ese es el ejemplo que queremos dar. Su cooperación es fundamental en este nuevo capítulo que estamos escribiendo. Los invitamos a retomar el protagonismo que el Estado les robó injustamente, durante tanto tiempo.</t>
  </si>
  <si>
    <t>"Socialismo del siglo XXI" (a term historically associated with Chávez/Maduro-style Latin American left populism) is used as a closing regional framing device, positioning Argentina's reforms as a model against a named contemporary ideological adversary rather than an abstract historical "colectivismo."</t>
  </si>
  <si>
    <t>Y ese proceso no es neutral, porque la forma en la cual ustedes derivan utilidad, es decir, si ustedes tienen individuos que son distintos, eso ya básicamente les va a generar que el dinero no es neutral, porque la utilidad marginal de 20.000 pesos para mí, no es la misma que ustedes tienen para cada uno, por lo tanto, eso va a modificar mi patrón de consumo, por ende, no es neutral. O tengo un único individuo, pero ahora tengo varios bienes, No me va a derivar la misma utilidad los distintos bienes, entonces, por ende, si yo tengo una economía, donde los individuos no son todos iguales y, además, no hay un único bien, el dinero no es neutral. Si ustedes quieren ir al mundo de Friedman o Robert Lucas Jr., donde es neutral, ustedes tienen que ir a qué, a una situación, donde tienen un agente representativo y un único bien. Y ahí derivan el resultado de la neutralidad del dinero. Pero en la vida real esos supuestos no se cumplen. Por ende, el dinero no es neutral. Y le digo más, el dinero lo único que puede hacer es causar daño. Porque si el Banco Central emite, genera daño. Porque si el Banco Central contrae, genera daño. Si no hace nada, para qué le estoy pagando, para qué lo tengo; para qué les estoy pagando. Y, si creo que, digamos fatalmente arrogante, que tengo tipos tan brillantes que pueden hacer lo que la gente determinaría, por qué se lo voy a dar si lo puede hacer la gente sola. Ya empezó mi alegato, en contra del Banco Central.</t>
  </si>
  <si>
    <t>"El dinero lo único que puede hacer es causar daño... si emite, genera daño... si contrae, genera daño" is a categorical, unfalsifiable formulation — the central bank is framed as harmful under every possible course of action, including inaction — the starkest version yet of the recurring "institución nefasta" argument against the BCRA.</t>
  </si>
  <si>
    <t>Ieral (Fundacion Mediterranea)</t>
  </si>
  <si>
    <t>2024-10-30</t>
  </si>
  <si>
    <t>Cordoba</t>
  </si>
  <si>
    <t>No hace falta aclarar cuál es mi posición filosófica sobre el Estado, pues creo que ya ha quedado clara, pero en cualquier versión de Estado moderno, de la vida real, el monopolio de la fuerza y la represión del delito son responsabilidades públicas indelegables. Sin embargo, debido a la penetración de la izquierda de las instituciones, las universidades, la dirigencia policial, empresarial y los medios de comunicación - lentamente - fueron abandonando esta función indelegable del Estado hasta que convirtieron a nuestro país, en un baño de sangre. Pero la sociedad les dijo: “basta”. Nosotros estamos cumpliendo, con el compromiso que asumimos con la sociedad y volviendo a llamar a las cosas por su nombre.</t>
  </si>
  <si>
    <t>"La penetración de la izquierda de las instituciones, las universidades, la dirigencia policial, empresarial y los medios de comunicación" frames the garantismo/abolicionismo criminal-justice philosophy as evidence of a coordinated leftist institutional-capture project spanning academia, business, and media, rather than a legitimate (if contested) legal-philosophical position on due process and punishment.</t>
  </si>
  <si>
    <t>Escuela De Cadetes "Comisario Gral. Juan A. Pirker" – Entrega De Premios</t>
  </si>
  <si>
    <t>2024-11-01</t>
  </si>
  <si>
    <t>Y ahora, digo, van a ver que se va a hablar un poquito mejor de lo que haga Trump, porque hoy Elon Musk se compró ese bastión "woke" inmundo que era CNN, con lo cual ahora vamos a tener no solo la libertad en X, sino que, además, vamos a tener una cadena que no sea tan socialista, tan zurdita. Entonces, empiecen a informar otras cosas y dejen de mentir. Ahora, habiendo sentado las bases y mirando hacia adelante, aunque suene paradójico, la sociedad tendrá que acostumbrarse culturalmente al crecimiento, porque la casta política nos dejó una economía que no crece desde 2011, con un PBI per cápita equivalente al de 2007 y con una sociedad aturdida. Después de una década de caída del PBI per cápita, nos hemos olvidado de lo que es crecer de forma sostenida. Peor aún, hay 10 millones de argentinos menores de 30 años que nunca conocieron lo que es ser adulto en un país que crece en términos per cápita. Nos acostumbramos a tiempos de miseria, y ahora tenemos que acostumbrarnos nuevamente a tiempos de progreso.</t>
  </si>
  <si>
    <t>"Ese bastión 'woke' inmundo que era CNN... una cadena que no sea tan socialista, tan zurdita" explicitly names "woke" and fuses it with "socialista"/"zurdita" as interchangeable labels for the same media institution, a clean instance of the Woke_Bundling move applied to a specific named international media outlet rather than a domestic target.</t>
  </si>
  <si>
    <t>100 Aniversario De La Camara Argentina De Comercio Y Servicios</t>
  </si>
  <si>
    <t>2024-11-07</t>
  </si>
  <si>
    <t>Y Durante los últimos 100 años la casta política lo que hizo fue infantilizarnos, de esa manera nos convirtieron esclavos del Estado y lo que nosotros necesitamos es liberarnos y nosotros lo que estamos haciendo en este gobierno, es todos los días romper una nueva cadena. Lo que sí les puedo decir, es que no tengo duda de que haber sobrevivido a tanta miseria, digamos, tan fuerte, tan potente lo que nos hicieron, el resultado colateral es que han generado un pueblo fuerte y valiente y es hora de poner esas virtudes al servicio del crecimiento y del proyecto personal de cada uno. Ahora es nuestro momento, porque por primera vez en mucho tiempo podemos animarnos a soñar y a soñar sin miedo. Eso es precisamente el daño más grande que nos había hecho el modelo del Estado presente. Le infundió temor a los argentinos, con el modelo de la inflación permanente secuestró nuestro futuro y nos obligó a vivir en un eterno y miserable presente. Nos obligó a vivir a la defensiva en vez de la ofensiva. Porque quién puede tomar una buena decisión económica sin saber cuánto van a valer las cosas mañana. Esa es realmente la esclavitud moderna, trabajar para empresas que no pueden crecer a cambio de dinero que no tiene valor que los políticos se imprimen como si estuvieran jugando al estanciero. No ser dueño de nada, ni de tu propio esfuerzo o de tu propio tiempo, no poder ponerle precio a tu trabajo. Esa es la esclavitud que impuso el modelo del Estado presente. Nos quitó años de futuro y al hacerlo esterilizó una cantidad inclaudicable de talento argentino, pero nosotros hemos aprendido que el Estado no está para cumplir los sueños de la sociedad. Cuando el Estado promete cumplir sueños, se los termina cumpliendo solo los políticos y a sus amigos, mientras les arruinan la vida del resto de la población. Es decir, no hay nada como un almuerzo gratis. Si ustedes otorgan un derecho, más allá del derecho a la vida, la libertad y a la propiedad, no es un derecho, es un privilegio y alguien lo tiene que pagar. Y eso tiene consecuencias nefastas, no solo en términos estáticos, sino en términos dinámicos. La idea de donde hay una necesidad nace un derecho, es inconsistente, porque las necesidades son infinitas y los derechos hay que pagarlos y los recursos son finitos. El mercado, el problema de las necesidades infinitas y los recursos finitos, lo resuelve vía el sistema de precio con propiedad privada. El gobierno lo resuelve con la garra del Estado y con esa idea nefasta, siniestra y empobrecedora, que es la idea de la justicia social, que claramente no es justa porque implica un trato desigual frente a la ley y además está precedida de un robo. Por lo tanto, es una atrocidad que lo único que puede generar es miseria y si quieren un caso, es el caso Argentina. Arrancó el siglo 20 siendo uno de los tres países más ricos del mundo y estos delincuentes lo destruyeron. Nosotros venimos a reconstruir esa Argentina grande.</t>
  </si>
  <si>
    <t>"Esa idea nefasta, siniestra y empobrecedora, que es la idea de la justicia social... es una atrocidad que lo único que puede generar es miseria" is among the strongest condemnations of the "justicia social" concept in the corpus — moving past the more common ironic "mal llamada justicia social" aside into direct moral condemnation ("atrocidad," "siniestra").</t>
  </si>
  <si>
    <t>"El gobierno lo resuelve con la garra del Estado" contrasts the market's price-system solution to scarcity against the state's coercive ("garra") approach, framing any state role in resource allocation as inherently predatory — a distinct claim from the justicia social critique in the same passage, targeting the state's method rather than the redistributive goal itself.</t>
  </si>
  <si>
    <t>Durante el siglo de la humillación, al que fue arrastrada la Argentina, a causa de la casta política empobrecedora, ellos lograron instalar una mentira atroz profundamente destructiva y sólo posible en la mente de un parásito del erario público. Esa mentira, que le hemos llamado el Estado presente y esa idea de que el estado genera riqueza. El Estado no genera nada; el Estado solo destruye riqueza y lo único que hace es robárselas a otros para repartirla entre amigos.</t>
  </si>
  <si>
    <t>"El Estado no genera nada; el Estado solo destruye riqueza y lo único que hace es robárselas a otros para repartirla entre amigos," paired with the "Leviatán argentino... monstruo de 100 cabezas" framing, is a categorical denial of any legitimate state economic function, stronger than the more qualified "el Estado no genera riqueza, solo para sus amigos" formulations used elsewhere.</t>
  </si>
  <si>
    <t>Visita A La Sede Corporativa De Uala</t>
  </si>
  <si>
    <t>2024-11-11</t>
  </si>
  <si>
    <t>Buenos Aires (Caba)</t>
  </si>
  <si>
    <t>Hola a todos. Quiero darle las gracias a las autoridades y a la fundación Endeavor [...] Hace unos días el ministro de Desregulación dijo una frase que describe una de las características fundamentales de la Argentina que estamos construyendo: para cada necesidad habrá un mercado. Esto que parece una frase más, en realidad es un gran motor y, de hecho, es la contracara de esa frase siniestra, empobrecedora, en el límite asesina de los socialistas y su herramienta más macabra que es la justicia social que señala que donde hay una necesidad nace un derecho.</t>
  </si>
  <si>
    <t>Flagship passage.** "Esa frase siniestra, empobrecedora, en el límite asesina de los socialistas y su herramienta más macabra que es la justicia social" pushes past the recurring "mal llamada justicia social" aside into direct near-accusation of murderousness ("en el límite asesina") — paralleling the intensity of the "asesinos verdes" formulation at the Tech Forum speech (2024-10-19), but here applied to socialism/social-justice broadly rather than environmentalism specifically.</t>
  </si>
  <si>
    <t>Gala Anual De La Fundacion Endeavor</t>
  </si>
  <si>
    <t>2024-11-12</t>
  </si>
  <si>
    <t>Pero, afortunadamente, en algún momento los argentinos decidieron cambiar [...] En ese sentido hoy estoy muy a gusto entre ustedes, porque justamente es una pieza fundamental del mercado, son ustedes y no el estado parasitario, rosquero, de la supuesta alta política los que van a resolver los problemas de la gente. Digamos los políticos en realidad son seres siniestros en general, porque lo que hacen es te rompen las piernas, después te dan las muletas sacándotela de otro bolsillo y además pretenden que les des las gracias. Y eso encima lo llaman alta política; bien siniestro es eso.</t>
  </si>
  <si>
    <t>"Te rompen las piernas, después te dan las muletas sacándotela de otro bolsillo... y eso encima lo llaman alta política" is the same "mafioso que rompe las piernas para ofrecer las muletas" metaphor used at the 2024-09-15 Budget address, here redeployed against "la supuesta alta política" as a class rather than specifically countercyclical fiscal policy.</t>
  </si>
  <si>
    <t>Todos los días encontramos y eliminamos un nuevo gasto [...] Todos los días encontramos y eliminamos alguna regulación soviética diseñada para entorpecer el progreso y favorecer a la casta. Más lo segundo que lo primero, imagínense lo dañinos que son, son todos kioscos, es todo como una suerte de mega kiosco.</t>
  </si>
  <si>
    <t>"Alguna regulación soviética diseñada para entorpecer el progreso y favorecer a la casta" directly analogizes ordinary Argentine economic regulation to Soviet central planning, folding a routine deregulation talking point into the broader Cold War-coded delegitimization register.</t>
  </si>
  <si>
    <t>Bueno, vamos por 2,7. Pero hay algo muy interesante [...] Y a todos aquellos que nos auguraron que como consecuencia de esto íbamos a meter a la economía en una mega recesión [...] alcanzó el mismo nivel que teníamos en diciembre. Por lo tanto, zurditos y keynesianos: game over.</t>
  </si>
  <si>
    <t>"Zurditos y keynesianos: game over" is a brief but pointed taunt directly targeting Keynesian economists as a professional/ideological class whose predictions (of a "mega recesión") failed, distinct from the more diffuse "econochantas" insult by explicitly naming the Keynesian school.</t>
  </si>
  <si>
    <t>Pero lo que pasa que también sabemos que digo los socialistas son hipócritas, son personas que… yo en un momento creí que el socialismo era una suerte de enfermedad mental, de que tenían atravesado un… algo que se parece a un habano, pero que sale de la gente, y que eso no les permitía pensar correctamente, entonces bueno qué se yo… Pero después descubrí que no, que era mucho más grave, que era una enfermedad del alma. Que tiene que ver con los valores que implica el socialismo, que es abrazar la envidia, el odio, el resentimiento, el trato desigual ante la ley. Porque esconden en esa pátina altruista la intención de robarle a alguien.</t>
  </si>
  <si>
    <t>Flagship passage (second instance).** The extended "enfermedad del alma" (disease of the soul) formulation is a distinct rhetorical development from the opening "en el límite asesina" passage — rather than describing socialism's consequences as murderous, this passage pathologizes socialist belief itself as a moral/spiritual affliction rooted in envy, hatred, and resentment, going beyond policy critique into a claim about the psychological character of anyone who holds socialist views.</t>
  </si>
  <si>
    <t>Imagínense que, en 250 años, pasamos de que el 95% de la humanidad pasara hambre a que hoy existe un problema generalizado de obesidad, a nivel mundial. O sea, la tecnología es la mayor muestra de las capacidades que tiene el ser humano, tanto a nivel individual, como a nivel colectivo. Cada innovación tecnológica es un paso más que ha dado el hombre para solucionar un problema, permitiéndose tener tiempo ocioso para resolver el siguiente. A su vez, los grandes inventos de la humanidad se sienten como milagros en vida. Si le dijéramos a un faraón egipcio que el humano puede volar, que llegó a la Luna o, incluso, que puede comunicarse a miles de kilómetros en fracciones de segundo, gracias internet, creería que somos dioses. Si le dijéramos, a Aristóteles, que tenemos todos los libros de la historia en el bolsillo, creería lo mismo. Cada uno de estos milagros eleva a los hombres, a los ojos del pasado, al lugar de dioses; y nunca hubo mejor momento para el ser humano que hoy, por más que los agoreros de turno nos quieran asustar con que el mundo se va al demonio. Lo mismo sucede con la internet y la democratización del conocimiento, que nos permite romper monopolios históricos como, por ejemplo, el monopolio de la verdad, llámese los micrófonos ensobrados, le paso el subtítulo.</t>
  </si>
  <si>
    <t>"Nunca hubo mejor momento para el ser humano que hoy, por más que los agoreros de turno nos quieran asustar con que el mundo se va al demonio" is a compact instance of the "things have never been better, ignore the doomsayers" narrative move — thematically continuous with the whale-oil/petroleum energy-optimism narrative at the Tech Forum speech (2024-10-19), though far thinner here (no data cited, no explicit climate/environment referent). Coded as a mild/borderline instance under the permissive scope rule, since it constitutes the same rhetorical infrastructure (dismissing pessimistic forecasts as unfounded alarmism) even without naming climate specifically.</t>
  </si>
  <si>
    <t>Meta Day Argentina</t>
  </si>
  <si>
    <t>Otro monopolio histórico que la tecnología está resquebrajando es el monopolio de la moneda, porque los individuos del mundo se cansaron del señoreaje - impuesto a dedo - por burócratas de turno y comienzan a usar medios de cambio autónomos del poder central, pero aun así confiables, como son las criptomonedas. Igual, de todas maneras, no dejen que los Estados se hagan cargo y lleven adelante las criptomonedas los Estados; que se mantengan en el sector privado. Ya se apropiaron del papel moneda y nos estafan con la mayor estafa de la historia de la humanidad, que son los bancos centrales. O sea, vayan por las criptomonedas, pero que no permitan que el Estado meta la mano ahí, porque - a partir de ahí - nos van a convertir en esclavos. Sean muy cuidadosos con ese tema.</t>
  </si>
  <si>
    <t>"Ya se apropiaron del papel moneda y nos estafan con la mayor estafa de la historia de la humanidad, que son los bancos centrales" categorically frames central banking itself — not merely a specific policy error — as history's greatest fraud, consistent with the recurring "institución nefasta" framing of the BCRA elsewhere in the corpus, here generalized to central banks as an institution type.</t>
  </si>
  <si>
    <t>Y un tercero es el monopolio fiscal, dado que hoy - por poner un ejemplo - un ciudadano argentino puede decidir tributar en Estados Unidos, Paraguay, Uruguay, sin ningún problema; escapando de las fauces cleptómanas de un Estado Insaciable. En definitiva, la tecnología es una aliada para el ciudadano en su búsqueda cotidiana de libertad. Nos ayuda a ser más dueño, de nuestro tiempo y del fruto de nuestro trabajo. Paradójicamente, los argentinos para ir hacia el futuro tenemos que reencontrarnos con verdades, que están en el pasado profundo de nuestra Nación; verdades que nuestros héroes patrios en los albores de la Argentina conocían bien. No por nada Roca famosamente dijo: “el comercio sabe mejor que el Gobierno lo que a él le conviene”.</t>
  </si>
  <si>
    <t>"Escapando de las fauces cleptómanas de un Estado Insaciable" — a second, distinct instance targeting the fiscal/taxation monopoly (tax competition as escape from a predatory state) rather than the monetary monopoly addressed in the preceding passage.</t>
  </si>
  <si>
    <t>La verdadera política consiste pues en dejarle la más amplia libertad. La verdadera política es que no hagan nada, que se corran del medio. No la alta política de miembros de la casta negociando, a espaldas de los ciudadanos y arruinándole la vida para permanecer y tener privilegios. Eso no es alta política, eso es podredumbre que empobrece a la gente de bien. Yo elijo hacer eco de este reclamo tan antiguo como cierto, porque entiendo que es atrayendo el capital y no combatiéndolo que se prospera. Porque entiendo que es - a través de la baja de impuestos - y no de devaluaciones espurias, que empobrecen a la población, que se logra competitividad. Porque entiendo que hoy la carrera fiscal es igual de importante que la carrera aeroespacial o la carrera armamentística. Estados Unidos ya se dio cuenta y nos está copiando el modelo; de hecho, Elon Musk tiene conversaciones con Federico Sturzenegger para ver cómo desregular la economía estadounidense. Y, obviamente, el “Afuera” y la Motosierra son productos de exportación, así que es parte de la marca país: “Jefe, hacete cargo”.</t>
  </si>
  <si>
    <t>"La alta política de miembros de la casta negociando, a espaldas de los ciudadanos... podredumbre que empobrece a la gente de bien" is a standard instance of the corpus's recurring "alta política"/casta framing, contrasting genuine (limited) politics against the self-dealing political class.</t>
  </si>
  <si>
    <t>De esta manera, la izquierda ha logrado instalar sus ideas yendo contra toda noción de sentido común e incluso contra la propia naturaleza humana y han hecho creer a buena parte de la sociedad que crear dinero a partir de la nada no tiene contraindicaciones, que quienes generan riquezas son villanos, que hay que cerrar centrales de energía nuclear para combatir el cambio climático o que está bien utilizar fondos públicos para hacer política [...]</t>
  </si>
  <si>
    <t>Flagship passage — first explicit "cambio climático" mention in the corpus.** Milei lists "que hay que cerrar centrales de energía nuclear para combatir el cambio climático" among a set of left-wing ideas he frames as defying "sentido común" and "la propia naturaleza humana." The move does not deny warming outright, but dismisses a specific climate-mitigation policy (nuclear phase-out) as self-evidently irrational — bundled in the same breath with monetary heterodoxy and anti-entrepreneur sentiment as equally absurd "ideas instaladas" by the left. This is a clean instance of denialism-adjacent dismissal: treating a climate-policy position as ideological delusion rather than engaging its substance.</t>
  </si>
  <si>
    <t>Cena De La Fundacion Faro</t>
  </si>
  <si>
    <t>2024-11-13</t>
  </si>
  <si>
    <t>Sin embargo, subestimar la batalla cultural ha sido un gran error, porque a pesar de los enormes éxitos del capitalismo, la izquierda ha logrado capturar las instituciones más prestigiosas a nivel nacional e internacional y las ha utilizado para pavimentar un verdadero camino de servidumbre [... Hayek/Axel Kaiser/Chile digression ...] Apalancados sobre las ideas de Gramsci: tomaron los medios de comunicación, tomaron la cultura, tomaron la educación, fueron contaminando y enfermando a la sociedad de socialismo, y cuando se quisieron dar cuenta, les tomaron el país y les arrebataron los logros.</t>
  </si>
  <si>
    <t>"Tomaron los medios de comunicación, tomaron la cultura, tomaron la educación, fueron contaminando y enfermando a la sociedad de socialismo" specifically names education among the institutions captured by the left's Gramscian "long march," framing the education system's content as a contamination/illness vector rather than a legitimate site of scholarly disagreement — consistent with the recurring universities-as-captured-institution framing (e.g., the "curros" audit passage at 2024-10-09).</t>
  </si>
  <si>
    <t>Y cuando el Estado se hace propaganda para sí mismo [...] ponen toneladas de dinero en la cultura, es decir, le pagan fortunas de dinero con los recursos de los pagadores de impuestos a artistas para que justamente hablen en favor de ellos [...] hablan del INCAA, el 70% de los recursos del INCAA se iban el pago de sueldos y el 30% remanente se gastaba en la película de los amigos con intenciones políticas.</t>
  </si>
  <si>
    <t>The INCAA passage ("70% de los recursos... pago de sueldos y el 30% remanente... película de los amigos con intenciones políticas") is a concrete institutional example of the broader "Estado se hace propaganda para sí mismo" claim — public film-subsidy spending framed as patronage/self-promotion rather than legitimate cultural policy.</t>
  </si>
  <si>
    <t>[...] Elon Musk ha salvado a la humanidad desde X [...] cuando era Twitter había censura. Si ustedes no declaraban en línea con los Woke lo censuraban [...]</t>
  </si>
  <si>
    <t>"Si ustedes no declaraban en línea con los Woke lo censuraban" explicitly names "los Woke" as the enforcing authority behind pre-Musk Twitter censorship, bundling platform content-moderation policy with a generic "woke" cultural-political label rather than any specific named rule.</t>
  </si>
  <si>
    <t>Así, bajo el manto del sentimentalismo y las buenas intenciones, los colectivistas lograron convertir en verdad indiscutible la mal llamada "justicia social" [...] no hay tal cosa como un almuerzo gratis [...] el pescado gratis era la esclavitud en Egipto [... extended Exodus/Alcatraz anecdotes elaborating the same point ...]</t>
  </si>
  <si>
    <t>The extended "almuerzo gratis... pescado gratis era la esclavitud en Egipto" passage, developed through the Exodus and Alcatraz anecdotes, is treated as a single elaborated instance of the recurring "mal llamada justicia social" critique — one of the more narratively developed versions in the corpus, using slavery/imprisonment imagery to cast redistributive policy as a disguised loss of freedom.</t>
  </si>
  <si>
    <t>[...] "partido del Estado" (Santiago Caputo coinage) [...] Este partido del Estado no es otra cosa que una megaestructura política que abarca todos los sellos partidarios y que tiene como característica principal expropiar riqueza a quienes trabajan, producen y comercian para repartirla entre ellos, los sindicatos, las organizaciones sociales, los actores, el periodismo ensobrado, los empresarios prebendarios y los diversos colectivos supuestamente oprimidos [...]</t>
  </si>
  <si>
    <t>The extended "partido del Estado" definition — naming unions, social organizations, subsidized media, crony businesspeople, and "colectivos supuestamente oprimidos" as co-beneficiaries of a single extractive coalition — is the corpus's fullest elaboration of this reframing of "la casta," explicitly credited to Santiago Caputo as an improvement on Milei's own original term.</t>
  </si>
  <si>
    <t>Entonces, la pregunta es, Pero ¿quién paga la fiesta del partido del Estado? [...] Una verdadera industria de los derechos [...] yo los únicos derechos que conozco son el derecho a la vida, la libertad y a la propiedad, todos los demás son artilugios para estar metiéndole la mano en el bolsillo a alguien.</t>
  </si>
  <si>
    <t>"Una verdadera industria de los derechos... todos los demás son artilugios para estar metiéndole la mano en el bolsillo a alguien" delegitimizes the expansion of rights/entitlements beyond a minimal core (life, liberty, property) as an illegitimate regulatory/redistributive "industry" — the rights-inflation framing functions as a categorical argument against any new regulatory entitlement, including, by extension, environmental or social-protection rights.</t>
  </si>
  <si>
    <t>En 1848 Marx comenzó aquel panfleto siniestro que fue su manifiesto comunista diciendo que un fantasma recorría Europa, el fantasma del comunismo. Hoy un fantasma distinto recorre el mundo: el fantasma de la libertad. Un fantasma que viene a terminar con el modelo de servidumbre que reina en el mundo libre. Bajo el manto de las buenas intenciones, y la doctrina de la mal llamada “justicia social”, la casta política montó un Estado opresor que divide a los ciudadanos entre ganadores y perdedores, quienes pagan impuestos de un lado y quienes viven pagando a ellos.</t>
  </si>
  <si>
    <t>Opening the speech by directly inverting Marx's 1848 "specter of communism" line into a "specter of freedom" is a distinctive rhetorical device not used elsewhere in the corpus — a direct literary appropriation of the Communist Manifesto's own imagery to announce socialism's historical defeat, paired with the recurring "mal llamada justicia social" critique.</t>
  </si>
  <si>
    <t>Gala Del America First Policy Institute</t>
  </si>
  <si>
    <t>2024-11-14</t>
  </si>
  <si>
    <t>Mar-A-Lago, Ee.Uu.</t>
  </si>
  <si>
    <t>Estoy muy feliz de compartir con la nueva administración de los Estados Unidos el mismo amor por la libertad y estoy convencido de que juntos volveremos a darle el lugar que se merece. Sin embargo, el camino es cuesta arriba. Poco a poco el antiguo régimen se derrumba por su propio peso, pero el nuevo mundo tarda, aún, en nacer. Porque la casta política, el establishment, el pantano, o como quieran llamarlo, controla la mayoría de los medios, las cátedras universitarias, la burocracia estatal, los sindicatos, las organizaciones sociales, las organizaciones supranacionales, y también, muchísimas fundaciones; eso lo que los marxistas llamaban superestructura y que para nosotros es una catedral de la miseria material y espiritual.</t>
  </si>
  <si>
    <t>"La casta política, el establishment, el pantano... controla la mayoría de los medios, las cátedras universitarias, la burocracia estatal, los sindicatos... una catedral de la miseria material y espiritual" is the fullest institutional-capture inventory delivered to a US audience, mapping the Argentine "casta política" concept directly onto the American "swamp"/establishment framing for cross-national legibility.</t>
  </si>
  <si>
    <t>500 años antes de Cristo, en los albores de la cultura occidental, cientos de ciudades estado griegas formaron una liga para hacerle frente al despotismo persa. O sea, cuando occidente enfrentó su primera prueba de fuego, los pueblos libres estuvieron a la altura y se asociaron para superarla. Hoy, en el apogeo de la cultura occidental, encontramos una nueva prueba de fuego. En el frente interno, el combate contra el virus woke, y sus consecuencias nefastas… y en el frente externo, la amenaza de nuevas formas de despotismo y terror. Son dos expresiones distintas de la barbarie, pero ambas peligrosas.</t>
  </si>
  <si>
    <t>"El combate contra el virus woke, y sus consecuencias nefastas" frames "woke" ideology as an internal civilizational front equivalent in seriousness to external military/despotic threats, escalating the disease metaphor already used for socialism generally into an explicit "virus" label for the woke-specific strand of it.</t>
  </si>
  <si>
    <t>Los Estados Unidos liderando en el norte. La Argentina en el sur. Italia en la vieja Europa, e Israel, el centinela en la frontera de Oriente Medio. Porque solo con la fuerza de las naciones libres puede haber una esperanza global de paz y prosperidad.</t>
  </si>
  <si>
    <t>The explicit call for a formal "alianza de naciones libres, custodios del legado occidental" (US–Argentina–Italy–Israel), framed via the Greek city-states-vs-Persia analogy, is the corpus's most concrete institutional proposal flowing from the Civilizational_Defense frame — moving from rhetorical civilizational nostalgia (as at Foro Madrid, UN) to a named quadripartite alliance proposal.</t>
  </si>
  <si>
    <t>Muchas gracias por la organización e invitación a este maravilloso evento del CPAC. En tiempos. donde la gran mayoría de las fundaciones y organizaciones civiles están infectadas de socialismo, CPAC es imprescindible para congregar a quienes defendemos las ideas de la libertad.</t>
  </si>
  <si>
    <t>The opening frames the "gran mayoría de las fundaciones y organizaciones civiles" as "infectadas de socialismo" — an infection/disease metaphor applied broadly to civil society rather than to a specific institution. This generalized indictment of civil organizations as ideologically captured performs the groundwork for treating CPAC as one of the few uncorrupted spaces, delegitimizing collectivist-leaning civil society as a class. Anti_Socialism_Anti_Collectivism rather than Anti_Casta because the target is ideological affiliation (socialism), not an extractive political elite.</t>
  </si>
  <si>
    <t>Palabras Ante Inversores De La Cpac</t>
  </si>
  <si>
    <t>2024-11-15</t>
  </si>
  <si>
    <t>Quiero comenzar felicitando - una vez más - al presidente electo Donald Trump, al vicepresidente electo Vance y a todo su equipo por la victoria, en estas elecciones. Es una alegría enorme para mí saber que, en los Estados Unidos, primaron el sentido común y la razón por sobre el delirio comunista la agenda woke y la planificación centralizada. Digo que es una alegría porque - como argentino - conozco de primera mano las consecuencias del socialismo. Por eso muchas veces digo que me siento como un profeta, en una distopía, aún evitable.</t>
  </si>
  <si>
    <t>Milei frames the US election result as a victory of "sentido común y la razón" over "el delirio comunista la agenda woke y la planificación centralizada," collapsing communism, the woke agenda, and central economic planning into a single defeated collectivist project. The "me siento como un profeta, en una distopía, aún evitable" framing personalizes the anti-collectivist narrative around his own biography. Anti_Socialism_Anti_Collectivism captures the core move (a broad collectivist bloc rejected by voters); the passage doesn't bundle climate/gender/DEI specifically, so Woke_Bundling is not the better fit.</t>
  </si>
  <si>
    <t>Para ponerlo en contexto - en Argentina - hace 120 años nos regíamos por el capitalismo de libre empresa y contábamos con el PBI, per cápita más alto del mundo. Entonces, competíamos – cabeza a cabeza - con Australia y Estados Unidos y éramos el refugio de cientos de miles de migrantes, que viajaban a todo el mundo buscando mejores condiciones de vida. No en vano era común - en el pasado - escuchar la expresión: “rico como un argentino”. Sin embargo, hace aproximadamente 100 años, Argentina dio un giro de timón, que marcó el principio de una pendiente resbaladiza, cuyo desenlace – hoy - está a la vista de todo el mundo.</t>
  </si>
  <si>
    <t>The claim that 120 years ago free-enterprise capitalism produced the world's highest per-capita GDP, before a "giro de timón" set off Argentina's decline, follows the same historical-narrative structure as the codebook's canonical Davos Market_Primacy example: economic prosperity is presented as the direct, sufficient product of capitalism, with the implicit corollary that departure from it (i.e., state intervention/collectivism) explains the subsequent hundred years of decline.</t>
  </si>
  <si>
    <t>Bajo el mandato del sentimentalismo y las buenas intenciones, los colectivistas lograron convertir en verdad indiscutible, la mal llamada justicia social, que afirma que: “donde hay una necesidad, nace un derecho”. Pero el problema es que no hay tal cosa, como un almuerzo gratis. Y las necesidades son infinitas, mientras que los recursos son finitos. Entonces, para aplicar la mal llamada justicia social montaron un Estado opresor, que divide a los ciudadanos, entre ganadores y perdedores, y la política se convirtió - a su vez - en árbitro y parte interesada de esta repartija. Eso hizo que se instaurara una especie de régimen de castas, a lo indio, donde todos los ciudadanos de a pie eran ciudadanos de segunda, y los políticos, sus amigos y sus clientes vivían como monarcas.</t>
  </si>
  <si>
    <t>The passage traces "mal llamada justicia social" to the construction of an "Estado opresor" and, ultimately, a "régimen de castas, a lo indio" in which politicians, their friends, and clients "vivían como monarcas" while ordinary citizens became second-class. The explicit caste/monarchs framing — an extractive political elite living off others rather than serving them — is the diagnostic feature of Anti_Casta; the anti-collectivist critique of "justicia social" that opens the passage is subordinate to, and resolves in, this caste indictment, so Anti_Casta is the dominant code per the overcoding test.</t>
  </si>
  <si>
    <t>Yo no soy político ni aspiro a hacerlo. Tal como el presidente Trump, tuve que meterme en este pantano putrefacto como acto de defensa propia y la gente me respaldó con su voto y lo sigue haciendo a diario, porque – finalmente – entendió, que no quiere volver a tener nada que ver con la política de la casta.</t>
  </si>
  <si>
    <t>Milei's explicit self-positioning against "la política de la casta" — entering politics "como acto de defensa propia" against a "pantano putrefacto" — is textbook Anti_Casta: the political class is framed as a class to be opposed and exited from public life, not merely a policy disagreement.</t>
  </si>
  <si>
    <t>A todas las particularidades propias, de la Argentina, que durante 100 años fue el perfecto laboratorio para experimentar con el virus socialista, se le suma – actualmente - una problemática común entre los demás países de Occidente: la hegemonía cultural de la izquierda, que intoxica a la gran mayoría de las instituciones y formadores de opinión. La izquierda ante el resentimiento y la frustración que generó en términos políticos el éxito del capitalismo, comenzó a librar una batalla cultural para apropiarse del sentido común de los ciudadanos y, hoy, ese virus se ha esparcido por todo Occidente.</t>
  </si>
  <si>
    <t>The "virus socialista"/"hegemonía cultural de la izquierda" framing, spreading from Argentina's hundred-year "laboratorio" to "todos los demás países de Occidente," generalizes anti-collectivist rhetoric to a transnational scale, with institutions and "formadores de opinión" cast as intoxicated. Anti_Socialism_Anti_Collectivism because the target is ideological content (socialism/left cultural hegemony) rather than a specific extractive elite (Anti_Casta) or an explicitly existential civilizational-survival claim (which would tip to Civilizational_Defense).</t>
  </si>
  <si>
    <t>Así, lograron corromper las instituciones; pervertir las causas nobles y justificar - bajo la falsa bandera de la igualdad - una expansión estatal ilimitada, creando una verdadera industria de los derechos. Este modelo cultural, que algunos llaman el virus woke, tiene una infinidad de consecuencias funestas. En el plano económico, si quieren saber cuáles son las consecuencias de este modelo, sólo miren, los últimos 100 años, de decadencia argentina. En el plano espiritual, valores esenciales - como el mérito, la ambición, la innovación y el optimismo - le han cedido lugar a la envidia, el resentimiento, el nihilismo y la indolencia. Sin embargo, a pesar de la hegemonía que han sabido construir, las ideas de izquierdas empiezan a resquebrajar.</t>
  </si>
  <si>
    <t>This passage restates the codebook's own worked Anti_Socialism_Anti_Collectivism example almost structurally: institutions are corrupted, noble causes ("causas nobles") are perverted, and "bajo la falsa bandera de la igualdad" an unlimited state expansion is justified — precisely the "appropriation and distortion of noble causes" to justify state expansion named in the Davos 2025 worked example. "El virus woke" is named explicitly as the vehicle for this expansion.</t>
  </si>
  <si>
    <t>Porque en todos lados hay una mayoría silenciosa o, más bien, silenciada, que ha comenzado a hacerse escuchar. A pesar de que los enemigos de la libertad se aferran al poder haciendo uso y abuso de la propaganda, la tergiversación y la censura. De un lado, se empiezan a amontonar todos los partidos políticos tradicionales, que se presentan como antagónicos, pero que - en el fondo - siempre fueron socios y beneficiarios de un mismo estatus quo. Junto a ellos se amontonan sus clientes, las corporaciones privilegiadas y todos aquellos que de alguna manera viven de los impuestos.</t>
  </si>
  <si>
    <t>The description of traditional political parties as "socios y beneficiarios de un mismo estatus quo," joined by "las corporaciones privilegiadas y todos aquellos que de alguna manera viven de los impuestos," is the parasite/producer distinction the codebook identifies as diagnostic of Anti_Casta ("vivir de lo que otros producen"/"viven de los impuestos") — an extractive coalition of political, corporate, and rent-seeking actors opposed to the productive citizenry.</t>
  </si>
  <si>
    <t>Sin embargo, no es la primera vez que el peligro nos acecha. 500 años antes de Cristo, en los albores de la cultura occidental, cientos de ciudades estados griegas formaron una liga para hacerle frente al despotismo persa. Como alguna vez hicieron los antiguos, creo que los que creemos en la libertad debemos unirnos para hacerle frente a esta barbarie y formar una alianza de naciones libres, custodios del legado occidental, estableciendo nuevos lazos políticos, pero también comerciales, culturales, diplomáticos y militares, donde CPAC en esto tiene un rol fundamental.</t>
  </si>
  <si>
    <t>The passage frames the present moment as recurring existential danger ("no es la primera vez que el peligro nos acecha"), drawing the Greek-alliance-against-Persian-despotism analogy to call for an "alianza de naciones libres, custodios del legado occidental" against "esta barbarie." The stakes are explicitly the survival of Western civilization rather than a specific policy or ideological critique, which is the diagnostic test for Civilizational_Defense over Anti_Socialism_Anti_Collectivism.</t>
  </si>
  <si>
    <t>Los Estados Unidos liderando en el norte; la Argentina en el sur; Italia en la vieja Europa e Israel, el centinela en la frontera, de Oriente Medio. Porque solo con la fuerza y la cooperación de las naciones libres puede haber una esperanza global de paz y prosperidad. Y porque no hay causa más noble que la causa, de Occidente, una línea histórica de la que todos nosotros somos herederos y que tenemos la responsabilidad de restaurar, en toda su gloria. Es la causa de los filósofos atenienses, que con Alejandro Magno cabalgó, a Egipto y a Asia, que los romanos consolidaron, en el primer imperio multicontinental; que renació de las invasiones bárbaras, en las abadías y las cortes de Carlomagno; que resistió a los árabes y reconquistó España; que cruzó el océano y colonizado América. La misma causa que nos convirtió en ciudadanos y nos liberó del yugo del tirano. La causa que descubrió el método científico, que industrializó el planeta y que - con el capitalismo de libre empresa - sacó de la miseria a miles de millones de seres humanos. Esa es la línea histórica que venimos a restaurar.</t>
  </si>
  <si>
    <t>The genealogy tracing "la causa de Occidente" from Athenian philosophy through Rome, Charlemagne, the Reconquista, and colonization to the scientific method and free-enterprise capitalism "que sacó de la miseria a miles de millones" is the fullest civilizational-lineage articulation in the speech, naming the US-Argentina-Italy-Israel alliance as its present-day custodians. Coded as Civilizational_Defense (continuing the register established in the preceding paragraph) rather than stacking a separate Market_Primacy code for the closing clause, since the passage's organizing logic is civilizational-historical rather than an economic argument in its own right.</t>
  </si>
  <si>
    <t>Siempre que se aplicaron estas ideas tuvo que ser a punta de pistola y levantando muros que le prohibieran a su población escaparse.</t>
  </si>
  <si>
    <t>Full central planning is equated outright with slavery ("una forma bonita de llamar a la esclavitud"), delivered to a G20 head-of-state audience as a categorical claim that any expansion of state economic presence trends toward this endpoint, rather than a claim about a specific policy failure.</t>
  </si>
  <si>
    <t>Cumbre De Lideres Del G20 – Intervencion</t>
  </si>
  <si>
    <t>2024-11-18</t>
  </si>
  <si>
    <t>Rio De Janeiro, Brasil</t>
  </si>
  <si>
    <t>De hecho, el incentivo del político implica no solucionar los problemas, sino perpetuarlos. Porque un problema solucionado es un lugar de donde el Estado debe retirarse.</t>
  </si>
  <si>
    <t>"El incentivo del político implica no solucionar los problemas, sino perpetuarlos" is a distinct public-choice-style claim from the preceding "state presence = slavery" instance — targeting the structural incentives of the political class itself (perpetuating rather than solving problems) rather than the consequences of central planning as such.</t>
  </si>
  <si>
    <t>Esto significa que nunca verán a nuestra administración defender propuestas que impliquen mayor presión fiscal, ni propuestas de desarrollo sostenible que prioricen caprichos de políticos con la panza llena en países ricos, cuando los países pobres necesitan explotar sus recursos para salir de la pobreza.</t>
  </si>
  <si>
    <t>Flagship passage.** Delivered to the G20 Leaders' Summit itself, this explicitly names and rejects "propuestas de desarrollo sostenible" as "caprichos de políticos con la panza llena en países ricos" that prevent poor countries from exploiting their resources to escape poverty — the clearest formal-diplomatic-setting instance in the corpus of sustainable-development framing being characterized as an ideological imposition harmful to developing-world interests, rather than engaged as an environmental or intergenerational-equity concern.</t>
  </si>
  <si>
    <t>Cualquier otra propuesta es hubris para confortar y financiar sociólogos mal formados y deshonestos. Y lo voy a repetir las veces que haga falta, y donde sea, porque tengo toda la historia de mi lado.</t>
  </si>
  <si>
    <t>"Hubris para confortar y financiar sociólogos mal formados y deshonestos" dismisses an entire academic discipline (sociology) as incompetent and dishonest, functioning as the epistemic complement to the preceding rejection of "desarrollo sostenible": the policy is rejected as ideological capricho, and the experts associated with alternative development frameworks are dismissed as unqualified.</t>
  </si>
  <si>
    <t>Desde barreras a la producción y el comercio, hasta mandatos de censura a la expresión libre, pasando por imposiciones culturales y condicionamientos en el acceso al mercado de crédito.</t>
  </si>
  <si>
    <t>Reframes the very concept of "gobernanza global" as definitionally illegitimate — "la etiqueta de este fracaso" — recasting the entire postwar multilateral cooperation architecture as a one-way imposition mechanism rather than voluntary cooperation, listing trade barriers, censorship mandates, cultural impositions, and credit-market conditionality as its instruments.</t>
  </si>
  <si>
    <t>Cumbre De Lideres Del G20 – Sesion Ii</t>
  </si>
  <si>
    <t>Si se trata de transgredir el derecho a propiedad de los individuos a través de impuestos y regulaciones, no cuenten con nosotros.</t>
  </si>
  <si>
    <t>"Transgredir el derecho a propiedad... a través de impuestos y regulaciones, no cuenten con nosotros" frames taxation and regulation generically — issued in a global-governance-reform context — as a transgression of property rights, positioning any internationally coordinated regulatory or tax standard as illegitimate by default.</t>
  </si>
  <si>
    <t>Si se trata de limitar el derecho de los países a explotar libremente sus recursos naturales, no cuenten con nosotros.</t>
  </si>
  <si>
    <t>Flagship passage.** The single most explicit rejection of environmental/resource-use limits in the entire corpus, delivered as a formal national position at a G20 summit: any international mechanism to limit a country's free exploitation of its natural resources is rejected outright and by name. This directly targets the kind of environmental/extraction limits that international climate and biodiversity frameworks propose, without ever naming "climate" explicitly — an instance of the "discursive infrastructure of climate obstruction" the codebook's scope note anticipates (D1.1's framing applies "regardless of whether formal commitments remain in place").</t>
  </si>
  <si>
    <t>Si se trata de inventar privilegios de sexo, de raza, de clase o cualquier minoría, y negar el principio de igualdad ante la ley, no cuenten con nosotros.</t>
  </si>
  <si>
    <t>"Inventar privilegios de sexo, de raza, de clase o cualquier minoría" bundles group-specific equity claims (the kind associated with DEI/identity-politics frameworks) into the same "no cuenten con nosotros" litany as the resource-sovereignty and property-rights rejections — folding cultural-backlash content into what is nominally a speech about international-institution reform.</t>
  </si>
  <si>
    <t>Ante organismos internacionales escleróticos, nosotros defendemos la soberanía de nuestras naciones; ante un sinfín de regulaciones que pretenden dictar cómo vivir cada ciudadano, nosotros queremos recuperar la libertad; frente al flagelo del crimen organizado, nosotros entendemos que la solución está en ser inclementes con el delito y apoyar a nuestra fuerza de seguridad en vez de excusar a los delincuentes como hacen otros, frente a la ideología de género - tan de moda, en Occidente, en la última década - abogamos por el respeto irrestricto del derecho a la vida y la defensa de la familia como elemento central de la sociedad. Y ante la enfermedad del alma, que es el virus woke, nosotros pedimos restaurar el sentido común y volver a los valores, que comparten la gran mayoría de los ciudadanos del mundo occidental, valores que - dicho sea de paso - en buena medida fueron forjados en la Antigua Roma.</t>
  </si>
  <si>
    <t>"Organismos internacionales escleróticos" delivered at a bilateral state-visit ceremony, paired with an explicit sovereignty defense — a compact restatement of the "gobernanza global" rejection developed at length two days earlier at the G20 (2024-11-18), here addressed to a fellow head-of-state rather than a multilateral summit.</t>
  </si>
  <si>
    <t>Declaracion Conjunta Con Giorgia Meloni (Italia)</t>
  </si>
  <si>
    <t>2024-11-20</t>
  </si>
  <si>
    <t>Buenos Aires (Casa Rosada)</t>
  </si>
  <si>
    <t>"Un sinfín de regulaciones que pretenden dictar cómo vivir cada ciudadano" is a generic but clean instance of regulation-as-illegitimate-control framing, distinct from the preceding international-institutions critique in targeting domestic-style regulation broadly.</t>
  </si>
  <si>
    <t>"Ante la enfermedad del alma, que es el virus woke" explicitly equates "woke" with the "enfermedad del alma" (disease of the soul) formulation used for socialism generally at the 2024-11-12 Endeavor Gala speech, here paired with "ideología de género" as a co-listed target — a direct, named fusion of gender ideology and "woke" into a single delegitimized cultural-political category.</t>
  </si>
  <si>
    <t>Por eso creo que Argentina tiene mucho que aprender de Israel. Durante mucho tiempo hemos despilfarrado los dones naturales que Dios nos ha dado, rehusándonos a explotar nuestras ventajas comparativas. Esto tuvo, como todos sabemos, consecuencias económicas deplorables para el país, pero curiosamente la misma incertidumbre y penuria económica constante que la casta política nos impuso durante décadas, forjó un pueblo sobreviviente, acostumbrado a hacer más con menos para sobrellevar la adversidad.</t>
  </si>
  <si>
    <t>"La misma incertidumbre y penuria económica constante que la casta política nos impuso durante décadas" is a brief, passing instance of the standard casta-blame framing, attributing decades of Argentine economic hardship to the political class as a causal agent.</t>
  </si>
  <si>
    <t>Encuentro Empresarial Argentina–Israel</t>
  </si>
  <si>
    <t>2024-11-21</t>
  </si>
  <si>
    <t>Tan sólo - la semana pasada - se supo que el jefe de la banda de “Los Monos” pidió 10 Hábeas Corpus para cambiarse de género y poder recibir visitas de hombres. Sólo en un país cuyos valores han sido profundamente trastocados puede permitirse semejante barbaridad.</t>
  </si>
  <si>
    <t>The Gender Identity Law prison-transfer passage frames the law itself — not merely its abuse by a specific criminal — as evidence that "los valores han sido profundamente trastocados," using a real case of exploitation to cast doubt on the legislation's underlying premise. This mirrors the "ideología de género" framing bundled with "virus woke" at the 2024-11-20 Meloni joint declaration, here applied to a specific piece of Argentine gender-identity legislation rather than the concept in the abstract.</t>
  </si>
  <si>
    <t>Entrega De Sables A Las Fuerzas De Seguridad</t>
  </si>
  <si>
    <t>2024-11-26</t>
  </si>
  <si>
    <t>No por nada a Galileo lo persiguió la Inquisición. La verdadera novedad siempre aparece primero como herejía. Pero no podemos ni debemos nunca permitir que el miedo nos paralice porque somos siempre las personas quienes les damos el uso a las herramientas. Un destornillador puede ser utilizado para construir o como un arma homicida, pero no por eso vamos a prohibir los destornilladores. Como decía Antonio Escohotado: “Seguiremos en las cavernas si hubiéramos tenido que conquistar el fuego”. Y hay dos alternativas éticas: obrar racionalmente u obrar irracionalmente. ¿Y qué es obras racionalmente? Permitirnos explorar los nuevos horizontes que nos abre la inteligencia artificial. Sin ir más lejos, yo le debo mucho a ella dado que gracias a las imágenes que creaban mis seguidores con inteligencia artificial, nuestro mensaje de libertad llegó a más personas y así ganamos las elecciones, con la campaña más austera de la historia de la humanidad. Literalmente, no teníamos un mango, así que todo dependía de lo que hacían nuestros seguidores en las redes.</t>
  </si>
  <si>
    <t>The Galileo/Inquisition analogy and the "screwdriver" argument (a tool's potential for misuse is not grounds for banning it) together build a general-purpose anti-regulation argument here applied to AI specifically — framing any regulatory response to new technology as reflexive statu quo defense rather than legitimate risk management.</t>
  </si>
  <si>
    <t>Apertura De La Semana De La Inteligencia Artificial</t>
  </si>
  <si>
    <t>2024-12-02</t>
  </si>
  <si>
    <t>Buenos Aires (Polo Cientifico)</t>
  </si>
  <si>
    <t>Y esos son simples generadores de imágenes, quién sabe las puertas que semejante poder de cómputo nos puede abrir, a nivel medicina, transporte, ingeniería, desarrollo energético, economía o en materia de salud, o al mismo nivel cotidiano, levante la mano quien no haya usado ChatGPT, en los últimos 30 días. Por otro lado, yo entiendo los riesgos que puede presentar esta tecnología en las manos incorrectas, no quisiera imaginar una inteligencia artificial súper poderosa en mano de un dictador comunista. Sin ir más lejos, fíjese el sesgo ideológico woke, que tiene muchas de las inteligencias artificiales más populares, pero eso nunca será motivo suficiente para frenar el progreso humano y cortar ese brote de cuajo, en un estadio tan primitivo. Sólo un alma pequeña puede pensar así, dejando de aspirar a lo mejor por temor a que ocurra lo peor. Si hay algo que abunda, en Argentina, son las almas grandes; para ponerlo simple, no hay que temer por lo que van a hacer lo malo porque los malos siempre van a estar y si ustedes restringen, a los malos no los van a restringir solamente van a restringir a los buenos, con lo cual todas esas medidas buenistas, que tratan de restringir cosas lo único que termina haciendo es favorecer a los malos; es decir, por querer cuidarse de los malos, terminan haciendo cosas que favorecen a los malos, como toda intervención estatal.</t>
  </si>
  <si>
    <t>"El sesgo ideológico woke, que tiene muchas de las inteligencias artificiales más populares" names "woke" bias as a real but insufficient reason to slow AI development — a distinctive application of the Woke_Bundling frame to a specific technology-sector claim (AI training-data/output bias) rather than media, culture, or law.</t>
  </si>
  <si>
    <t>Sin embargo, avanzaron sobre un terreno virgen [...] se nos metieron en las universidades, se metieron los medios de comunicación, se metieron en la cultura. Y como no tenían rival, ganaron la batalla cultural [...]</t>
  </si>
  <si>
    <t>"Se nos metieron en las universidades, se metieron los medios de comunicación, se metieron en la cultura" is the opening statement of the speech's central "we abandoned the field" narrative, naming universities first among the institutions the left is said to have captured during the post-Cold-War "fin de la historia" lull.</t>
  </si>
  <si>
    <t>Conferencia Politica De Accion Conservadora (Cpac Argentina)</t>
  </si>
  <si>
    <t>2024-12-05</t>
  </si>
  <si>
    <t>[... "year in review" achievement recap, año-de-gestión figures (repeat of fiscal/inflation data coded extensively elsewhere) ...] Como todos saben yo no soy político, de hecho, siempre desprecié a los políticos y cómo no iba a odiarlos. Es más, cómo no iba a odiar al Estado que es una herramienta de opresión.</t>
  </si>
  <si>
    <t>"El Estado que es una herramienta de opresión" is a compact categorical claim about the nature of the state itself, offered as self-evident grounds for hating it — consistent with, but more absolute than, the "el Estado no genera nada" formulations coded elsewhere.</t>
  </si>
  <si>
    <t>[...] sostener el modelo de la casta, un régimen de apartheid donde los políticos le roban el fruto de su trabajo a los argentinos de bien para repartirlo entre ellos, sus amigos y sus clientes [...]</t>
  </si>
  <si>
    <t>The "régimen de apartheid" formulation is a notably escalated metaphor for casta extraction — invoking a systemic, institutionalized-discrimination framing rather than the more common "mafia"/"parásitos" imagery used elsewhere in the corpus.</t>
  </si>
  <si>
    <t>[... "decálogo" points one and two: "decir una verdad incómoda," "profesionales de la política," Plaza Holanda anecdote — left uncoded as strategic/biographical narrative ...] el modelo de la casta es un esquema de extracción de riqueza de los políticos en perjuicio de la sociedad [...] No es casualidad que por lo general cuanto más votos tiene un proyecto de ley en el Congreso, peor es para la sociedad. Recuerden que en la pandemia se pusieron todos de acuerdo para encerrarnos [...]</t>
  </si>
  <si>
    <t>"Cuanto más votos tiene un proyecto de ley en el Congreso, peor es para la sociedad," illustrated with the pandemic lockdown consensus, proposes an inverse-relationship heuristic between legislative consensus and social benefit — a general-purpose argument for treating broadly-supported regulation as inherently suspect, distinct from Anti_Casta's focus on the political class as extractive agents.</t>
  </si>
  <si>
    <t>Noveno: la única forma de combatir al socialismo es desde la derecha, el extremo centro, sus posiciones y sus herramientas son siempre en todo lugar funcionales a la izquierda criminal [...] no nos interesa continuar con los famosos consensos de la política que no son más que pactos para seguir viviendo eternamente del pagador de impuestos [...]</t>
  </si>
  <si>
    <t>A second, distinct Anti_Casta instance: here the target is not the traditional left but the "extremo centro" — reframing cross-party "consensus" itself as a casta self-preservation pact ("pactos para seguir viviendo eternamente del pagador de impuestos") rather than legitimate democratic negotiation.</t>
  </si>
  <si>
    <t>[...] pero siempre son los primeros en apoyar el aborto, el ambientalismo radical, el feminismo radical y todas las agendas del socialismo globalista.</t>
  </si>
  <si>
    <t>Flagship passage — second explicit environmentalism mention in the corpus.** "El ambientalismo radical" is listed alongside abortion and "feminismo radical" as one of the "agendas del socialismo globalista" that the "extremo centro" reliably ends up endorsing. This is the clearest instance in the corpus of environmentalism being discursively bundled with other targets of the cultural-backlash frame — not engaged on its policy substance (unlike the G20 speeches' resource-sovereignty argument) but folded into a generic list of left-coded social-movement causes, delegitimized by association rather than argument.</t>
  </si>
  <si>
    <t>Estas son las 10 consignas políticas [...] Hoy nos encontramos ante un cambio de época donde el sistema global de casta privilegiada está colapsando. La enfermedad del alma woke está encontrando cada vez más resistencia [...] A pesar de haber redoblado sus esfuerzos totalitarios de censura y desinformación, todas sus victorias son pírricas. Cada triunfo del wokismo ha sido consecuencia de la imposición y ha alimentado el justo resentimiento de una sociedad que ha dicho basta, basta a los woke.</t>
  </si>
  <si>
    <t>A second, more developed Woke_Bundling instance closing the speech: "la enfermedad del alma woke" directly reapplies the "disease of the soul" formulation (previously used for socialism at the Endeavor Gala and for gender ideology at the Meloni declaration) specifically to "wokismo," now adding a "Pyrrhic victories... imposition, not genuine persuasion" argument — framing every apparent cultural win for the left as evidence of its underlying illegitimacy rather than success.</t>
  </si>
  <si>
    <t>Pero volviendo al eje central, durante muchos años en nuestro país desde el establishment educativo y cultural, apañado por la casta política, se divulgó una definición fantasiosa y sectaria de lo que representa un líder, reforzando un concepto que para nada se asemeja con la verdad. Para ellos los líderes son aquellos que dan discursos grandilocuentes ante las masas y cuáles héroes mitológicos bajan cada tanto del Olimpo para entregarle una bicicleta a un chico en una villa, donde ni siquiera tienen asfalto para poder disfrutarla. Yo propongo que adoptemos otra definición, el buen líder no es aquel que hace grandes obras por otros, sino que es aquel que inspira a los demás a valerse por sí mismo. Es una definición totalmente opuesta, lo cual tiene bastante sentido, venimos hundidos y contaminados de más de 100 años de socialismo en distintas variantes y distintos pelajes, pero que todo conduce siempre ahí y por lo tanto, esta es una definición más acorde a nuestro credo liberal. En este contexto el líder aparece ante la adversidad, para guiar al resto y demostrarles de lo que son capaces. Y esto no aplica solo a presidentes y a los dirigentes de las fuerzas políticas, también se pueden encontrar en las empresas tratando de que un proyecto sea exitoso; en los equipos de fútbol que buscan ascender o en los hospitales durante una cirugía de urgencia. Pongo el caso del ascenso porque como mi amigo Horacio Righi es de Chacarita, entonces era para motivarlo un poco y para que no se deprima. Pero bueno, lo que sí es claro, no les voy a estar hablando de todos estos ejemplos, ustedes tienen cientos de ejemplos muchísimos mejores que los que puedo dar yo. Pero sí hay algo que sí dejó claro la política, es que las formas de liderar ya no son las mismas que hace 20 y 40 o 100 años. Quedó comprobado en la última elección donde un candidato sin aparato, ni partido propio, logró imponerse ante los obstáculos de un sistema excluyente, diseñado para autopreservarse. Donde además dejó en evidencia a los profesionales de la política y el liderazgo, los que hacían las cosas como supuestamente debían hacerse, todos ellos fracasaron. Es más, tenían algunos candidatos que eran el candidato perfecto de lo que decía el manual que había que decir. Los dos terminaron muy mal. No voy a explayarme más porque sino empieza la parte oscura del discurso, lo voy a tratar de evitar. Voy a tratar de hacerlo más colorido.</t>
  </si>
  <si>
    <t>"El establishment educativo y cultural, apañado por la casta política, se divulgó una definición fantasiosa y sectaria de lo que representa un líder" attributes a specific conceptual claim (a paternalistic definition of leadership) to the educational/cultural establishment acting in concert with the political class — framing the institution's output as ideologically motivated distortion rather than legitimate pedagogical content.</t>
  </si>
  <si>
    <t>Encuentro De Los Lideres (El Cronista)</t>
  </si>
  <si>
    <t>Estamos sacando los colmillos de ese Estado voraz, del cuello de los argentinos, y - poco a poco - veremos que cada vez que un argentino, entre en un supermercado, descubrirá que puede comprar más cosas a un mejor precio y de mejor calidad. El fin del flagelo de la inflación trae múltiples beneficios: les permite a las personas saber que lo que van a cobrar, por su trabajo, va a tener un valor hoy y va a tener el mismo valor mañana; les permite a los empresarios saber que sus costos van a ser los mismos, hoy que dentro de un año. Esto genera que todos puedan enfocarse en ser más productivos, en lugar de tener que estar preocupado por la imprevisibilidad de los precios. Hoy, estamos frente a una inversión, de casi 50 millones de dólares, hecha por una empresa privada; hoy no venimos a aplaudir a un político que - en un acto patético - inaugura una obra con sobreprecios como consecuencia de su inutilidad o corrupción.</t>
  </si>
  <si>
    <t>"Sacando los colmillos de ese Estado voraz, del cuello de los argentinos" is a predatory-animal metaphor for the state (fangs at the throat) delivered at a commercial ribbon-cutting, framing routine fiscal/regulatory relief as literal liberation from a predator.</t>
  </si>
  <si>
    <t>Inauguracion Del Centro Comercial Coto</t>
  </si>
  <si>
    <t>Contrasting this private investment with the "acto patético" of a politician inaugurating an overpriced public work is a compact instance of the recurring casta/public-works-corruption framing, here used to elevate private commercial investment as morally superior to state infrastructure spending as such.</t>
  </si>
  <si>
    <t>Y si pudimos lograr todo lo que logramos con tanto en contra, imagínense cuánto más podemos lograr con viento a favor, imagínense cuánto más podemos lograr ahora, que hemos asentado las bases para el crecimiento y la libertad de los argentinos. Se vienen tiempos prósperos; se vienen tiempos libres; se vienen tiempos felices. Se terminó la época del chamanismo económico del control de precios, se acabó la época de los inventos nefastos - como la Ley de Góndolas - que terminó en góndolas vacías. Hoy, hasta un simio, en Argentina, entiende que eso termina mal, con perdón de los simios.</t>
  </si>
  <si>
    <t>"El chamanismo económico del control de precios... los inventos nefastos - como la Ley de Góndolas" frames a specific piece of shelf-space regulation (the 2020 Ley de Góndolas, which mandated retail shelf allocations for small/regional producers) as pseudo-magical thinking ("chamanismo") — a distinct, named regulatory target rather than a generic anti-regulation claim.</t>
  </si>
  <si>
    <t>A fines de los 80, con un mundo completamente fracturado, tras décadas de Guerra Fría y politización ideológica, el Mercosur surgió como una forma de buscar integrar los mercados, de nuestros países, eliminando aranceles, burocracias y dobles imposiciones fiscales y con el fin último de establecer una zona común de libre comercio. Lamentablemente - en simultáneo y producto de las ideas imperantes en la época, a nuestro juicio equivocadas, se propuso un sistema, de arancel externo común, para intentar proteger la industria de nuestros países, creyendo que eso traería un beneficio para nuestros ciudadanos. Lamentablemente, el camino al infierno está pavimentado de buenas intenciones y - como alguna vez ha señalado el profesor Huerta de Soto – “siempre que el Estado interviene, genera un resultado peor al que había, antes de que se entrometiera”. Por lo cual no es una sorpresa para un liberal - como yo - que el resultado de estas medidas haya sido el contrario al pretendido. El arancel externo común no sólo encareció la importación de bienes productivos, volviendo a nuestras industrias locales más caras y - en consecuencia - menos competitivas, sino que nos cerró innumerables vías comerciales. Por lo que sucede con el comercio es que funciona como una autopista de doble vía, para uno poder vender libremente debe estar dispuesto a comprar libremente también.</t>
  </si>
  <si>
    <t>Mercosur's common external tariff — a specific, named trade-policy instrument — is diagnosed via the Huerta de Soto "state intervention always makes things worse" maxim, framing protectionist regulation as definitionally self-defeating regardless of stated intent ("el camino al infierno está pavimentado de buenas intenciones").</t>
  </si>
  <si>
    <t>Lxv Cumbre Del Mercosur</t>
  </si>
  <si>
    <t>2024-12-06</t>
  </si>
  <si>
    <t>Montevideo, Uruguay</t>
  </si>
  <si>
    <t>Así como hemos aprendido de los errores del pasado - en materia fiscal y monetaria - tenemos que aprender de los errores del pasado en materia comercial también. Durante los últimos 20 años, nos hemos perdido la oportunidad de nuestras vidas, fuimos a contramano del mundo, durante el ciclo de mayor integración comercial de la historia global, que redundó en el mayor desarrollo de países emergentes jamás visto. Mientras el resto de planetas se expandía - gracias al comercio - nosotros le dijimos que no, a Estados Unidos, que ofrecía un acuerdo de libre comercio en todo el continente. Pero esa perorata disfrazada de nacionalismo le costó carísimo a nuestros ciudadanos. ¿Saben cuál es la única manera de defender el interés de nuestras naciones? Promoviendo el libre comercio, porque el libre comercio genera prosperidad. Porque como dijo Julio Argentino Roca, el más grande nacionalista de nuestra historia “el comercio sabe mejor que el Gobierno lo que a él le conviene. La verdadera política consiste, pues, en dejarle a las manos la más amplia libertad”.</t>
  </si>
  <si>
    <t>The Roca quote ("el comercio sabe mejor que el Gobierno lo que a él le conviene") is redeployed here — as at the 2024-11-12 Meta Day speech — to argue that free trade itself, not government trade policy, is the true expression of national interest, appropriating a historical "nationalist" figure's authority for a market-primacy argument.</t>
  </si>
  <si>
    <t>Creo que hablo por todos cuando digo que - desde hace tiempo - el Mercosur, tal como funciona hoy, nos trae más problemas que soluciones. Pero ahora voy a hablar por mí y por los 47 millones de argentinos, no como presidente pro tempore del bloque, sino como uno de sus integrantes. La Argentina ha sido destrozada por el chamanismo económico, de nuestros predecesores. Miren cualquier serie histórica argentina: tenemos el mismo PBI per cápita que en 2007; no generamos un solo puesto de trabajo - desde el sector privado - hace 10 años y tenemos 10 veces más pobres que hace 50 años. Es decir, necesitamos crecer y esto es de manera urgente. Necesitamos comercializar, de manera urgente. Necesitamos capitalizarnos, de manera urgente; necesitamos importar y exportar, de modo urgente a Paraguay, a Brasil, a Uruguay sí, pero también con el resto de la región y con todo el mundo.</t>
  </si>
  <si>
    <t>"La Argentina ha sido destrozada por el chamanismo económico, de nuestros predecesores" attributes decades of economic decline to past domestic governments specifically (distinct from this speech's separate critique of Mercosur's institutional design), reusing the "chamanismo económico" ("economic shamanism") framing applied to price controls at the same-day Coto Mar del Plata speech, here generalized to the whole of prior economic policy.</t>
  </si>
  <si>
    <t>Asuncion De La Presidencia Pro-Tempore Del Mercosur</t>
  </si>
  <si>
    <t>La única reflexión que voy a hacer - en términos de economía, estrictamente - es la que voy a hacer ahora y es que, básicamente, el crecimiento económico depende de las instituciones [...] cuando una sociedad abraza valores como la envidia, el odio, el resentimiento, el trato desigual frente a la ley o hasta el asesinato, que es lo que hace el socialismo, termina en una catástrofe siempre, inexorablemente porque va contra la naturaleza humana [...]</t>
  </si>
  <si>
    <t>Reapplies the "envidia, odio, resentimiento" moral-pathology formula (first developed at the 2024-11-12 Endeavor Gala's "enfermedad del alma" passage) within an institutions-and-growth economic framework, directly attributing socialism to murder ("hasta el asesinato") and framing it as contrary to human nature itself.</t>
  </si>
  <si>
    <t>Reconocimiento De La Asociacion De Dirigentes De Marketing</t>
  </si>
  <si>
    <t>Por eso, también, el formato de mi política internacional. Porque, si no entendemos la lucha civilizatoria que se está dando, no entendemos lo que está pasando en el resto del mundo [...] Por algo, digamos, el marxismo cultural y la izquierda se asocian, con el terrorismo, y atacan justamente a nuestra base civilizatoria, porque es la forma de destruir los valores, de Occidente.</t>
  </si>
  <si>
    <t>"El marxismo cultural y la izquierda se asocian, con el terrorismo, y atacan justamente a nuestra base civilizatoria" explicitly links cultural Marxism/the left with terrorism as complementary threats to Western civilization — a more explicit causal/associative claim than the more common abstract "Occidente" nostalgia passages, directly justifying Milei's foreign-policy alignment (Israel, US) as civilizational self-defense.</t>
  </si>
  <si>
    <t>[... Moses/Exodus narrative continuation ...] no hay tal cosa como un almuerzo gratis [...] Cada vez que el Estado dice que les va a regalar algo, les está quitando libertad. Por eso, yo soy anarcocapitalista porque odio al Estado, porque el Estado es una asociación criminal violenta, que vive de una fuente coactiva de ingresos, que son los impuestos. De hecho, ¿qué es la esclavitud? Un impuesto del 100%, que no es muy distinto de lo que es el comunismo.</t>
  </si>
  <si>
    <t>One of the corpus's most explicit anarcho-capitalist statements.** "El Estado es una asociación criminal violenta" is a categorical philosophical claim about the nature of the state as such (not a specific policy critique), paired with the equation "esclavitud = impuesto del 100%... no muy distinto de lo que es el comunismo" — collapsing taxation, slavery, and communism into a single continuum of coercion.</t>
  </si>
  <si>
    <t>Esto explica que periodistas, sindicatos, organizaciones sociales y políticos de todos los colores, que hasta hace poco se sacaban los ojos, se hayan unido en defensa del statu quo como si pertenecieran a un mismo partido: el partido del Estado. Ellos quieren vivir en su torre de marfil, en su paraíso ficticio [...] Llaman a sus privilegios "derechos adquiridos", casi como si fueran una especie de nobleza con derecho divino a vivir a costa de la sociedad.</t>
  </si>
  <si>
    <t>The Louis XV "après moi, le déluge" analogy is a distinctive historical framing not used elsewhere in the corpus, casting the political class's short-termism as literally pre-revolutionary aristocratic decadence — reinforced by the "torre de marfil"/"nobleza con derecho divino" imagery that follows, extending the "partido del Estado" concept into an explicit feudal-privilege register.</t>
  </si>
  <si>
    <t>Cadena Nacional – Primer Año De Gestion</t>
  </si>
  <si>
    <t>2024-12-10</t>
  </si>
  <si>
    <t>Por eso también eliminamos los cargos hereditarios en el Estado, que nos remitían a épocas coloniales de privilegios nobiliarios. Cerramos el INADI y el Ministerio de la Mujer, que eran aguantaderos de militantes y se utilizaban para perseguir a adversarios políticos.</t>
  </si>
  <si>
    <t>Framing the closure of INADI (the national anti-discrimination institute) and the Ministry of Women as eliminating "aguantaderos de militantes" used "para perseguir a adversarios políticos" recasts gender/anti-discrimination policy infrastructure as partisan political-persecution apparatus rather than legitimate state functions — a concrete institutional application of the broader anti-identity-politics frame.</t>
  </si>
  <si>
    <t>Como les digo, la cruzada desregulatoria de este gobierno nos ha puesto en el mapa mundial [...] porque el giro a la libertad y el optimismo tecnológico que está dando la Argentina contrasta con muchos países desarrollados, que cada día están más cerca de ser un infierno regulatorio.</t>
  </si>
  <si>
    <t>"Muchos países desarrollados, que cada día están más cerca de ser un infierno regulatorio" frames developed-world regulatory frameworks generically (without naming any specific policy area, environmental or otherwise) as an approaching dystopia, contrasted against Argentina's deregulatory "optimismo tecnológico."</t>
  </si>
  <si>
    <t>[... "capas geológicas de organismos... niñera" nanny-state metaphor, 2025 reform-agenda list (tax, pension, labor, security, penal, political reforms), Thomas Jefferson "eternal vigilance" quote, closing "milagro argentino" framing — left uncoded as repetition and closing rhetorical flourish ...]</t>
  </si>
  <si>
    <t>"Nos hemos acostumbrado a pensar al Estado nacional como una niñera que se tiene que hacer cargo de todo, desde darle de comer hasta entretener a cada ciudadano" is a distinctive "nanny state" formulation, paired with "capas geológicas de organismos y funciones estatales injustificadas" — framing state accretion as literal sedimentary buildup requiring excavation ("motosierra profunda").</t>
  </si>
  <si>
    <t>Por otro lado, en el mercado de bienes se determinaba el poder adquisitivo del dinero, de modo tal que cuando la oferta de dinero aumenta, el poder adquisitivo del dinero cae, es decir que todos los precios expresados en unidades monetarias suben. Este marco analítico tenía defectos metodológicos, pero conceptualmente está claro, la idea de determinar el mercado de bienes, la tasa de interés real o tasa interés vixeliana y pensar la tasa de interés como un mecanismo de coordinación intertemporal y no esa aberración de determinar en el mercado de dinero, que es lo que hizo Keynes. Pero al margen de eso, te queda el problema que se llamaba la dicotomía inválida y eso surgía de que las funciones de exceso de demanda en el mercado de bienes eran homogéneas de grado cero y la teoría cuantitativa homogénea grado uno y, por lo tanto, eso generaba problemas. Un problema que fue resuelto por Mises incorporando el dinero en la función de utilidad y derivando la demanda de dinero bajo el formato de otro bien más. Entonces, cuando uno tiene un exceso. Entonces, si ustedes tienen un Banco Central bajando la tasa de interés artificialmente, eso genera un exceso de demanda en el mercado de bienes, la contraparte es un exceso de oferta en el mercado de dinero y por ende el poder adquisitivo del dinero cae y por eso es lo que genera la suba de precios y si ustedes hacen esto sistemáticamente generar inflación. O pueden generar ciclos de “boom and busts”, estimula la actividad y después cuando como eso se genera artificialmente vía la emisión de dinero en realidad no es genuino y entonces, cuando quieren materializar el consumo futuro no lo logra y consecuentemente hay un colapso del sistema que también el mismo es aparte de la contribución de Mises. Pero, más allá de esto, era el mecanismo, cómo funciona esto, lo que quiero focalizar. Porque Keynes, él venía de la matemática y era un gran matemático, y entonces entendía perfecto la estructura analítica. Entonces, lo que hizo Keynes fue destruir este marco analítico, creando una estructura matemática funcional a políticos mesiánicos, corruptos y ladrones. Es decir, él escribió una obra para esos delincuentes llamados políticos (...) la casta, exactamente. Entonces, en ese sentido, fíjense que lo primero que hace Keynes es romper la temporalidad en el mercado de bienes, él rompe el carácter intertemporal del mercado de bienes. Y lo primero que hace es armar una función de consumo que solamente depende del ingreso. Y genera esta monstruosidad llamada propensión marginal a consumir, y aparece el multiplicador, que básicamente es…, fíjense qué delirante, porque el multiplicador implica una violación de la restricción de presupuesto. Porque es la idea de la multiplicación de los panes. Es decir, supongan que ustedes tienen una economía que consume 80 e invierte 20. Quiere decir que el multiplicador les diría que cinco veces la inversión les da el PBI. Entonces, ¿qué era lo que dicen? Bueno, hagamos subir la inversión emitiendo dinero, entonces la inversión la pasamos de 20 a 40, entonces el PBI, en lugar de ser 100, es 200. Es mágico. Solo se trata de estar imprimiendo billetes, una cosa la verdad que delirante. Yo conozco un país que hizo eso durante más de 100 años, se llama Argentina. De ser uno de los países más ricos del mundo, se convirtió en un país de mitad de tabla. Destrozó cinco signos monetarios, tuvo dos hiperinflaciones, pero bueno, algo bueno tenía que haber después de semejante desastre. Era obvio que no eran condiciones normales de presión y temperatura y apareció un presidente liberal libertario. Por lo tanto, eso lo que hace es que ahora el consumo no es una función intertemporal y el ahorro se convierte en un residuo. Por ende, le quita relación a la tasa de interés con el ahorro, y el consumo solamente depende del ingreso. Al mismo tiempo, después destruye la idea de la inversión dependiendo de la tasa de interés. Si bien uno de los capítulos sobre la inversión es brillante, en el otro dice: "Bueno, todo eso no, ahora depende…". Yo uso en Argentina una expresión bastante grosera que es "invierte por una cuestión lírico-testicular, si se les cantan…". Ya saben. Por lo tanto, ahora la inversión deja de tener relación funcional con la tasa de interés y pasa a ser una cosa exógena, los famosos animal spirits. Fíjense que ahora ahorro e inversión no determinan la tasa de interés, sino que ahora ahorro e inversión determinan el ingreso. Y a partir de determinar el ingreso, determinan la demanda de trabajo. Lo cual en el otro sistema no tenía mucho sentido, porque todas esas funciones de exceso de demanda, de dónde salía ahorro e inversión, estaba incluido en el mercado de trabajo. Entonces, ¿qué es lo que implica? De ahí se deriva la demanda de trabajo, que depende de cómo va fluctuando la demanda agregada. Y dada la oferta, se determina el salario nominal. Entonces, pasamos a tener un mercado de bienes que ahora no determina la tasa de interés real, sino que determina el nivel de ingreso. Y, por otra parte, se crea el mercado de trabajo, donde se determina el salario nominal. Ahora, el problema es que ahora nos faltan dos cosas determinar: nos falta determinar el nivel de precios y nos falta determinar la tasa de interés. Entonces, una de las cosas que hace Keynes, digo ok entonces, tengo que determinar la tasa de interés y lo que hace es determinar la tasa de interés en el mercado monetario. Lo cual es una aberración, porque la tasa de interés tiene que ver con un mecanismo de coordinación intertemporal de cómo pasar consumo y producción del presente al futuro y viceversa. Es decir, la tasa de interés existe porque existe el tiempo. Entonces ahí Keynes pone la tasa de interés en el mercado monetario. Entonces, pasamos de un modelo donde se determinaba la tasa de interés en el mercado de bienes y el poder adquisitivo del dinero, es decir la inversa del nivel de precios en el mercado de dinero y ahora tenemos que en el mercado de bienes se determina el ingreso, en el mercado de dinero se determina la tasa de interés nominal y claro, al modelo le falta como determinar precios. Entonces, crea el mercado de trabajo como una función, una combinación lineal de lo que es el mercado de bienes y ahí determina el salario nominal y termina de destruir toda la teoría del valor diciendo que los precios son un marcaps sobre los costos, que en este caso sería el salario. Es decir, destruye toda la teoría subjetiva del valor creada por Menger, William Stanley Jevons y León Walras para volver al pasado. Con lo cual se destruye la teoría del valor y de esa manera crea una herramienta y aunque es maravillosa para los políticos, porque ustedes pueden gastar y en la medida que vas aumentando la demanda agregada, conforme ustedes no estén en pleno empleo el sistema hace que tengan una primera etapa donde crece el producto, una etapa donde crece el producto y crece el nivel de precios y una etapa donde directamente no hay efecto en cantidades y todo ese precio. Eso es básicamente lo que hace Keynes y es un mecanismo por el cual justifica la intervención pública, pero lo que tiene subyacente eso además es una violación de la restricción de presupuesto, que es el multiplicador. Por eso es tremendo que ustedes vayan al Parlamento, sí, van a la Cámara de Diputados y le hablen del multiplicador keynesiano. Es una ofensa intelectual porque es algo que viola las restricciones de presupuesto, pero bueno, son cosas que pasan entre el mundo de la política y la academia. Entonces, lo que tenemos es que Keynes destruye todo el marco analítico. Esto no es menor, porque hay un artículo que a mí me encanta, que es maravilloso, pero tiene un error. Es un artículo de Axel Leijonhuvfud, que se llama “The Wicksel Connection;, y básicamente lo que dice Wicksel es que el Keynes del Tratado sobre el dinero y está la Teoría General, y que …hay en el medio… hay una "teoría Z", y dice que, en realidad, desde el Tratado sobre el dinero, si uno agrega la preferencia por la liquidez y agrega el ajuste por cantidad, llega a la Teoría General. Y es más, en el mismo artículo dice que habría que hacer una "teoría Z", que sería que erradique la preferencia por la liquidez, porque era un mecanismo por el cual se invalidaba la acción de la política monetaria. Y entonces lo que dice es: Habría que ir a Treatise of money más ajuste de cantidades o Teoría General menos preferencias por la liquidez. Esa es la "teoría Z". Para mí eso es incorrecto, al margen de lo maravilloso que es el artículo para acomodar el debate, eso es incorrecto porque el marco analítico del Keynes del Treatise of money es totalmente distinto del de Keynes de la Teoría General. Ahora, una vez que ustedes tienen la Teoría General, después aparece Hicks en Inglaterra, muy a pesar mío un discípulo de Hayek, pero tuvo otros mucho mejores como Mick Jagger. Y después en Harvard aparece Hansen y dan lugar a lo que se conoce como la literatura trataba el modelo ISLM, que era un modelo que determina, en el mercado de bienes, el ingreso y determina, en el mercado de dinero, la tasa de interés nominal. Y que se hace una interpretación que, si bien Hicks en “Keynes and the Classics” hace el planteo del modelo de oferta y demanda agregada, el bloque de oferta no estaba correctamente especificado o de manera completa, por decirlo de alguna manera. Entonces, todo el debate se volcó en un debate entre lo que se llama la cruz keynesiana, que es una situación donde la inversión es absolutamente insensible a la tasa de interés y hay preferencia por la liquidez, por lo tanto, tienen una LM plana y una IS vertical; o el mundo clásico, que es la otra cruz, donde la demanda de dinero es una fracción del ingreso y, por lo tanto, no hay ningún rol para la política monetaria, y la LM es vertical, mientras que la inversión es absolutamente sensible a la tasa de interés, y por ende la IS plana. Es decir, eso es básicamente la discusión entre el modelo keynesiano extremo y la discusión entre el modelo clásico, donde en el modelo keynesiano extremo es poderosa la política fiscal y absolutamente inútil la política monetaria. Y en el caso clásico, la política fiscal es tremendamente dañina, porque causa un efecto crowding out, porque la expansión del gasto público genera suba en la tasa de interés, que tiene como contrapartida una caída de la inversión privada. Por lo tanto, el grado de productividad de la inversión privada suele ser sustancialmente más alta que la pública, sería mejor dejar las cosas en manos privadas. Mientras que, en materia de la política monetaria, esta es perfectamente efectiva, pero el problema es que eso después se manifiesta en un aumento de los precios. Entonces, había toda una discusión sobre las elasticidades y está toda la discusión del efecto Pigou, de modo tal que, lo que hace Pigou es tratar de rebatir el argumento de Keynes que solamente dependía del consumo, del ingreso y que también dependía de los saldos reales y que entonces ustedes podían impulsar la demanda inyectando dinero. Y así estaba el debate, estaba absolutamente empantanado hasta que vino un señor que se llamaba Milton Friedman y empezó a romper lo que hizo Keynes en la teoría general o si ustedes quieren reparar los daños que cometió Keynes. Entonces, ¿cuál es la primer gran contribución de Milton Friedman? y que es, de hecho, es uno de los considerando por los cuales le entregan el Nobel de economía. Es un libro que se llama, Una teoría sobre la función del consumo, donde desarrolla la hipótesis del ingreso permanente. Donde, cuando el ingreso sube de manera permanente, el consumo acompaña automáticamente el aumento del ingreso, por lo tanto, la propensión marginal tiende a ser uno y cuando ustedes tienen un aumento transitorio, como eso se va a repartir a lo largo de toda una situación intertemporal, entonces aumenta el ahorro y no tiene una traducción instantánea o plena sobre el nivel de ingreso. Por lo tanto, lo primero que hace ahí es devolverle la intertemporalidad a la función de consumo y al devolverle la intertemporalidad a la función de consumo, vuelve a tener un rol importante la tasa de interés en la determinación del consumo y por ende en el ahorro. Entonces, ahora ¿qué era lo que tenía que romper? Bueno, ahora lo que tenía que devolver era demostrar que la inversión era sensible a la tasa de interés. Por otra parte, contrarrestar esta idea de que la política monetaria no era efectiva, que había dejado la idea de la trampa de la liquidez y sobre lo que trabajaban los keynesianos para probar que la política monetaria no era efectiva, era por ejemplo, ese ejemplo ustedes pueden llevar al caballo hasta el lago a qué, pero si no toma agua, no toma agua, no lo pueden obligar a tomar agua. Entonces, dice: hay un límite para la tasa de interés, que es cero y por ende no pueden ir más allá y entonces no pueden forzar al caballo a tomar agua. Entonces, cosa que después cuando fue la crisis de 2008, ustedes llegaron a ver casos de tasas de interés negativas, pero eso es parte de otra discusión. Entonces Milton Friedman junto a Anna Jacobson Schwartz escribe un libro que se llama Historia monetaria de los Estados Unidos, y en el capítulo 7, que es la Gran Contracción del 29 al 33, demuestra básicamente dos cosas: Primero, que efectivamente la política monetaria no es que no era efectiva, era tremendamente efectiva, porque justamente la Gran Depresión ocurre por un mal manejo del Banco Central, o sea, de la Reserva Federal. Y ahí demuestra que, frente a un pánico bancario, lo que sucede es que la gente se asusta, salía de los bancos, que tenían un sistema de cambio fraccionario e iban a demandar dinero, eso generaba una caída también en la demanda de bienes y, por ende, generaba una situación de deflación. Entonces, apelando al efecto Fischer, automáticamente las deudas, en términos de ingresos, volaban y las empresas iban a la quiebra. Y al mismo tiempo, como los bancos toman plata a corto y prestan a largo, y se encuentran con una corrida de depósitos, tienen problemas de liquidez, entonces, dejan de dar créditos. Esto explica cómo ese accionar de la Reserva Federal frente a una corrida, en un sistema de encajes fraccionarios, es lo que generó verdaderamente el desastre. Y que cuando corrigió la política monetaria, el mundo, Estados Unidos, salió. Por lo tanto, lo que demuestra Keynes que la hipótesis de la trampa de la liquidez era solamente una trampa metodológica, una trampa matemática, para justamente generar esta idea de que la política monetaria no es efectiva y justificar la política fiscal. Al mismo tiempo, como la hipótesis del ingreso permanente le quita fuerza. Eso, además, después es perfeccionado por Barro en el paper del 74. Ustedes hacen política fiscal expansiva y los agentes descuentan los impuestos futuros, por lo tanto, deja de tener efecto la política fiscal. Pero no solo eso, sino que además muestra, dice, las inversiones no se toman en función de la tasa de interés nominal, se toman en función de la tasa de interés real. Y cuando ustedes toman la tasa de interés real, la tasa de interés real voló, por lo tanto, estuvo bien ese derrumbe en la inversión. Entonces ahí básicamente, lo que hace Friedman es devolver la temporalidad a la función de consumo y por ende a la función de ahorro. Le devuelve el valor de la intertemporalidad, o sea, el peso de la tasa de interés explicando la inversión. Y, además, demuestra también que la política monetaria es efectiva. Pero no alcanzaba con eso, porque estaba todavía cómo lidiar con el problema de la trampa de la liquidez, la relación entre la cantidad de dinero y el nivel de precios. Entonces, Milton Friedman hace los trabajos sobre la teoría cuantitativa y demuestra que la demanda de dinero es una función estable y siendo una función estable, cuando ustedes incrementan la cantidad de dinero, tienen un correlato en aumento de precios. De ahí que Friedman acuña esa famosa frase que dice: "La inflación es siempre y en todo lugar un fenómeno monetario". Yo la suelo complementar con una frase que dice: "Generado por un exceso de oferta de dinero, ya sea porque subió la oferta o porque cayó la demanda o pasaron las dos cosas a la vez y eso se traduce en una pérdida del poder adquisitivo del dinero, que implica que todos los precios expresados en unidades monetarias suben. Por lo tanto, en estos trabajos que estoy mencionando, ya sea la función de consumo, la historia monetaria y los trabajos en teoría cuantitativa, recompone ahorro inversión, determinando tasa de interés, la efectividad de la política monetaria y que en el mercado de dinero se determina básicamente el nivel de precios. Ahora, qué es lo que pasa, Milton Friedman no vivía en Marte, vivía en el planeta Tierra con unas bestias que discutían en término 10. Entonces, hace un trabajo de Milton Friedman maravilloso que se llama: El marco monetario de Milton Friedman. Y en ese contexto, ¿qué es lo que hace? Friedman va poniendo todos estos elementos en la construcción de lo que nosotros, en la literatura, si ustedes quieren Modigliani o si ustedes quieren Battiti, digamos, llamaban el modelo clásico y eso lo confronta contra el modelo keynesiano. Entonces, le dice a los keynesianos, se sintetiza toda la primera parte en una frase, ustedes keynesianos no tienen forma de determinar el nivel de precios, en el ISLM. Por lo cual, los keynesianos modelo Ford T son bastante más precarios que el propio Keynes. Yo creo que el propio Hicks se mataba de ver todo eso. De hecho, cuando le dieron el Nobel el 71 junto a Arrow, una de las cosas que dice Hicks, dice, me están dando el Nobel por una contribución que no me siento tan orgulloso, por el artículo Keynes &amp; The Classics, donde se desarrolla el ISLM. ISLM además, es la terminología de Hansen, porque él lo llamó ISLL. Como verán tengo una cuestión picky con los artículos y demás. Como verán soy un presidente bastante raro porque estoy hablando de teoría económica. Entonces, ahí lo que le dice el mundo acelerando la tasa de inflación, entonces le dicen los keynesianos: "Ustedes no pueden explicar esto, porque no tienen forma de determinar el nivel de precios”. O sea, toda la lógica de esa primera parte del libro es esa: ustedes no pueden explicar esto porque no tienen forma de determinar el nivel de precios, porque están determinando la tasa de interés nominal en el mercado de dinero y están determinando el ingreso en el mercado de bienes, y por ende no pueden determinar nada. Entonces, ahí aparece un señor llamado Philips y encuentra una relación entre la tasa de variación porcentual de los salarios nominales respecto del nivel de desempleo. Encuentra una relación negativa. A partir de eso, Richard Lipsey, en función de su hipótesis, que venía trabajando sobre el mercado de trabajo y en función de que Keynes mismo había dicho que los precios se determinaban como un mar que absorbe los costos - es decir Lipsey sí lo leyó a Keynes -, entonces eso hace que los precios sean una combinación lineal de los salarios y consecuentemente, ustedes pueden encontrar una relación entre la tasa de variación de precios y la tasa de desempleo. Y esa contribución es acompañada por una estimación empírica de Samuelson y Solow, donde testean la curva de Phillips y a partir de ahí se empiezan a hacer recomendaciones: Bueno, entonces, si yo quiero tener una tasa de desempleo más baja, me tengo que aguantar este nivel de inflación. Y el mundo andaba por ahí con esas cosas. Obviamente, que el señor Milton Friedman con eso estuvo bastante enojado - por no decir caliente - por unos cuantos años… Tema que él lo resuelve en el año 1968, en paralelo a Edmund Phelps, que, dicho sea de paso, me mandó un libro dedicado Edmund Phelps, dedicado al presidente Milei, por erradicar la inflación en Argentina. Y en ese contexto, Friedman escribe el artículo de economía más leído de la historia, que es El rol de la política monetaria. Y ahí es donde desarrolla la curva de Phillips aumentada por inflación. Es interesante porque después, si ustedes leen la segunda edición del libro Teoría de los precios, él le dedica un capítulo a la curva de Phillips. Y esto es muy importante. Esto les diría que, más allá de que cierra el debate sobre la curva de Phillips, lo más importante es que vuelve a los microfundamentos. ¿Cómo hace para derribar la curva de Phillips Milton Friedman? Esto es lo importante: vuelve a las bases clásicas, o sea, va y se mete con el mercado de trabajo. Entonces, en el mercado de trabajo ustedes tienen oferta y demanda de trabajo, que depende del salario real. Pero ¿qué es lo que pasa? Las expectativas en el modelo de Friedman son adaptativas, tiene que ver con lo que pasó con los precios antes. Entonces, ¿qué pasa? Si hoy cambia la política monetaria el Banco Central, las expectativas están formadas con precios viejos. Entonces, ¿qué es lo que pasa? Cambia la política monetaria el Banco Central, inyecta dinero, entonces la gente empieza a gastar más. Entonces, los empresarios, ¿que están viendo? Que sus perspectivas de negocios están mejorando, por lo tanto, ven los salarios reales cayendo. Y, por ende, ¿qué hacen? Salen a contratar más plata. Por otra parte, los trabajadores, que están mirando con las expectativas pasadas, con la vieja política monetaria, creen que sus salarios reales están subiendo. Entonces, transitoriamente, todos hacen transacciones fuera de equilibrio y, transitoriamente, aumenta el nivel de actividad económica. Por ende, cuando ustedes le dan rosca a la política monetaria, entonces baja la tasa de inflación. ¿Por qué? Porque las expectativas son adaptativas. Ahora, cuando los agentes ven que les erraron a las expectativas, vuelven para atrás y entonces la tasa de desempleo les queda en el nivel natural. Y ustedes van a un nivel de inflación más alto, donde, la contribución de Phelps, es la hipótesis, dice que si ustedes quieren mantener baja la tasa de desempleo sistemáticamente por debajo de la natural, tiene que estar todo el tiempo acelerando la tasa de inflación. Así terminó todo el mundo con un montón de inflación. Y en ese contexto, se termina el debate porque terminan venciendo los keynesianos en el último refugio que les quedaba. Y el que termina de rematar todo esto es, en el año 1972, Robert Lucas Jr., en un paper de The Journal of Economic Theory, donde, utilizando la hipótesis de Muth de las expectativas racionales aplicadas a la macroeconomía, termina demostrando que la curva de Phillips es vertical. Pero, mientras que el planteo de Friedman tenía un trade-off de corto plazo y no había trade-off de largo, en el caso de Robert Lucas, si los individuos conocían la política monetaria, automáticamente corregían y entonces no había trade-off ni siquiera de corto plazo. Y lo único que podía hacer el político, dado, digamos, la política monetaria, era hacer un cambio de régimen, engañar a los agentes transitoriamente, conseguir un efecto, pero que después se iba a diluir. Y lo que decía es que, dado que esa volatilidad tiene un impacto sobre la capacidad de respuesta de la oferta, conforme ustedes le pongan más volatilidad, la oferta cada vez responde menos. Y esto Robert Lucas Jr. lo termina de cerrar en el año 73, cuando hace la validación empírica de la curva de Philips, bajo expectativas racionales. Que también nos genera un debate sobre reglas y discreción, donde claramente es mejor la política de reglas. Y de hecho en eso también había hecho un aporte Friedman poniéndose del lado de las reglas. Entonces, desde mi punto de vista, la obra de Friedman, en el plano académico, tenemos la recuperación de la intertemporalidad en el consumo, en el ahorro, la recuperación de la función de inversión, el poder de la política monetaria, la naturaleza monetaria de la inflación, el valor de las reglas y el retorno a los microfundamentos. Y esto del retorno a los microfundamentos y la intertemporalidad, hace que Robert Lucas Jr. dice, a ver ¿qué estamos discutiendo? Porque la verdad que nos pasamos casi 30 años discutiendo estupideces, o casi 40 años discutiendo estupideces, 37 años. Entonces, ¿qué es lo que estamos haciendo? Entonces, con el retorno a los microfundamentos y la intertemporalidad, Robert Lucas Jr. se pregunta: bueno, a ver, paremos la pelota y ¿de qué queremos hablar cuando hablamos de economía? Entonces, ¿qué hizo? Volvió a las fuentes, volvió a Adam Smith. Si bien hay tres libros de Adam Smith, uno que tiene artículos que quedaron ahí dando vueltas, que fueron compilados después de muerto. Adam Smith; tiene La teoría de los sentimientos morales; y tiene La investigación sobre la naturaleza y la causa de la riqueza de las naciones, más conocida como La riqueza de las naciones, para los amigos. Entonces, en ese contexto, dice ¿qué era lo que quería explicar Adam Smith? El crecimiento económico. Y entonces empieza a explorar el crecimiento económico. Entonces, ¿qué es lo que pasa? Se encuentra con el modelo de Solow y los problemas empíricos que tenía el modelo de Solow, que solamente explicaba el 15% del crecimiento y, por lo tanto, todo lo demás era residuo. Obviamente, que Robert Lucas Jr. no iba ir a ocuparse demasiado por los modelos de Harrod y Domar, obviamente… Entonces, en ese contexto empieza a explorar otros casos como lo que había hecho digamos Arrow con el tema del Learning by Doing, había un problema porque los modelos no convergían tenían determinados problemas y toda esa discusión. Entonces fue y se revalorizó de vuelta el modelo de Ramsey, pero el modelo de Ramsey arreglaba el problema de la eficiencia dinámica, pero no podía generar crecimiento sostenido de largo plazo una vez llegado el estado estacionario. Entonces, era un modelo de crecimiento que no explicaba el crecimiento. Y que todo el crecimiento venía dado por afuera, entonces era como todo un problema y entonces, ahí en los en los años 80, un señor, un matemático decide ir a estudiar a la universidad de Chicago y su tutor de tesis es Robert Lucas Junior, el señor Paul Rober, después Premio Nobel de economía, es el que desarrolla los modelos de crecimiento endógeno. Y a partir de ahí, Lucas populariza esa idea del crecimiento endógeno en las lecturas de Lionel Robbins del año 85 y a partir de ahí, aparece toda la nueva macroeconomía del formato intertemporal, con todos los modelos de crecimiento endógeno y que eso culmina en la teoría de los ciclos reales, que era una teoría profundamente interesante. Ustedes dirán ¿y qué tenés de la teoría de los ciclos reales? y miren, yo le voy a dar algunas aplicaciones, la primera es que cuando llegué estábamos al borde de una hiperinflación y la única forma que teníamos de cortar la inflación era cortando el crecimiento de la cantidad de dinero y para eso tuvimos que hacer un ajuste fiscal y un saneamiento del balance del Banco Central, teníamos un déficit consolidado de 15 puntos del PBI, 5 en el tesoro y 10 en el Banco Central. Y decidimos emprender el ajuste fiscal más grande de la historia de la humanidad, con un ajuste de 15 puntos del PBI que se concretó en el lapso de 6 meses y la inflación mayorista que venía al 54 mensual, que implica 17,000 anual, el último dato disponible fue del 1,2%, es decir que bajamos la inflación del 17000 al 15 anual. Así que como verán, creo en la naturaleza monetaria de la inflación, pero por otra parte y ya más en mi espíritu austríaco, sí. Porque a partir del año 2014 me convertí en un devoto cuasi fanático fundamentalista de la escuela austríaca, a punto tal que no solo me enamoré de Mises, de Hayek, sino que me enamoré Rothbard y me hice anarquista. Por ende, soy anarcocapitalista, con lo cual además desprecio el Estado y estoy adentro del Estado para romperlo todo, para achicarlo. De hecho, tengo un ministerio que es el Ministerio de la Desregulación. Hicimos una reforma estructural que es 8 veces más grande que la que hizo Menem y había sido la más grande de la historia. Hicimos 800 reformas estructurales. Todos los días mi ministro de Desregulación, un economista brillante y excelente ser humano como es Federico Sturzenegger, todos los días desregula algo. Les voy a contar una anécdota muy divertida. Estaba en una reunión bilateral del G20 con Modi de la India. Entonces le digo: "No, bueno, yo lo tengo acá a mi ministro de la felicidad". Porque es...Mi ministro de economía corta cosas, es el de La Motosierra. Adoro a mi ministro de economía. Además, fue elegido el mejor ministro de economía del mundo, un crack Toto Caputo. Y por otro lado lo tengo a Sturzenegger que también me da mucha felicidad cuando desregular. Entonces, en general, uno ve entre 1 y 5 desregulaciones por día, y yo ese día dije cuatro. Yo creo que por educación Federico no me dijo nada porque creo que si me hubiera marcado el error hubiera sido tremendo porque no había sacado 4 regulaciones, había sacado 44. Yo creo que o saltaba y le daba un abrazo de gol fanático o, alternativamente, me hubiera puesto a bailar arriba de la mesa. Quitó 44 regulaciones que impactaban sobre precios, una cosa maravillosa. No podría haberlo resistido. La reunión se hubiera dinamitado. Parece que estuviera exagerando, pero aquellos que me conocen de verdad saben que, frente a un shock de esas características, me puedo poner muy eufórico. O hubiera terminado rápido la reunión y me hubiera ido a festejar con Sturzenegger tanta productividad. Por lo tanto, esto también es único en la historia de las democracias modernas. Nosotros el año que viene tenemos año electoral y nosotros entramos al año que viene con el compromiso del déficit cero. De que, si hay crecimiento y es permanente, bajamos los impuestos. Y, además, emisión cero. Es decir, sin política fiscal y sin política monetaria activa. Díganme si eso no es creer real business cycles. Y para finalizar, el día 10, el día que hice el discurso, tuve la suerte de hablar con un muy prestigioso economista argentino que se llama Juan Pablo Nicolini, que trabaja en la Reserva Federal de Minneapolis. Me contó sobre un trabajo que hizo él que determinaba a cuánto puede crecer la economía argentina a partir del equilibrio presupuestario. Nosotros tenemos equilibrio en la línea financiera: pagamos el gasto operativo y pagamos los intereses. En ese sentido, el trabajo solamente mira el impacto sobre la tasa de crecimiento del PBI per cápita del equilibrio fiscal, y solo con el equilibrio fiscal Argentina se asegura, acorde a un trabajo de Robert Lucas Jr., un crecimiento del 4,5% por año. En cerca de 10 años, Argentina va a hacer que su PBI crezca por lo menos un 50%. Y, como hablábamos con el doctor Nicolini, eso es un piso. Eso es un piso porque nosotros alcanzamos el equilibrio fiscal achicando el Estado. En la medida en que tengamos crecimiento económico, vamos a bajar los impuestos, vamos a quitar al Estado del medio y le vamos a dar más libertad a la gente. Eso va a generar, además, más crecimiento. De hecho, la reforma estructural que hicimos nos permitió saltar cerca de 70 puestos en términos de libertad económica: de estar entre los peores y más impresentables del mundo, hoy estamos en el pelotón medio. Y todavía me quedan 3.200 reformas estructurales en el bolsillo. Por lo tanto, voy a hacer de Argentina, además, el país más libre del mundo. Algo que, cuando Irlanda lo hizo durante 30 años, lo convirtió en el país más rico del mundo. No más rico, pero tiene un PBI per cápita 50% mayor que el de Estados Unidos. Pero no solo eso, sino que, además, si ustedes contemplan todas las reformas estructurales que estamos metiendo, seguramente Argentina va a crecer mucho más que ese 4,5%. Y eso hará que, si seguimos aferrados a las ideas de la libertad y defendiendo esas ideas, nosotros haremos a la Argentina grande nuevamente. Vamos a hacer nuevamente que la Argentina sea una potencia y vamos a ser un testimonio para todo el mundo de que lo que realmente funciona son las ideas de la libertad. ¡Viva la Libertad, Carajo!</t>
  </si>
  <si>
    <t>A distinctive instance in which the target is not a living technocrat but Keynes himself — one of the discipline's foundational figures — recast as morally complicit ("trabajaba para los malos... era parte del mal") in producing an analytical apparatus custom-built to serve "políticos mesiánicos, corruptos y ladrones... la casta." This frames a specific, technically-argued theoretical disagreement (over the multiplier, liquidity preference, etc.) with an ad hominem moral verdict on the theorist's motives.</t>
  </si>
  <si>
    <t>Premio Internacional "Milton Friedman"</t>
  </si>
  <si>
    <t>2024-12-14</t>
  </si>
  <si>
    <t>Roma, Italia</t>
  </si>
  <si>
    <t>"Desprecio el Estado y estoy adentro del Estado para romperlo todo, para achicarlo" is among the most direct first-person statements of anarcho-capitalist intent in the corpus — not a policy critique but an avowed personal mission to dismantle the state from within, delivered at a formal academic-prize ceremony.</t>
  </si>
  <si>
    <t>Quiero referirme ahora al momento histórico que estamos atravesando como país, porque carga nuestras acciones y compromisos de un significado especial. Por demasiado tiempo, la casta política les impuso a todos los argentinos una realidad miserable que, con esfuerzo, hemos comenzado a revertir a lo largo de este año. Pero otro de los legados nefastos de la casta ha sido fracturar la relación entre la política y nuestras queridas Fuerzas Armadas. Durante décadas, los mismos que se llenaban la boca hablando de soberanía se dedicaron a desprestigiar y diferenciar a nuestras fuerzas, y eso nos hizo perder años valiosos en el desarrollo de nuestras capacidades militares. Pero, por suerte, no lograron destruir lo más valioso de todo, que es el afecto persistente que tiene la sociedad por las Fuerzas Armadas argentinas.</t>
  </si>
  <si>
    <t>"Los mismos que se llenaban la boca hablando de soberanía se dedicaron a desprestigiar y diferenciar a nuestras fuerzas" accuses the political class of institutional hypocrisy — invoking sovereignty rhetoric while deliberately undermining the armed forces — applying the Anti_Casta frame to a specific institutional grievance (military prestige) distinct from its more common economic targets.</t>
  </si>
  <si>
    <t>Entrega De Sables Y Medallas En Egreso De Oficiales De Las Tres Fuerzas Militares</t>
  </si>
  <si>
    <t>2024-12-17</t>
  </si>
  <si>
    <t>Buenos Aires (Colegio Militar)</t>
  </si>
  <si>
    <t>Y dentro de las cosas que hicimos - en ese momento - bajamos la cantidad de ministerios a 9; eliminamos secretarías, subsecretarías; eliminamos determinadas oficinas estatales, oficinas que, por ejemplo, se utilizaban para perseguir a opositores ideológicos. Es decir, para perseguir a liberales concretamente - como eran el Ministerio de la Mujer o el INADI - donde cada vez que uno expresaba las ideas de la libertad, le cargaban una denuncia por discurso de odio. Es decir, para ellos odio es decir que dos más dos son cuatro. Y, en ese sentido, también eliminamos la obra pública, una fuente de corrupción gigante en la historia argentina; eliminamos también las transferencias discrecionales a provincias; eliminamos subsidios, no sólo que, además, eliminamos los subsidios, sino que, además, echamos empleados públicos; dimos de baja cientos de miles de contratos y todavía hay caraduras que dicen que esto era mucha licuadora y tijerita, que el ajuste lo pagó la gente y no la casta. Es más, cierto caradura, días atrás, dijo que el ajuste lo habían pagado los jubilados.</t>
  </si>
  <si>
    <t>A restatement of the INADI/Ministerio de la Mujer closure argument coded at the 2024-12-10 cadena nacional speech, with a new closing formulation — "para ellos odio es decir que dos más dos son cuatro" — framing hate-speech complaints against liberals as definitionally absurd, equating ideological disagreement with objective mathematical fact.</t>
  </si>
  <si>
    <t>Inauguracion De La Nueva Sede De La Bolsa De Comercio De Cordoba</t>
  </si>
  <si>
    <t>2024-12-20</t>
  </si>
  <si>
    <t>Naturalmente, devolverles la libertad a los argentinos no es una empresa exenta de costos y riesgos, porque implica necesariamente quitarle privilegios y beneficios a la política, a sus amigos y a los clientes. Por eso nos propusimos un ajuste inclemente sobre el gasto público y esto se ve reflejado en todas las agencias gubernamentales. Videos más visto en el mundo es, adivinen cuál, ¡afuera!. De hecho, nosotros la cantidad de ministerios que estaban en 18 la llevamos a 8. Eliminamos secretarías, subsecretarías, direcciones, eliminamos organismos que se dedicaban, por ejemplo, a perseguir ideológicamente aquellos que no comulgaban con la izquierda, como por ejemplo el Ministerio de la Mujer, o el Inadi. Porque si quieren terminar verdaderamente con los femicidios, no se arregla con cancioncitas y pañuelitos, se arreglan aplicando la ley.</t>
  </si>
  <si>
    <t>"No se arregla con cancioncitas y pañuelitos, se arreglan aplicando la ley" is a distinctively dismissive formulation — "pañuelitos" evokes the green handkerchief (pañuelo verde) symbol of Argentina's feminist/reproductive-rights movement — reducing feminist advocacy against femicide to empty symbolism, contrasted against law-and-order enforcement as the only legitimate response.</t>
  </si>
  <si>
    <t>Cena Anual De La Fundacion Federalismo Y Libertad</t>
  </si>
  <si>
    <t>Y es por esto que es primordial que las ideas puedan seguir teniendo estos espacios abocados a restituir el sentido común, que de común hoy parece ya no tener nada. Porque la izquierda, después de tantos años de ostentar el poder, desarrolló un arsenal de propaganda desde el cual socava nuestras ideas, pero nuestras ideas triunfan incluso con mala prensa, triunfan incluso cuando se emiten 13 puntos del PBI para destruirla, triunfan incluso cuando intentan callarnos con leyes ridículas para controlar nuestra libertad de expresión, triunfan cuando nos pretenden encerrar en nuestras casas por la fuerza, triunfa cuando levantan muros para someternos a su régimen, triunfan en cada ciudadano de pie que le responde un periodista en redes que están mintiendo, triunfa en cada emprendedor que busca evadir la burocracia que le imponen para subyugarlo. Porque nuestras ideas responden al espíritu alegre y pujante de nuestra humanidad y las de ellos responden a las tristezas de almas pequeñas que quieren controlar y someter al otro para sentirse superiores y la alegría a la larga siempre se impone sobre la tristeza. No por nada, no por nada, mis protectores de pantalla hace muchos años, dicen ANTF, la alegría no tiene fin. Obviamente, si uno es liberal la alegría no tiene fin, porque entiende cómo funciona el mundo y cuando uno entiende cómo funciona el mundo, se vuelve feliz. El liberalismo es un camino a la felicidad, además. Además, vieron cómo es la vida de los socialistas, es horrible. Pero bueno, ellos se basan en la envidia, en el odio, en el resentimiento, en el trato desigual frente a la ley, en el asesinato. Por eso tienen vidas grises Es más son tan basuras, son tan inmundos, son tan repugnantes que se apenan y lamentan que nos vaya bien. Lloran porque la inflación baja, lloran porque el PBI sube, llora porque suben los salarios reales, lloran porque baja la pobreza y porque mejoran las condiciones de vida de los argentinos, porque las ideas de mierda que tienen están perdiendo.</t>
  </si>
  <si>
    <t>Escalated flagship instance.** This passage develops the recurring "envidia, odio, resentimiento" psychopathology formula (first established at the 2024-11-12 Endeavor Gala) into overtly dehumanizing language — "basuras," "inmundos," "repugnantes" — applied to socialists as a category of people rather than to socialism as a doctrine, marking a notable escalation in personal/moral degradation beyond the more common "enfermedad del alma" framing.</t>
  </si>
  <si>
    <t>Pero mientras se abren este y otros nuevos caminos en el incansable avance tecnológico, hoy se da a la par un fenómeno peculiar: muchas de las naciones libres que han estado siempre a la vanguardia del desarrollo tecnológico hoy le temen a la innovación y castigan con impuestos y regulaciones al sector tecnológico, que si tiene el coraje de asumir los riesgos necesarios para seguir promoviendo el progreso de la especie humana. En este sentido, la Argentina gira a contramano de esa parte del mundo libre. Porque mientras otros se vuelven pesados en regulaciones e imposiciones injustificadas, nosotros quitamos las regulaciones que desde hace décadas atan de las manos a nuestro pueblo e invitamos a los grandes capitales del mundo a cooperar con la Argentina. El sector tecnológico es el mejor ejemplo de esta dinámica. El liderazgo occidental padece hoy una enfermedad del alma: han perdido la fe y el optimismo en el desarrollo tecnológico, la fe en el sector privado y la fe en la libertad que le corresponde por derecho natural.</t>
  </si>
  <si>
    <t>"Naciones libres... hoy le temen a la innovación y castigan con impuestos y regulaciones al sector tecnológico" generalizes technology-sector regulation across the developed world as fear-driven rather than considered policy, reusing the "enfermedad del alma" formula (previously applied to socialism, gender ideology, and "wokismo") to characterize Western regulatory caution itself as a spiritual/civilizational affliction.</t>
  </si>
  <si>
    <t>Anuncios En Materia Nuclear (Plan Nuclear Argentino)</t>
  </si>
  <si>
    <t>2024-12-21</t>
  </si>
  <si>
    <t>Y también tenemos tierras inhóspitas a baja temperatura en toda nuestra Patagonia, lo cual, es una ventaja comparativa para montar servidores de Inteligencia artificial. Además, contamos con un último diferencial, nuestras abundantes reservas de energía que son necesarias para abastecer cualquier desarrollo de Inteligencia artificial. Pero el potencial de desarrollo en inteligencia artificial es tan inmenso que con la energía convencional no va a alcanzar para abastecer esta nueva demanda, por eso estamos convencidos que se va a generar en el mundo entero un resurgimiento de la energía nuclear, porque a pesar de las incontables campañas de desprestigio que algunas fundaciones internacionales han montado, la energía nuclear es la única fuente lo suficientemente eficiente abundante y rápidamente escalable para hacerle frente al desarrollo de nuestra civilización.</t>
  </si>
  <si>
    <t>Flagship passage.** "A pesar de las incontables campañas de desprestigio que algunas fundaciones internacionales han montado" attributes decades of anti-nuclear skepticism — historically driven substantially by environmental organizations — to a coordinated, illegitimate "smear campaign" rather than genuine safety, waste-disposal, or proliferation concerns. This is a distinctive variant of the corpus's anti-environmentalist framing: rather than dismissing environmentalism as ideologically motivated in the abstract (as at Fundación Faro or CPAC), it makes a specific, falsifiable-sounding claim that named-but-unspecified international foundations have deliberately misled the public about a particular energy technology — reframing the debate as one of disinformation rather than legitimate risk assessment.</t>
  </si>
  <si>
    <t>Para quienes no me conocen, yo soy un economista que ha sido honrado con la tarea de conducir los destinos de mi país. Durante toda mi vida he sido un amante de la teoría económica. Y los hechos, la teoría y mi propia historia me han llevado a abrazar las ideas de la Escuela Austríaca de Economía y, en especial, las ideas de la libertad. Como tal, mi compromiso con las ideas de la libertad, es decir, con la defensa del derecho a la vida, a la libertad y a la propiedad, es inclaudicable. Y producto de haber vivido la mayor parte de mi vida adulta en un país consumido por el socialismo, ser honrado con esta distinción me llena de orgullo. He dicho ya, en otras oportunidades, que el socialismo es una enfermedad del alma, que ataca y corroe al ser humano en sus valores fundamentales y si no se enfrenta a tiempo puede llevar a la miseria como ha ocurrido en mi país. Sin embargo, las mayorías silenciosas están despertando, y producto de ello el curso de la historia está cambiando.</t>
  </si>
  <si>
    <t>Reprises the "enfermedad del alma" formula (established at the 2024-11-12 Endeavor Gala) as the speech's organizing frame for its reform doctrine, delivered to a US audience during Trump's inauguration week as the intellectual foundation for the "no gradualism / no consensus with the enemy" argument that follows.</t>
  </si>
  <si>
    <t>Gala Inaugural Hispanica – Premio Lws "Titan De La Reforma Economica"</t>
  </si>
  <si>
    <t>2025-01-18</t>
  </si>
  <si>
    <t>Cuarto punto. Y sobre todo, muy importante a nivel global: achicar el Estado. La idea que les quiero dejar es que reformar el Estado implica devolverle el poder que le fue quitado a la ciudadanía. Y la única forma de hacerlo es achicando el Estado. No hay otra. Lo digo en respuesta a quienes abogan por un Estado grande pero eficiente. Sé que puede sonar lindo o bienintencionado, pero créanme que cuando un político les dice que quiere un Estado eficiente, está abogando por mejores mecanismos para robarles la riqueza a los ciudadanos. El único Estado aceptable es el más chico posible, para devolverle al pagador de impuestos lo que es suyo y terminar con la venta de favores. No hay mejor método que eliminar la burocracia estatal para que no exista la posibilidad de vender esos favores. La vida de la gente no puede estar sometida al criterio de un burócrata detrás de un mostrador. La desregulación es el único camino exitoso, es el camino de la motosierra. Porque un Estado que se arroga tareas que no le competen termina por incumplir sus responsabilidades básicas. Como decía Murray Newton Rothbard, el inventor del anarcocapitalismo: “Cuanto mayor sea el tamaño del Estado, menos recursos se utilizarán para satisfacer los deseos de los consumidores que han contribuido a la producción, y más recursos se utilizaran para satisfacer los deseos de los consumidores que no producen”. O sea, los parásitos. Los amigos de los políticos.</t>
  </si>
  <si>
    <t>"Cuando un político les dice que quiere un Estado eficiente, está abogando por mejores mecanismos para robarles la riqueza" reframes even the moderate, seemingly reasonable position of "efficient government" as covert theft — a rhetorical move that forecloses any minarchist middle ground, reinforced by the Rothbard quote's explicit "parásitos" framing of state beneficiaries.</t>
  </si>
  <si>
    <t>¿Y qué es el costo argentino? Es una hidra mitológica de muchas cabezas nacida al calor de las regulaciones que generan costos que hacen imposible la generación de riqueza y la acumulación de capital. Estos son el costo financiero, el costo burocrático, el costo laboral, el costo tributario y el costo de mantener mercados cerrados para amigos del poder, a fuerza de barreras arancelarias. Una maraña de obstáculos que explican, en buena medida, que el PBI argentino se haya mantenido en los mismos valores de los últimos 18 años.</t>
  </si>
  <si>
    <t>The "hidra mitológica de muchas cabezas" (the "Argentine cost") is the corpus's most elaborated single metaphor for cumulative regulatory burden, taxonomizing five distinct cost types (financial, bureaucratic, labor, tax, closed-market) under one mythological framing device delivered to a US audience as an exportable diagnostic template.</t>
  </si>
  <si>
    <t>Gala 1775 – Premio "Campeon De La Libertad Economica"</t>
  </si>
  <si>
    <t>2025-01-19</t>
  </si>
  <si>
    <t>Hace poco menos de un año, en mayo, expuse en Los Ángeles, en otra sede de esta casa, lo que llamé “Mi oda al capitalismo”. Seguramente algunos de ustedes estuvieron presentes y lo recuerden. Allí expresé mi preocupación por cómo Occidente estaba abandonando su espíritu aventurero y empresarial para dejarse seducir por los cantos de sirena de la burocracia, la regulación y el gasto público desenfrenado, que no hacen más que diezmar la inventiva, avasallar la libertad y la propiedad de los hombres. Veía, y cada vez veo de forma más nítida, expresiones de estas extralimitaciones, sutiles y no tanto, de las que advierte la Torá.</t>
  </si>
  <si>
    <t>"Occidente estaba abandonando su espíritu aventurero y empresarial para dejarse seducir por los cantos de sirena de la burocracia, la regulación y el gasto público" applies the recurring civilizational-decline register to regulatory policy specifically, framing Western regulation broadly (not any named policy area) as a seductive but ultimately destructive temptation.</t>
  </si>
  <si>
    <t>Milken Center</t>
  </si>
  <si>
    <t>También estamos apostando por ser pioneros en nuevas industrias, como la inteligencia artificial, dado que contamos con vastas extensiones de tierras desérticas a bajas temperaturas, condiciones ventajosas para montar servidores de gran capacidad de cómputo y gran tamaño. No solo eso, sino que, como creemos que la actual capacidad productiva de energía probablemente no sea suficiente, estamos adelantándonos en el desarrollo de reactores nucleares modulares medianos, lo que nos permitirá generar energía eficiente, segura y limpia de forma escalable, permitiéndonos exportar estos conocimientos a todo el mundo con el auge de estas tecnologías. Así, Argentina estará a la vanguardia del retorno al optimismo nuclear. Cada una de estas perspectivas funciona como un pequeño soplido que alimenta una llama de crecimiento que empezó a arder y seguirá creciendo con la baja de impuestos, como fuelle multiplicador. Y si supimos lograr todo esto en un solo año, con todo el aparato político y los medios tradicionales en contra, y a pesar de contar con solo el 15% de los diputados y el 10% de senadores, imaginen lo que somos capaces de hacer con viento a favor, una vez que las ideas de la libertad empiecen a surtir verdaderos efectos tangibles en la sociedad. Es más, imaginen lo que somos capaces de lograr todos si este germen de libertad, en innegable crecimiento, empieza a contagiarse, con nuestro caso de estudio como ejemplo. Los agoreros de turno ya no tendrán argumentos para oponerse a los resultados avasallantes de la realidad. Que a Argentina le vaya bien es beneficioso para todos: por un lado, porque el entramado comercial global se complejizará aún más, potenciando a todos los actores involucrados en el proceso; por otro lado, porque las naciones empezarán a perderle miedo al "Cuco" que nos impusieron desde pequeños, que la desregulación solo trae barbarie y miseria, siendo esta la principal motivo del progreso con el que contamos como especie.</t>
  </si>
  <si>
    <t>The "Cuco" (bogeyman) metaphor — "el 'Cuco' que nos impusieron desde pequeños, que la desregulación solo trae barbarie y miseria" — frames the entire intellectual case for regulation as a childhood scare-story rather than a considered policy position, a distinct rhetorical move from the "cantos de sirena" passage earlier in the same speech (temptation vs. induced fear).</t>
  </si>
  <si>
    <t>Esta ideología ha colonizado las instituciones más importantes del mundo, desde los partidos y Estados de los países libres de Occidente, hasta las organizaciones de gobernanza global, pasando por instituciones no gubernamentales, universidades y medios de comunicación, como también ha marcado el curso de la conversación global durante las últimas décadas. Hasta que no saquemos esta ideología aberrante de nuestra cultura, nuestras instituciones y nuestras leyes, la civilización occidental e incluso la especie humana no logrará retornar la senda del progreso que demanda nuestro espíritu pionero.</t>
  </si>
  <si>
    <t>The opening "virus mental... epidemia... cáncer que hay que extirpar" formulation frames "wokismo" as a literal pathogen requiring medical-style eradication, escalating the disease metaphor (previously "enfermedad del alma") into explicit contagion/cancer language, and claims institutional capture across parties, global-governance bodies, NGOs, universities, and media as a single coordinated colonization.</t>
  </si>
  <si>
    <t>Foro Economico Mundial De Davos 2025</t>
  </si>
  <si>
    <t>2025-01-23</t>
  </si>
  <si>
    <t>Y que sólo pueden ser garantizados mediante la expansión infinita del aberrante Estado. En otras palabras, del concepto de libertad como protección fundamental del individuo frente a la intervención del tirano, pasamos al concepto de liberación mediante la intervención del Estado. Sobre esta base fue construido el wokismo, un régimen de pensamiento único, sostenido por distintas instituciones cuyo propósito es penalizar el disenso, feminismo, diversidad, inclusión, equidad, inmigración, aborto, ecologismo, ideología de género, entre otros, son cabezas de una misma criatura cuyo fin es justificar el avance del Estado mediante la apropiación y distorsión de causas nobles.</t>
  </si>
  <si>
    <t>Flagship passage — the corpus's single most explicit "environmentalism-as-woke" bundling statement.** "Ecologismo" is listed by name, in a formal itemized list, alongside feminism, diversity, immigration, abortion, and gender ideology as one of the "cabezas de una misma criatura" (heads of the same creature) whose common function is disguising state expansion behind "causas nobles." Unlike the more indirect bundling at CPAC ("ambientalismo radical" grouped in a rhetorical aside), this passage presents environmentalism as a formally enumerated, structurally equivalent component of a named ideological system ("wokismo"), delivered at the world's most prominent global-elite economic forum.</t>
  </si>
  <si>
    <t>Pero si uno plantea estas cuestiones, desde los medios de comunicación o incluso desde este foros, nos tildan de misóginos solo por el hecho de defender un principio elemental de la democracia moderna y el Estado de derecho, que es la igualdad ante la ley y los datos. El wokismo, además, se manifiesta en el siniestro ecologismo radical y la bandera de cambio climático. Conservar nuestro planeta para las futuras generaciones es cuestión de sentido común, nadie quiere vivir en un basurero. Pero nuevamente el wokismo se la arregló para pervertir esa idea elemental de preservar el medio ambiente para el disfrute de los seres humanos, pasamos a un ambientalismo fanático donde los seres humanos somos un cáncer que debe ser eliminado, y el desarrollo económico poco menos que un crimen contra la naturaleza.</t>
  </si>
  <si>
    <t>Flagship passage.** Explicitly names "el siniestro ecologismo radical y la bandera de cambio climático" as a wokismo manifestation, then draws a rhetorical concession-and-reversal structure: conceding that basic environmental stewardship is "sentido común," before claiming this has been "perverted" into "ambientalismo fanático" that frames humans as "un cáncer" and economic development as "un crimen contra la naturaleza." This concession move — acknowledging a reasonable environmental premise before delegitimizing its practical expression as extremist — is more rhetorically sophisticated than the outright dismissal at Fundación Faro or the guilt-by-association bundling at CPAC.</t>
  </si>
  <si>
    <t>Sin embargo, cuando uno argumenta que la Tierra ha tenido ya cinco ciclos de cambios bruscos de temperatura y que en cuatro de ellos el hombre ni existía, nos tildan de terraplanistas para desacreditar nuestras ideas, sin importar que la ciencia y los datos estén de nuestro lado. No es casualidad que estos mismos sean los principales promotores de la agenda sanguinaria y asesina del aborto, una agenda diseñada a partir de las premisas malthusianas de que la superpoblación va a destruir a la Tierra y, por lo tanto, debemos implementar algún mecanismo de control poblacional. De hecho, esto ha sido ya adoptado al extremo que hoy en el planeta se está empezando a convertir en un problema la tasa de crecimiento de la población.</t>
  </si>
  <si>
    <t>Flagship passage — the corpus's most explicit and substantive climate-science argument.** Milei makes a direct empirical claim (five historical abrupt temperature-change cycles, four pre-dating humans) to argue against anthropogenic climate change, explicitly claiming "la ciencia y los datos" support this position while casting mainstream climate scientists as unfairly using the "flat-earther" label to silence dissent. This is qualitatively different from the corpus's other climate passages (which dismiss policy responses or bundle environmentalism with other causes) — this is a direct, evidence-framed challenge to the scientific consensus on anthropogenic warming, delivered at the world's most prominent forum for climate/sustainability discourse.</t>
  </si>
  <si>
    <t>Explicitly links environmentalist/population-control ("Malthusian") premises to the abortion-rights agenda, framing overpopulation concern as ideologically motivated pseudo-scientific alarmism rather than a demographic or environmental analysis — echoing the Club de Roma/Malthus critique first coded at the 2024-10-19 Tech Forum speech, here made even more explicit and formally connected to reproductive-rights politics.</t>
  </si>
  <si>
    <t>Porque al dominar las cátedras de las universidades más prestigiosas del mundo está formando las élites de nuestros países para impugnar y negar la cultura, las ideas y los valores que nos hicieron grandes, lesionando aún más nuestro tejido social. ¿Qué nos queda para el futuro si estamos enseñándoles a nuestros jóvenes a sentir vergüenza por nuestro pasado? Todo esto se incubó y desarrolló de forma cada vez más notoria durante las últimas décadas, después de la caída del Muro de Berlín, curiosamente los países libres se empezaron a autodestruir cuando se quedaron sin adversarios por derrotar. La paz nos volvió débiles, fuimos derrotados por nuestra propia complacencia. Todas estas y otras aberraciones, que por cuestiones de tiempo no podemos enumerar, son las que hoy amenazan a Occidente y son, lamentablemente, las creencias que instituciones como esta han promovido durante cuarenta años. Aquí nadie se puede hacer el inocente. Le han rendido culto por décadas a una ideología siniestra y asesina como si se tratara de un becerro de oro y han movido cielo y tierra para imponerla sobre la humanidad.</t>
  </si>
  <si>
    <t>"Al dominar las cátedras de las universidades más prestigiosas del mundo está formando las élites de nuestros países para impugnar y negar la cultura" frames elite university faculties as instruments of ideological indoctrination shaping future elites against Western civilizational values — a globalized version of the domestic "curros"/university-capture claims coded elsewhere.</t>
  </si>
  <si>
    <t>O acaso los burócratas de Bruselas no suspendieron las elecciones de Rumanía simplemente porque no les gustó qué partido había ganado. Frente a cada una de estas discusiones, el wokismo intenta desacreditar a quienes cuestionen estas cosas, primero etiquetándonos para luego censurarnos, si somos blancos debe ser racista, si sos hombre debes ser misógino o miembro del patriarcado, si sos rico debes ser un cruel capitalista, si sos heterosexual debes ser heteronormativo, homofóbico o transfóbico. Para cada cuestionamiento tienen una etiqueta, que luego intentan censurar por vías de facto o de iure.</t>
  </si>
  <si>
    <t>Names multilateral lending institutions and the European Union specifically as coercive instruments ("brazo extorsivo," "brazo armado") of the "wokismo" system, citing the UK censorship allegations and the EU's annulment of Romania's 2024 presidential election as concrete evidence of institutional bad faith — grounding the more abstract "gobernanza global = imposición" argument (G20, 2024-11-18) in specific, named contemporary incidents.</t>
  </si>
  <si>
    <t>Dado que el mercado es un mecanismo de cooperación social donde se intercambian voluntariamente derechos de propiedad, la supuesta falla de mercado es una contradicción en sus propios términos. Lo único que genera esa intervención son nuevas distorsiones del sistema de precios, lo que a su vez entorpece el cálculo económico, el ahorro y la inversión y, por ende a la postre, terminan generando más pobreza o una maraña inmunda de regulaciones, por ejemplo, como las que existen en Europa, matando el crecimiento económico. Como suelo decir en mis ponencias: "si usted considera que existe una falla de mercado, vaya y revise si no está el Estado metido en el medio, y si encuentra que no haga de nuevo el análisis porque está mal".</t>
  </si>
  <si>
    <t>The categorical denial that market failures exist ("no existen las fallas de mercado... contradicción en sus propios términos") is a maximally strong theoretical claim with direct relevance to environmental/climate regulation specifically, since externalities (the standard economic justification for environmental regulation, including carbon pricing) are a canonical market-failure category — this passage denies the theoretical foundation for that entire regulatory approach without naming climate policy directly, consistent with the codebook's framing of D1.1 as the "discursive infrastructure" of climate obstruction.</t>
  </si>
  <si>
    <t>Argentina tiene todo el potencial para convertirse en una meca occidental en materia de oportunidades comerciales y crecimiento para sus habitantes, con la libertad como principal motor. Por eso mismo, y a modo de cierre, me gustaría dedicarles unas palabras a ustedes, defensores de la libertad. No se dejen doblegar por las diatribas del colectivismo que busca destruir cualquier disidencia. Lo que nos hace tan especiales y peligrosos para cualquier tipo de régimen es nuestra elocuencia, nuestra capacidad para hablar con la verdad. Por eso no nos odian: inventan leyes para censurarnos y buscan meternos presos o exiliarnos, porque intentan negar la realidad para poder sostener sus mentiras. Pero lo que nunca podrán será negar los aplastantes resultados de la realidad.</t>
  </si>
  <si>
    <t>"Las diatribas del colectivismo que busca destruir cualquier disidencia... inventan leyes para censurarnos y buscan meternos presos o exiliarnos" frames collectivism as inherently and specifically persecutorial toward liberal dissidents, invoking a criminalization/exile narrative distinct from the more common "socialism causes poverty" economic critique.</t>
  </si>
  <si>
    <t>Premio Röpke Del Liberal Institut</t>
  </si>
  <si>
    <t>2025-01-24</t>
  </si>
  <si>
    <t>Suiza</t>
  </si>
  <si>
    <t>La justicia social es una aberración, desde el punto de vista moral [...] ¿Alguno de los que están presentes acá están a favor del robo? [...] Es decir, frente a dos individuos: a uno le roba su ingreso, parte de su ingreso, y se lo da a otro [...] Como decía Hayek: "Si los socialistas entendieran de economía, no serían socialistas". Es más, yo les diría, que la verdad es que Marx fue desmentido brutalmente, por Eugen Von Böhm-Bawerk [...] eso fue vapuleado por Mises, en el libro: "Socialismo" [...] Hayek demostró - en "Camino de servidumbre" [...] Entonces, la pregunta es por qué siguen adhiriendo a esta basura [...] esa es la base moral, de ahí es la envidia, el odio y el resentimiento.</t>
  </si>
  <si>
    <t>extended moral-philosophical indictment of "justicia social" as theft and legal inequality, escalating into a full intellectual-history genealogy (Böhm-Bawerk, Mises, Hayek) framing socialism as empirically and theoretically "destroyed" yet irrationally sustained by envy/hatred/resentment. One of the most developed Anti_Socialism_Anti_Collectivism passages in the corpus — combines the moral-critique register (theft, unequal treatment before the law) with the intellectual-refutation register (calculation problem, "Camino de servidumbre").</t>
  </si>
  <si>
    <t>Banco Interamericano De Desarrollo (Bid)</t>
  </si>
  <si>
    <t>2025-02-21</t>
  </si>
  <si>
    <t>organismo internacional</t>
  </si>
  <si>
    <t>O, por ejemplo: supongamos la situación típica populista, que había en el kirchnerismo [...] se encuentran con la Ley de Abastecimiento; la Ley de Góndolas. La Ley de Góndolas… ¿medía las góndolas? O sea, ¿cómo se le ocurre a alguien una ley así? Es como querer evitar la ley de gravedad con una ley [...] es una cosa verdaderamente, directamente aberrante.</t>
  </si>
  <si>
    <t>price-control and shelf-space regulation (Ley de Abastecimiento, Ley de Góndolas) mocked as scientifically absurd ("querer evitar la ley de gravedad con una ley"), delegitimizing regulatory intervention through ridicule rather than economic argument alone.</t>
  </si>
  <si>
    <t>Nosotros no dejamos de creer que el Estado es una organización criminal que vive de una fuente coactiva de ingresos que son impuestos. O sea, nadie paga los impuestos voluntariamente [...] cuando ustedes tienen un parásito en el cuerpo, no matan el cuerpo, tienen que matar el parásito. Bueno, nosotros estamos dispuestos a combatir el parásito todo lo que sea posible.</t>
  </si>
  <si>
    <t>the State defined categorically as a "criminal organization" sustained by coercive extraction, paired with a parasite/host medical metaphor casting state retrenchment as a necessary excision.</t>
  </si>
  <si>
    <t>Federico está implementando lo que se llama el Plan Motosierra 2.0 [...] Argentina tiene 42.000 leyes [...] 70.000 decretos y 220.000 resoluciones y circulares [...] todo lo que no está en el digesto se elimina [...] No se podía exportar chatarra [...] Levantamos esa regulación [...] este señor quería exportar sandías a Paraguay [...] Levantamos esa regulación y, obviamente, algunos kiosquitos en el medio se cayeron y algunos se enojaron, pero los productores de sandía están felices ahora.</t>
  </si>
  <si>
    <t>second, extended instance — the "digesto" purge mechanism (42,000 laws/70,000 decrees/220,000 resolutions, "todo lo que no está en el digesto se elimina") plus two illustrative anecdotes (scrap-metal export ban, watermelon export rules) framing accumulated regulation as arbitrary, absurd, and captured by narrow beneficiaries ("kiosquitos"/"un grupo económico"). Treated as elaboration of the same code as the Ley de Góndolas passage above rather than a fresh count — logged separately here only because it introduces the "digesto" mechanism as a distinct policy instrument, not merely a rhetorical repetition.</t>
  </si>
  <si>
    <t>Fue tan revelador ese artículo [Rothbard, "Monopolio y competencia"] [...] descubrí que los monopolios no son malos, salvo que sean armados por el Estado. Cosa que filosóficamente lo sigo haciendo. Esto quiere decir no voy a claudicar con llevar el Estado a la mínima expresión.</t>
  </si>
  <si>
    <t>citing Rothbard to argue monopolies are only harmful when state-created, used as the intellectual pivot toward Milei's self-described conversion to anarcho-capitalism — market outcomes (including concentration) are recast as benign absent state intervention.</t>
  </si>
  <si>
    <t>[Q&amp;A with moderator:] [...] El primer punto es: el ajuste no tiene que caer sobre el sector privado, tiene que caer sobre el sector público [...] Que la obra pública genera crecimiento y trabajo es bullshit [...] Si la financio con deuda, son impuestos futuros [...] Si la financio con impuestos, castigo a las generaciones presentes [...] esa obra que se está haciendo ahí [...] en realidad, está destruyendo otras obras y trabajos en otros lugares [...] el Gobierno es parte del problema y no de la solución. No hay nada peor que venga un político y diga: "Soy el Gobierno, vengo a ayudar" [...] es una organización criminal, el Estado [...] es peor que la mafia [...] el Estado es el ladrón estacionario.</t>
  </si>
  <si>
    <t>second, extended instance in the Q&amp;A — a formal public-goods/crowding-out argument against public works ("obra pública... es bullshit") escalating into the "stationary bandit" framing (Estado worse than the mafia, "ladrón estacionario"). Distinct rhetorical move from the earlier parasite metaphor (here the argument is opportunity-cost/crowding-out plus a comparative-criminality framing), so logged as a second instance rather than folded into the first.</t>
  </si>
  <si>
    <t>Hemos llamado a esta clase política el "partido del Estado", una casta extendida cuyos miembros, más allá de diferencias superficiales, comparten la idea fundamental del avance del Estado sobre la sociedad. Son todos aquellos que, por interés económico, convicción ideológica o cierto individualismo ingenuo, trabajan para los intereses del Estado: los medios de comunicación tradicionales, la oligarquía sindical, los empresarios prebendarios, los burócratas permanentes no electos y, en consecuencia, intrínsecamente irresponsables; las organizaciones mal llamadas no gubernamentales, que hacen el trabajo sucio de los políticos; las instituciones académicas que proveen el marco teórico para la expansión estatal; los organismos supranacionales y todos los que, de alguna manera, pertenecen a la gran secta del colectivismo mundial.</t>
  </si>
  <si>
    <t>the fullest, most systematically itemized "partido del Estado" definition in the corpus alongside the Fundación Faro (2024-11-13) version — here explicitly enumerating media, unions, crony business, permanent bureaucracy, NGOs, academia, and supranational bodies as co-members of a single extractive "casta extendida," fused with a Mussolini fascism quote to frame the target as inherently totalitarian.</t>
  </si>
  <si>
    <t>Cpac Washington 2025</t>
  </si>
  <si>
    <t>2025-02-22</t>
  </si>
  <si>
    <t>Sabemos que no es una tarea fácil. El Estado moderno tiene herramientas de sobra, que han crecido en sofisticación con el paso del tiempo. No estamos hablando de un Estado obvio, como el neofascista o el comunista, sino de un Estado sutil e insidioso, que avanza sobre el individuo a través del arte, de la propaganda y la infiltración cultural. O al menos así era hasta hace poco, ya que le resulta cada vez más difícil disimular su carácter totalitario. Hemos visto, por citar solo un ejemplo, que en ciertos países de Europa ciudadanos están siendo arrestados por expresarse en redes sociales. Pero, en términos más generales, hablo de la financiación de la academia, incentivando la elaboración de estudios que justifiquen la implementación de políticas públicas intervencionistas, y de la compra encubierta de medios de comunicación mediante la pauta pública. Hablo de las múltiples ONG que viven de nuestros impuestos, de los subsidios a la cultura para producir propaganda y, aquí en Estados Unidos, por supuesto, del escándalo de USAID, que destinaba millones de dólares de los pagadores de impuestos a financiar desde revistas y canales de televisión hasta fraudes electorales, como en Brasil, o gobiernos con aspiraciones discriminatorias, como el de Sudáfrica.</t>
  </si>
  <si>
    <t>academic research explicitly framed as commissioned propaganda ("financiación de la academia, incentivando la elaboración de estudios que justifiquen... políticas intervencionistas") — research output cast as manufactured to serve a predetermined statist conclusion rather than independent inquiry.</t>
  </si>
  <si>
    <t>USAID and the broader web of "organismos supranacionales" reframed as a covert global funding apparatus for propaganda and even election interference (Brazil), delegitimizing supranational/multilateral institutions as instruments of a hidden partisan agenda rather than neutral bodies.</t>
  </si>
  <si>
    <t>Y, como decía, gobiernos con aspiraciones discriminatorias, como el sudafricano, entre tantas otras aberraciones, incluyendo la agenda de la paranoia climática, los excesos de la ideología de género y la investigación que derivó en la creación del virus COVID-19.</t>
  </si>
  <si>
    <t>FLAGSHIP passage — "la agenda de la paranoia climática" is explicitly bundled in a single list with "los excesos de la ideología de género" and COVID-origin conspiracy research, all cast as USAID-funded "aberraciones" alongside discriminatory foreign governments and electoral fraud. A textbook instance of climate concern folded into the undifferentiated "globalist agenda" bundle rather than addressed on its own empirical terms.</t>
  </si>
  <si>
    <t>the specific noun choice "paranoia climática" (rather than e.g. "agenda climática" or "ambientalismo") pathologizes climate concern as an irrational fear/mental-health framing, a distinct dismissal register from the corpus's other climate-skepticism instances (Davos's "terraplanistas" mockery, Fundación Faro's "sentido común" dismissal) — here the delegitimization works through psychiatric language rather than a scientific or common-sense counter-argument.</t>
  </si>
  <si>
    <t>En medicina se usa el término "iatrogenia" para referirse al daño que sufre un paciente como consecuencia de la atención médica. Podría decirse entonces que el régimen estatista consiste en la iatrogenia como política de Estado. O sea, es el médico que se enriquece a base del deterioro progresivo e intencional de sus pacientes. Con el modelo del Estado presente, el Estado te quiebra las piernas para luego venderte las muletas con sobreprecio y obligarte a agradecerle, y te persigue si no lo haces. Como contrapunto, dicen algunos testimonios que en la medicina tradicional china, el médico familiar cobraba honorarios de forma constante por mantener a la familia sana. O sea, según la leyenda, cuando un miembro enfermaba, el médico dejaba de percibir los honorarios, viéndose incentivado a resolver la enfermedad de una forma eficiente y rápida. Imagínese, si tan solo pudiera funcionar así el Estado... ¿Cuánta miseria nos hubiéramos ahorrado?</t>
  </si>
  <si>
    <t>extended "iatrogenia" medical metaphor — the state deliberately manufactures and perpetuates the problems it claims to solve ("te quiebra las piernas para luego venderte las muletas"), a distinct elaboration from the corpus's more common "parasite"/"organización criminal" framings.</t>
  </si>
  <si>
    <t>Debemos formar una alianza de naciones libres, porque, como ya he dicho en otra ocasión, el mal organizado solo puede ser vencido por el bien organizado. Solo mediante esta internacional de derecha podremos poner fin a la casta política con la que nos enfrentamos, que está hundiendo a Occidente en la más oscura profundidad, y recuperar el ímpetu para protegernos de las fuerzas despóticas que nos quieren subyugados.</t>
  </si>
  <si>
    <t>explicit call for a formal "internacional de derecha" (right-wing international) / "alianza de naciones libres" — the same transnational-alliance-against-a-common-civilizational-enemy framing first developed at the America First Policy Institute speech (2024-11-14), reprised here as an organizing political project rather than a passing rhetorical flourish.</t>
  </si>
  <si>
    <t>Entonces, ¿cómo íbamos a tener distintos resultados si en lugar de cambiar la receta estábamos solamente cambiando el cocinero? Nuestra receta es clara y concisa: venimos a romper la calesita, quitarle la manija al sortijero y trazar un horizonte de progreso hacia adelante con cambios profundos que atacan la raíz de nuestros males.</t>
  </si>
  <si>
    <t>the "calesita" (merry-go-round) metaphor frames a century of Argentine politics as a single undifferentiated establishment ("modelo de la casta") that treats the state as a "botín a ser conquistado" regardless of which party governs — the classic casta-as-extractive-class frame structuring the entire speech's opening diagnosis. (Added 2026-07-19 reconciliation pass — not present in the 2026-06-08 pass.)</t>
  </si>
  <si>
    <t>Apertura Del 143 Periodo De Sesiones Ordinarias</t>
  </si>
  <si>
    <t>2025-03-01</t>
  </si>
  <si>
    <t>También eliminamos decenas de fondos fiduciarios que la política usaba discrecionalmente a su antojo. Eliminamos cajas de militancia como el INCAA, el INADI, el Ministerio de la Mujer y Télam y volvimos superavitarias empresas emblemáticas de la militancia deficitaria, como Aerolíneas Argentinas, AySA, Intercargo y ENARSA, entre otras, mientras empezamos a dar los primeros pasos para la privatización de todas las empresas públicas, porque entendemos que el Estado no está para reemplazar al empresario.</t>
  </si>
  <si>
    <t>INADI and the Ministerio de la Mujer grouped with INCAA and Télam under the single dismissive label "cajas de militancia" — gender/anti-discrimination institutions delegitimized not through argument but through bundling with unrelated state media/subsidy agencies as generically wasteful "militancia." (Reconciliation note: the 2026-06-08 pass's Coding Summary claimed this passage was tagged Anti_State_Anti_Bureaucratic, but no inline tag was actually present; retagged here as Woke_Bundling per v4 convention, consistent with how INADI/Ministerio de la Mujer eliminations are coded elsewhere in the corpus, e.g. the 2024-12-10 cadena nacional speech.)</t>
  </si>
  <si>
    <t>Además, eliminamos la obra pública —que era uno de los curros más grandes de la política—. Y aquí también quiero dejar en claro una de las grandes falacias y mentiras de la política para con la gente, cuando dicen esa mentira de que la obra pública genera trabajo. Le digo a los argentinos de bien que eso es falso. Es falso porque las obras públicas hay que financiarlas y se financian con impuestos, ya sea de impuestos explícitos o con emisión monetaria que deriva después en el impuesto inflacionario o con deuda, esa inmoralidad que castiga a las generaciones futuras. Por lo tanto, cuando se financia la obra pública, se quita capacidad de demanda en otros sectores y el empleo que se crea con la obra pública es empleo que se destruyó en otras áreas de la economía. Áreas donde sí la gente quería gastar, y no estas cosas de prepo hechas por el Estado que solo benefician a aquellos que la ejecutan y nada a los argentinos de bien. Por lo tanto, espero que por lo menos del debate público después de quedar claro esto, erradiquemos esa mentira de que la obra pública no genera puestos de trabajo, la obra pública genera impuestos.</t>
  </si>
  <si>
    <t>The sustained argument that public works are a net economic negative because they crowd out private spending is a classic market-primacy move with direct implications for climate governance. Climate transition policy relies substantially on public investment — green infrastructure, renewable energy buildout, adaptation works. By asserting categorically that public investment destroys value rather than creating it, this passage delegitimizes the economic logic of public climate investment before any specific environmental case can be made. The framing also pathologizes public expenditure on infrastructure as inherently corrupt ("curro de la política"), making it politically toxic for future governments to justify green public investment.</t>
  </si>
  <si>
    <t>Le quitamos potestades ridículas al Estado, que nunca se le debieron haber concedido. Durante nuestro primer año de gestión, entre el DNU 70/23, la Ley Bases y el proceso de desregulación más grande la historia, hemos concentrado alrededor y concretado 1700 reformas estructurales, eliminando regulaciones que cercenaban libertades comerciales y económicas y le ponían palos en la rueda al gran motor productivo de nuestro país, que es el sector privado. Acá también quiero hacer un ejemplo que ese maravilloso y superlativo Ministro que tengo, que es el Ministro de Desregulación, el doctor Federico Sturzenegger. Es más, dadas las costumbres de una parte de la clase política, hemos decidido hacer el ejemplo en términos de cuánto pesaba el papel. Entonces, por ejemplo, en el caso de las desregulaciones para las frutas, las regulaciones que teníamos pesaban 1600 gramos. Hoy, con el accionar de Federico Sturzenegger, esas regulaciones han caído a 80 gramos. Es decir, cayeron en un 95%. Creo que casi no hace falta que lo diga, pero ese correlato entre lo que pesaban las regulaciones tenía otro correlato en otro tipo de papeles. Digamos, a veces verdes y a veces europeos, porque entran más en el mismo peso.</t>
  </si>
  <si>
    <t>The "1700 structural reforms" figure is presented as the central achievement of the first year, with deregulation framed as "removing sticks from the wheels" of the productive sector. The ministerial role of "Ministro de Desregulación" institutionalizes deregulation as a permanent administrative function of the state, not a one-time corrective. This is significant for climate governance because environmental regulations constitute a substantial portion of the regulatory corpus being dismantled; the weight-of-paper metaphor trivializes regulatory content by reducing regulations to their bureaucratic bulk rather than their protective function.</t>
  </si>
  <si>
    <t>No es menor lo de Elon con la motosierra. La motosierra, hoy, es un símbolo de cambio de época y el inicio de una nueva era dorada para la humanidad, pero esta vez, en vez de ir a contramano del mundo, Argentina está a la vanguardia del mundo.</t>
  </si>
  <si>
    <t>The explicit alignment of Milei's chainsaw symbol with Elon Musk's DOGE deregulatory operation in the United States is a transnational validation move: it frames the anti-regulatory revolution as a global historical trend ("a new golden era for humanity") in which Argentina is the vanguard. This is significant for climate governance because both DOGE and Milei's deregulatory agenda specifically targeted environmental agencies and regulations. The "new golden era" framing positions environmental deregulation not as a contested political choice but as the natural direction of history — a form of temporal determinism that makes resistance to deregulation appear backward.</t>
  </si>
  <si>
    <t>El primer paso en este sendero es la oportunidad histórica que tenemos para entablar un acuerdo comercial con Estados Unidos. Una oportunidad que ya se nos presentó hace veinte años y dejamos pasar, desaprovechando el último gran boom de crecimiento que vio el planeta. Pero para aprovechar esta oportunidad histórica que se nos vuelve a presentar, es necesario estar dispuesto a flexibilizar o, incluso, llegado el caso, a salir del Mercosur, que lo único que logró desde su creación es enriquecer a los grandes industriales brasileros a costa de empobrecer a los argentinos.</t>
  </si>
  <si>
    <t>The willingness to exit Mercosur — a major regional multilateral governance framework — is framed as a necessary condition for national prosperity and sovereignty over trade decisions. Mercosur's institutional architecture includes environmental and sustainability chapters, and its relationship with the EU (being negotiated at this time) involved environmental conditionality. By treating Mercosur exit as a legitimate policy option and framing multilateral economic integration as inherently enriching other countries at Argentina's expense, Milei extends the rejection-of-multilateral-governance logic from the climate domain (2030 Agenda, IPCC) to the broader institutional architecture of regional governance.</t>
  </si>
  <si>
    <t>Por otra parte, tenemos que recuperar el imperio de la igualdad ante la ley, terminando con este sistema de cupos de distinto tipo que impone desde a quién emplear hasta a quién votar. Hemos llegado al punto en el que hay cupos hasta para emplear gente en medios de comunicación o para la programación de artistas en un festival. Con la supuesta justificación de proteger a ciertos grupos percibidos como oprimidos, hemos perjudicado injustamente a los demás, vulnerando la igualdad ante la ley que consagra nuestra Constitución.</t>
  </si>
  <si>
    <t>combined with the earlier "wokismo jurídico de Zaffaroni" passage as a single thematic thread — identity-based employment/broadcast/festival quotas framed as violating "igualdad ante la ley," extending the woke-bundling frame beyond its usual gender/environmentalism targets into labor-market and cultural policy. (Added 2026-07-19 reconciliation pass, matching the prior pass's Coding Summary claim that was missing its inline tag.)</t>
  </si>
  <si>
    <t>Y también quiero dar las gracias – especialmente - a todos los productores, ya sean grandes, medianos o pequeños, que diariamente sirven a la patria cultivando el suelo argentino. Nuestro suelo ha sido bendecido con una fertilidad única en el mundo, combinado con el ingenio argentino y con las ideas liberales de nuestra Constitución, fue durante buena parte de nuestra historia una fuente inagotable de prosperidad para nuestro país. Hablo de cuando fuimos el granero del mundo y no teníamos nada que envidiarle a ninguna potencia mundial; cuando éramos una tierra de oportunidades que atraía inmigrantes de todos los confines de la tierra; cuando fuimos los primeros en erradicar el analfabetismo, cuando teníamos un Producto Bruto Interno total superior a Brasil, México, Paraguay y Perú juntos. En resumen, cuando éramos ese faro de faros que – hoy - queremos volver a ser. En el centro de esa era dorada, como gran protagonista y motor de esa prosperidad sin precedentes, estaban los productores agropecuarios tirando del carro. Eran las épocas del modelo agroexportador: un término que fue transformándose en peyorativo, a medida que el país se fue hundiendo en la miseria, gracias a la llegada del modelo nefasto de la justicia social. Esto no fue casualidad, el plan sistemático de saqueo al campo fue deliberadamente completado con su demonización por parte de la política, a la vez que se comenzó a instalar la distribución forzosa de la riqueza como un acto de justicia.</t>
  </si>
  <si>
    <t>the "modelo nefasto de la justicia social" is presented as the direct cause of a "plan sistemático de saqueo al campo" (systematic looting of the countryside) — social-justice redistribution recast as a deliberate campaign against agricultural producers, combining moral condemnation of redistribution with a persecution narrative specific to the agro sector.</t>
  </si>
  <si>
    <t>Expoagro 2025</t>
  </si>
  <si>
    <t>2025-03-14</t>
  </si>
  <si>
    <t>San Nicolas</t>
  </si>
  <si>
    <t>Nuestro gobierno es el primero en mucho tiempo o quizás en la historia argentina que rechaza la idea del Estado como un mecanismo de apropiación compulsiva de la riqueza ajena. De hecho, estamos en las antípodas de este pensamiento: venimos a limitar el poder arbitrario del gobierno y a liberar al sector privado y - por supuesto - venimos a sacarle el peso del Estado de las espaldas de los productores. Es porque sabemos que un Estado chico equivale a una sociedad grande, porque sabemos que la prosperidad va indefectiblemente de la mano de la libertad y - en este caso - la libertad del sector agropecuario, y porque entendemos que los empresarios son benefactores sociales y que su búsqueda de ganancia redunda en un beneficio para el conjunto de la sociedad. Y fue con ese mismo norte que encaramos todos los pasos dados - durante nuestro primer año de gobierno - que pasaré enumerar algunos de ellos.</t>
  </si>
  <si>
    <t>the State categorically defined as "un mecanismo de apropiación compulsiva de la riqueza ajena" (a mechanism of compulsory appropriation of others' wealth) — the standard anarcho-capitalist state-as-extraction framing, here specifically applied to the state's historical relationship with the agricultural sector.</t>
  </si>
  <si>
    <t>Tampoco es por casualidad que las exportaciones agroindustriales hayan crecido un 56% en volumen y un 26% en facturación o que - el mes pasado - hayamos visto un bond de exportaciones por más de 7 millones de toneladas de granos y derivados. Ni es por casualidad que la superficie sembrada en la campaña 24/25 haya crecido casi un 20%, superando altamente cualquier récord anterior, sino que es por un compromiso férreo de nuestra parte por correr al Estado de los negocios para que deje de entorpecer a quienes producen. En tan solo un año, derogamos y simplificamos más de 350 normas burocráticas que atentaban contra la generación de valor; derogamos normas en SENASA y en el INASE; eliminamos declaraciones juradas inútiles; exterminamos para siempre prohibiciones y cupos en la exportación de granos y carnes; eliminamos fideicomisos y precios máximos para los alimentos; redujimos aranceles a la importación de fertilizantes, herbicidas y sistemas de riego; también comenzamos a poner en práctica la libre competencia de monedas que prometimos, ofreciendo los primeros créditos en litros de leche para tamberos y ahora en kilos de jamón para los productores porcinos.</t>
  </si>
  <si>
    <t>sector-specific deregulation tally (SENASA, INASE, export quotas on grains and meat) framed as removing obstacles that "atentaban contra la generación de valor" — a distinct instance from the general "digesto" deregulation drive covered in other speeches, specific to agricultural regulatory bodies.</t>
  </si>
  <si>
    <t>Así que imaginen que si acelero en las curvas, ahora voy a acelerar mucho más. Volviendo al discurso, todo esto lo hacemos porque es nuestro deber aplicar nuevamente las ideas que hace 100 años hicieron de la Argentina el país más rico del mundo. Para eso, necesitamos entender entre todos que debemos volver a pensar - a la Argentina - en generaciones, con la intención de que nuestros actos del presente tengan repercusión positiva en las generaciones del futuro, estar dispuestos a volver a sembrar árboles de los que quizás no disfrutemos la sombra. El campo tiene esta mentalidad, pero la casta política no. Y la imposición del modelo de la casta arruinó a más de cinco generaciones con sus intervenciones ridículas.</t>
  </si>
  <si>
    <t>a virtue-contrast structure — the agricultural sector credited with a multigenerational, long-termist ethos ("sembrar árboles de los que quizás no disfrutemos la sombra") explicitly denied to "la casta política," whose short-termist interventions are blamed for "más de cinco generaciones" of ruin.</t>
  </si>
  <si>
    <t>Nadie puede tomar en serio el reclamo de una nación cuya dirigencia es conocida en el mundo por su corrupción e incompetencia y por llevar a la Argentina a los brazos de la escoria del mundo. Quien empobrece sistemáticamente a su suelo y hace causa común con dictadores y dictadorsuelos, entra a cualquier negociación diplomática desde una posición de desventaja. Luego, si a eso le sumamos el desarme y la demonización deliberada de las Fuerzas Armadas, teníamos la receta perfecta para que las Islas Malvinas permanezcan para siempre en manos extranjeras.</t>
  </si>
  <si>
    <t>the failure of Argentina's sovereignty claim over the Malvinas is attributed directly to "la casta política"'s corruption and deliberate weakening/demonization of the armed forces — extending the casta frame into foreign-policy/territorial-sovereignty terrain, a domain it is not usually applied to in this corpus.</t>
  </si>
  <si>
    <t>Homenaje A Los Heroes De Malvinas</t>
  </si>
  <si>
    <t>2025-04-02</t>
  </si>
  <si>
    <t>Sin todo lo anterior, cualquier noción de soberanía pierde sentido. Soberanía no es que el Estado tenga muchas empresas, ni que financie la industria cinematográfica, ni recitales de cuarta, ni cosas semejantes. Creer que a mayor Estado, mayor soberanía es un concepto orwelliano bajo el cual la política ha pretendido, a lo largo de la historia, ocultar sus negocios sucios y cuyo resultado es un pueblo pobre y esclavo de un Estado omnipresente.</t>
  </si>
  <si>
    <t>redefines "sovereignty" itself in anti-statist terms — explicitly rejecting the idea that state enterprises or cultural subsidies (INCAA-style film financing) constitute national sovereignty, instead calling that equation "orwelliano" and casting a large state as enslaving rather than protecting the people.</t>
  </si>
  <si>
    <t>Por eso, puedo afirmar que - tanto el presidente Peña como yo - sabemos que el camino hacia la prosperidad no es otro que el de la desregulación y el superávit fiscal, y que al bien común se llega, a través de las ideas de la libertad, y no desde la idea de la justicia social, que es la redistribución forzosa de la riqueza sobre la cual trabajan los colectivistas.</t>
  </si>
  <si>
    <t>"justicia social" defined categorically as "la redistribución forzosa de la riqueza sobre la cual trabajan los colectivistas" — a brief but explicit restatement of the corpus's standard social-justice-as-theft framing, here offered as the shared creed of two allied presidents rather than a domestic polemic.</t>
  </si>
  <si>
    <t>Declaracion Conjunta (Visita Oficial)</t>
  </si>
  <si>
    <t>2025-04-09</t>
  </si>
  <si>
    <t>Asuncion, Paraguay</t>
  </si>
  <si>
    <t>No tengo dudas que tanto Argentina como Paraguay serán un ejemplo para toda Sudamérica. Hacia dentro, dando la batalla eterna contra el Estado omnipresente y el déficit fiscal, y hacia afuera, a través de la cooperación pacífica y el comercio. No hay fórmulas extravagantes, sino la convicción de que la libertad es el único camino posible. Por eso, veo con esperanza un futuro de colaboración entre nuestras naciones.</t>
  </si>
  <si>
    <t>"la batalla eterna contra el Estado omnipresente" — brief but explicit statement of permanent, open-ended war against an "omnipresent" state as the domestic complement to the bilateral partnership.</t>
  </si>
  <si>
    <t>Digo todavía porque, como hemos visto durante las últimas semanas, dada la volatilidad y la incertidumbre generada por quienes esparcieron mentiras sin ningún tipo de tapujo, este mes hemos visto una interrupción en el proceso de desinflación. Lamentablemente estos son los efectos de la aberración de la ley Guzmán que nos obligó a ir al Congreso a pedir autorización para aprobar este acuerdo con el Fondo, cuando eso no ocurre en ningún país del mundo. Atados por la reserva necesaria propia de estos acuerdos, tuvimos que ver cómo durante semanas los políticos y los economistas generaron pánico e incertidumbre en la población. Sin embargo, más allá de las victorias de corto plazo que puedan obtener, la inflación no tiene otro destino más que desaparecer, porque la inflación es siempre y en todo lugar un fenómeno monetario, que se produce por un exceso en la oferta de dinero, ya sea porque aumenta la oferta, porque cae la demanda u ocurren las dos cosas a la vez.</t>
  </si>
  <si>
    <t>the "Ley Guzmán" requirement that IMF agreements pass through Congress is labeled an "aberración," framing a legislative oversight mechanism (not typically the target of this sub-code, which usually addresses market/price regulation) as an illegitimate obstacle that enabled "políticos y economistas" to spread panic — extending the delegitimization-of-regulation frame to institutional/constitutional checks on executive economic policy.</t>
  </si>
  <si>
    <t>Cadena Nacional – "Fin Del Cepo"</t>
  </si>
  <si>
    <t>2025-04-11</t>
  </si>
  <si>
    <t>Que un funcionario de su calibre, entre tantas solicitudes de reunión que tiene hace semanas, haya elegido venir a nuestro país marca un cambio de era en la cooperación entre ambos estados. Confiamos en que el buen entendimiento que estamos construyendo entre nuestras administraciones será provechosa para ambas naciones. Argentina y los Estados Unidos comparten una gran afinidad, ambas naciones son hijas de la civilización occidental, abanderada de los derechos fundamentales a la vida, la libertad y la propiedad privada y ambas pertenecemos también al nuevo mundo, al joven continente americano que tiene sus propias cualidades. Somos herederos de los aportes de distintas culturas y tradiciones y llevamos en nosotros el espíritu pionero de nuestros antepasados que cruzaron el océano. En el siglo XIX, durante un período la Argentina y los Estados Unidos compartíamos una misión común, cada uno era en su respectivo hemisferio, nos convertimos en grandes potencias del continente y marchamos a la vanguardia de la región llevando la antorcha de la civilización.</t>
  </si>
  <si>
    <t>Argentina and the US jointly cast as "hijas de la civilización occidental," carrying "la antorcha de la civilización" — the standard transnational-alliance-of-free-nations frame first developed at the America First Policy Institute speech (2024-11-14), here specifically anchored to shared Western-civilizational heritage rather than a policy-alliance structure.</t>
  </si>
  <si>
    <t>Declaracion Conjunta Con Scott Bessent (Tesoro Ee.Uu.)</t>
  </si>
  <si>
    <t>2025-04-14</t>
  </si>
  <si>
    <t>A nivel comercial, entendemos la propuesta de aranceles recíprocos que elaboró el Presidente Trump y estamos listos para firmar un acuerdo comercial en dicha línea que sin dudas beneficiará, tanto los Estados Unidos como la Argentina, porque una mayor integración comercial significa nada más ni nada menos, que los ciudadanos de ambas naciones puedan acceder a bienes y servicios de mejor calidad a un mejor precio. No obstante, entendemos que la sociedad que estamos forjando con los Estados Unidos tiene que ir más allá de profundizar nuestras relaciones comerciales. Cuando Europa fue devastada por la Segunda Guerra Mundial, los Estados Unidos fueron al rescate del viejo continente, lo hicieron porque comprendían que si Europa continuaba cayendo por el abismo podía arrastrar al resto de occidente consigo dejándolo a merced del comunismo y que era imperativo fortalecer a sus aliados para asegurar su propia fuerza. Hoy América Latina también está devastada, hace décadas que nuestras regiones asediada por el virus del socialismo fundamentalmente la dimensión económica, donde ha dejado un tendal de inflación y miseria en Venezuela, Argentina y otros países, pero también en la dimensión social y cultural donde gobierna el socialismo condena a los pueblos al fracaso.</t>
  </si>
  <si>
    <t>an extended regional indictment — socialism as a "virus" that has produced a "villa miseria" and "cárcel a cielo abierto" in Venezuela and comparable decline across Bolivia, Ecuador, and Brazil, with Argentina's own decline attributed to "políticos enceguecidos por el socialismo" who scapegoated the US rather than acknowledge domestic failure. One of the more geographically expansive Anti_Socialism_Anti_Collectivism passages in the corpus, extending the frame from Argentina-specific critique to a hemispheric diagnosis.</t>
  </si>
  <si>
    <t>Y el segundo, que también es otra monstruosidad, y que es clave en el trabajo de Huerta de Soto, es el segundo teorema de economía del bienestar, y es que la eficiencia paretiana es compatible con distintos tipos de dotaciones iniciales. Dicho de otra manera: ustedes esa idea llevada al extremo -y en los manuales de microeconomía o teoría de los precios, como ustedes quieran decirle, está- es el hecho que la optimalidad es independiente de la distribución. Una idea que el primero que la instaló fue John Stuart Mill. Bueno, eso es verdaderamente una aberración. Y con eso se mete directamente el profesor Huerta de Soto en algún momento. Porque todo el debate entre el capitalismo de libre mercado, el modelo de libre mercado, la sociedad de libre mercado, versus el socialismo o el estatismo, en sus distintas versiones, de derecha o de izquierda, pero todos estatistas en el fondo… lo que sabemos no es trivial. No es independiente el resultado de la distribución. No lo es en términos estáticos, lo cual es grave; pero además es mucho peor en términos dinámicos. Y si nosotros comprendemos este punto, vamos a tener claro que abrazar las ideas del socialismo puede destruir una sociedad. El mejor ejemplo es Argentina: de ser uno de los países más ricos del mundo, los distintos pelajes del socialismo hundieron a la economía y nos dejaron plantado un desastre que hubiera sido la peor de las crisis de la historia argentina, porque combinaba lo peor del Rodrigazo, lo peor de la híper de Alfonsín y lo peor de la salida de la convertibilidad del 2001.</t>
  </si>
  <si>
    <t>Argentina presented as "el mejor ejemplo" of how "abrazar las ideas del socialismo puede destruir una sociedad" — the standard socialism-as-civilizational-catastrophe framing, here embedded within an academic economic-theory lecture rather than a political stump speech.</t>
  </si>
  <si>
    <t>Condecoracion Orden De Mayo Al Dr. Jesus Huerta De Soto</t>
  </si>
  <si>
    <t>2025-04-27</t>
  </si>
  <si>
    <t>Y después otra cosa fabulosa que plantea el profesor Huerta de Soto: los problemas dinámicos. Porque ustedes necesitan que se vaya creando esa información, pero la información que le llega al socialismo siempre es lenta. Y esta es la mejor parte de todas, porque ustedes se imaginarán que detrás de todo esto hay un andamiaje que ustedes tienen que saber de economía; tienen que saber en serio. Y qué es lo más brillante de la contribución del profesor Huerta de Soto: no necesitan saber nada de esto. Porque en realidad lo importante es la cuestión ética y moral. Por ejemplo, Argentina no se ha hundido por un problema de cómo hacíamos las cuentas. El problema es de índole moral. Son los valores. Cómo hemos prostituido nuestros valores. Dejamos de abrazar los valores de Occidente, los valores de la cultura judeocristiana, para abrazarnos al demonio del socialismo woke, y así es como nos hundimos. Y entonces, por eso es que toma más fuerza, ahora sí, esta definición. Porque podría haber un montón de senderos supuestamente por los que sería óptimo el crecimiento. No. Y en eso es muy claro. Hay un solo sendero que cumple con estas características. Por eso me gustó tanto esta definición: “Justicia y eficiencia son dos caras de la misma moneda, ya que lo justo no puede ser ineficiente, y lo eficiente siempre debe ser justo”. Y el único sistema que es justo es el capitalismo de libre empresa. Por lo tanto, si uno abraza los valores morales y éticos de que queda claro lo que está bien y lo que está mal, y uno se sigue por esos valores, y lo que es justo va a estar yendo por el sistema eficiente. Porque además, el único sistema que es justo es el capitalismo de libre empresa. En el libro de Israel Kirzner sobre distribución del ingreso dice ¿De qué se lo tacha al sistema capitalista? Se lo tacha de injusto. ¿Y qué es lo que dice Israel Kirzner? Dice: si eso fuera cierto, es decir, somos más eficientes productivamente; pero si fuera cierto que el sistema es injusto, no vale la pena defenderlo. ¿Y cuál es la prueba central en ese trabajo? Que el sistema capitalista no solo es más eficiente, sino que además, es el único sistema que es justo. Por lo tanto, abrazando las ideas de la libertad vamos a entrar en el sendero de crecimiento que va a hacer grande a la Argentina nuevamente. Muchísimas gracias a todos, y en especial a usted, profesor Jesús Huerta de Soto.</t>
  </si>
  <si>
    <t>FLAGSHIP phrase — "el demonio del socialismo woke" explicitly fuses socialism and wokeness into a single named target ("socialismo woke"), framed as the civilizational-moral antithesis of "los valores de Occidente, los valores de la cultura judeocristiana." One of the most explicit single-phrase fusions of the socialism and woke frames in the corpus, combining Woke_Bundling's bundling logic with an implicit Civilizational_Defense (Western/Judeo-Christian values) register within one sentence.</t>
  </si>
  <si>
    <t>Pero, claro -cuando empezamos a estabilizar- primero, era que no bajábamos la inflación… Ah, y además lo hicimos recomponiendo precios relativos, en un contexto donde las tarifas solamente cubrían 20% del costo o la aberración que teníamos en el Banco Central, de que solamente teníamos… solo de las SIRAS teníamos más de 40 mil millones de dólares de deuda, con lo cual estábamos al borde de un colapso comercial externo; un colapso financiero interno y además se pagaban solamente 15% de las importaciones. Y, en ese contexto, primero, decían que no íbamos a poder bajar la inflación en los primeros meses del 30 al 20%; después que no la íbamos a poder bajar del 8; después que no la podíamos bajar del 4; después que no la podíamos bajar del 2. Y la realidad es que -cuando uno empieza a mirar los datos del último año- lo limpiara del efecto del crawling peg, era una inflación que estaba viajando al 1 y medio. Hay un capítulo especial de lo que pasó en el mes de marzo; no sólo por la cuestión de la estacionalidad, que de hecho en la estimación de González Rozada muestra que ese 3,7 corregido por estacionalidades es 2,6. Pero yo no vengo acá a llorar, sino que el problema más grave fue esa estupidez de ley,que sacó el imbécil, incapaz e infradotado de Guzmán, que obliga a tener que pasar un programa del Fondo Monetario Internacional por el Congreso. Es decir, el lugar donde están los degenerados fiscales.</t>
  </si>
  <si>
    <t>Congress itself labeled "el lugar donde están los degenerados fiscales," combined with a mocking anecdote about legislators' inability to respect even their own speaking-time limits ("no saben dibujar un cero"). A markedly more personally vitriolic register than prior instances of the Ley Guzmán critique (e.g., the April 11 cadena nacional's more measured "aberración de la ley Guzmán") — the author of the law is called "el imbécil, incapaz e infradotado," an escalation worth tracking.</t>
  </si>
  <si>
    <t>Expoefi Argentina 2025</t>
  </si>
  <si>
    <t>2025-04-30</t>
  </si>
  <si>
    <t>Buenos Aires (C. De Convenciones)</t>
  </si>
  <si>
    <t>Entonces, obviamente que la miserabilidad política y la incompetencia de gran parte de los economistas locales decían que no íbamos a abrir el cepo en un año electoral; que íbamos a esperar que pasaran las elecciones. Y, fruto de la maldita Ley Guzmán, nosotros el 1° de marzo anunciamos que íbamos a hacer un programa con el Fondo, que íbamos a sanear el balance del Banco Central, algo que veníamos trabajándolo desde agosto/septiembre del año anterior, cuando empezamos a ver que la economía no iba a tener insumo monetario y, en ese contexto, cuando nosotros anunciamos, el 1° de marzo, que íbamos a ir a un acuerdo con el Fondo y que tenía que pasar por el Congreso; algo que no pasó nunca en la historia porque antes no estaba esa restricción, hasta que la puso Guzmán. Por lo tanto, todos los que hicieron acuerdos con el Fondo sin esa restricción y que se quejaron del modo de la masterclass que le metimos a la política, y que les duele porque todos esperaban que no lo pudiéramos pasar por el Congreso, empezaron a llorar -como siempre- los ñoños republicanos; que, dicho sea de paso, la verdad no me importan sus sentimientos, yo juego dentro de la ley, soy bilardista y dentro de la cancha vale todo, todo lo que permite el reglamento… ¿estaba permitido en el reglamento? Sí, bueno, que la vayan a buscar, la tiene adentro. Y, entonces, empezaron todos los agoreros de que el tipo cambio atrasado y que esto tenía que volar por las nubes y toda esa montaña de estupideces y, durante marzo y mitad de abril, nosotros teníamos un acuerdo de confidencialidad con el Fondo y no podíamos hablar, y mientras que nosotros permanecíamos callados, mientras que los imbéciles de los periodistas decían que no hablábamos porque estábamos asustados. Pero no hablábamos porque no podíamos soltar información. Y eso, todos los enemigos de los argentinos, porque ya no es un problema de que sean enemigos del Gobierno, sino que son los enemigos de los argentinos, los que han lucradodurante los últimos cien años con este modelo empobrecedor, ya sea los empresarios prebendarios, ya sean los políticos corruptos, ya sean los periodistas ensobrados, ya sean los sindigarcas o sean los profesionales funcionales a este conjunto de hijos de puta que cagaron el país.</t>
  </si>
  <si>
    <t>an extended, highly vitriolic itemization of the "partido del Estado" coalition (crony businessmen, corrupt politicians, paid-off journalists, union bosses, "profesionales funcionales") reframed here as literal "enemigos de los argentinos" rather than merely political opponents — a notable escalation from the more clinical institutional-critique register of speeches like the CPAC Washington "partido del Estado" definition.</t>
  </si>
  <si>
    <t>Si yo tengo una empresa A, que produce un determinado bien y tiene desperdicio; bueno, se quiere sacar el desperdicio de encima, va a tener que pagar para sacarse el desperdicio encima. Pero sucede que hay una empresa B, que produce otro producto, que necesita - como insumo - el desperdicio de la otra. Entonces puede aparecer un tipo en el medio que dice: “pará, pará, yo le puedo pagar a este para sacar el insumo este y vendérselo al otro y en el medio gano plata”, es decir, descubrió una oportunidad de negocio y la estaba aplicando. Consecuentemente, ahí yo tengo una ganancia de bienestar, pero eso solamente puede ocurrir si hay precios, si no hay precios y si quiero ejercer esa actividad me van a robar los resultados, no va a ocurrir. Entonces la coacción, que genera el Estado imposibilita que eso ocurra. Por eso el socialismo siempre genera miseria, porque no tiene el rol del sistema de precio coordinador y, además, rompe cualquier intención de hacer algo; al margen que hay un problema de incentivo de que si el que trabaja bien se lleva lo mismo el que el que no hace nada, pero ¿para qué van a trabajar.?</t>
  </si>
  <si>
    <t>an extended, theoretically elaborated impossibility-of-socialism argument (economic calculation problem, Hayek's dispersed-knowledge thesis) capped with a death-toll citation ("mataron a 150 millones de tipos") — one of the most fully developed Anti_Socialism_Anti_Collectivism passages in the corpus, combining the moral-historical register (Berlin Wall, death toll) with the technical-economic register (calculation problem) in a single sustained argument.</t>
  </si>
  <si>
    <t>Al mismo tiempo, es repugnante las operaciones mediáticas, por ejemplo, la que ha emprendido ese infame Grupo Clarín - para variar - ensuciando, calumniando. Pero bueno, si ustedes miran mi portada de Twitter van a ver por qué hay tanto odio. Pero bueno, se quieren quedar con un negocio de prepo, se quieren quedar con Telefónica de prepo; y como eso va en contra de los lineamientos de defensa de la competencia nos quieren someter - a carpetazos, a mentiras, a calumnias e injurias - todo el tiempo. Pero - a diferencia de los corruptos que han estado antes - yo no voy a ceder. Así es que sí voy a voy a seguir dando batalla y la realidad es que no estaban los votos, fue toda una operación mediática - teñida de amarillo -, no estaban los votos, no estaban los votos. Por eso, el jefe de la bancada de senadores de la Libertad Avanza pidió que - antes - se firmara un compromiso para que cuando tuviéramos las 37 firmas ir al recinto y estar seguros de que podíamos pasar el proyecto.</t>
  </si>
  <si>
    <t>a Senate defeat (on what appears to be an anti-corruption/asset-forfeiture bill) is attributed to "el partido del Estado, los corruptos," with Grupo Clarín's coverage folded in as part of the same coordinated establishment resistance ("operaciones mediáticas... carpetazos, mentiras, calumnias e injurias") — the standard partido-del-Estado frame applied to a specific legislative defeat.</t>
  </si>
  <si>
    <t>11A Edicion Del Latam Economic Forum 2025</t>
  </si>
  <si>
    <t>2025-05-08</t>
  </si>
  <si>
    <t>Pero qué pueden pretender de aquellos que se dicen estar a favor de la libertad y dicen que no hay que recortar el gasto público en la Ciudad, cuando cuadriplicaron el tamaño del Estado. La pregunta es: ¿Cuántas elecciones les prometieron que iban a bajar impuestos? Porque no van a poder bajar impuestos si no bajan el gasto, aviso. O sea, para que vean cómo les están mintiendo. O cómo le mienten, cuando tienen un candidato que habla del Ingreso Mínimo Universal, o sea una medida típicamente socialista; o cuando tienen una candidata que dice que va a dar crédito subsidiados, es decir contra toda lógica de mercado; o directamente cuando mienten diciendo que queremos cerrar escuelas y cerrar hospitales, que es la misma campaña negativa que hizo Massa, en el año 2023. Y debe ser porque justamente contrataron a la misma basura humana de Gutiérrez Rubí, que se dedica a hacer campaña negativa. Parece que si queremos hacer el cambio necesitamos – entonces - sacarnos de encima el partido del Estado, pero parece que le gusta defender el Estado porque les gusta defender kioscos.</t>
  </si>
  <si>
    <t>brief but explicit — Universal Basic Income proposals from opposition candidates labeled "una medida típicamente socialista," a compact instance of the standard socialism-as-label delegitimization move.</t>
  </si>
  <si>
    <t>Entonces, ¿qué hizo el Estado? En lugar de agarrar y resolver el problema del atraco, del robo, ¿qué dijo? No, no, ¿cómo? Este negocio lo puedo hacer yo. ¿Y qué hizo? Se quedó con la producción de dinero. Entonces ahora lo hacía el Estado. Es decir, el Estado no admite competencia en el robo, tiene que ser él solo. ¿Ustedes se pusieron a pensar que si ustedes hicieran las cosas que hace el Estado irían presos? Digo, es un tema no menor.</t>
  </si>
  <si>
    <t>the State's historical monopolization of currency issuance framed as the State appropriating for itself a "robo" (theft) that private note-issuers had been committing — "el Estado no admite competencia en el robo" — a distinctive formulation casting the central-banking system's very origin as institutionalized fraud rather than a public good.</t>
  </si>
  <si>
    <t>Por ende, los precios de los bonos bajos, altas tasas de interés, alto riesgo país - cuando ganamos el riesgo país estaba en 3000; eso genera un exceso de oferta en el mercado de bienes, con lo cual, la economía estaba estancada desde el año 2011, en el mismo nivel de PBI, en términos de per cápita, 15% abajo. No solo eso: ese exceso de oferta en el mercado de bienes se traducía en un exceso de oferta en el mercado de trabajo. La cantidad de empleo formal está clavada desde el año 2011 en 6 millones de puestos de trabajo. ¿Y cómo se compensó? Con aumento en el sector público, bajo esa aberración estúpida que es “gobernar es crear trabajo”. No, gobernar es que la gente viva mejor. ¿Por qué esa frase de “gobernar es crear trabajo” es una pelotudez del tamaño de una casa? Porque entonces, ¿qué hago? Creo muchos empleos públicos. Vamos a volar por los aires. Eso es lo que hacía el kirchnerismo. En realidad, gobernar es que la gente viva mejor y que se creen... o sea, se lo pongo con un caso ridículo: ¿qué pasa si la cantidad de gente en la economía está constante, la tasa de natalidad igualada a la tasa de mortalidad? ¿Qué voy a crear puestos de trabajo si la cantidad de gente no cambia? ¿De qué están hablando? O sea, gobernar es generar bienestar; es decir, bajar la inflación, hacer que crezca la economía, que mejoren los salarios reales y que haya menos pobres y menos indigentes. Dicho sea de paso, nosotros, los desalmados liberales, bajamos la pobreza en menos de un año en 22 puntos.</t>
  </si>
  <si>
    <t>a new specific argument not present in the 2025-05-08 speech — public-sector employment growth since 2011 attributed specifically to kirchnerismo's "aberración estúpida" belief that "gobernar es crear trabajo," used to explain the stagnation of formal private employment. A distinct economic-policy critique of a named political movement rather than the more generic "partido del Estado" framing used elsewhere.</t>
  </si>
  <si>
    <t>42 Congreso Anual Del Iaef</t>
  </si>
  <si>
    <t>2025-05-14</t>
  </si>
  <si>
    <t>Yo hago una pregunta: yo tuve la suerte de conocer a una persona que se escapó de Cuba, pero yo hago una pregunta, si ustedes tienen una situación de una persona que se escapa de la isla cárcel como es Cuba, acorde a las leyes cubanas, eso, ¿qué sería? Sería un delito, ¿no? Hago una pregunta. Y aquel que se logra escapar ¿ustedes entonces irían y agarrarían y los perseguirían en Miami y los matarían o se los llevarían de vuelta para Cuba? A veces lo que es legal no necesariamente es lícito. No es lícito que los gobiernos hijos de puta hayan puesto controles, no es lícita la ley penal cambiaria. Ustedes pueden ahorrar en lo que se les cante el culo y no hay nadie que se pueda arrogar el derecho de decir en qué pueden ahorrar o no. Si ustedes en el año 2001, en lugar de quedarse con mil dólares, se hubieran quedado con mil pesos, hoy tendrían un dólar. Los políticos de mierda les hubieran robado 999 dólares. ¿Acaso está mal que ustedes se quieran proteger de un chorro? Esa gente que tiene la guita debajo del colchón no son delincuentes, son tipos que se escaparon de un régimen opresor que los quería estafar.</t>
  </si>
  <si>
    <t>a new and notable rhetorical device not present in the 2025-05-08 speech — Argentina's capital controls (ley penal cambiaria) explicitly compared to Cuba's prohibition on emigration, with both framed as "legal pero no lícito." Escalates the standard "cepo as theft" framing into an authoritarian-regime comparison, casting Argentines who held undeclared dollars as equivalent to political escapees from Cuba.</t>
  </si>
  <si>
    <t>Es decir, una de las cosas maravillosa de Adam Smith, cuando habla de la fábrica de alfileres que es la representación de los rendimientos crecientes, es que esa ganancia de productividad que se puede generar tiene un límite. Es decir, una persona sola producida 20 alfileres, pero si partían la actividad en 18 digamos, la producción per cápita saltaba a 5000 alfileres. Claro, ahora, el límite ¿dónde va a estar? en si ustedes pueden vender todos esos alfileres, van a tener que vender 90 mil alfileres ¿el límite dónde está? está el tamaño del mercado. Eso es lo que decía Adam Smith, la división del trabajo está limitada por el tamaño del mercado. Por lo tanto, el rol de la población es fundamental en el crecimiento económico. Digo eso para todo lo que fue digamos, la agenda 2030 y todo lo que es la agenda del progreso. Pero bueno, ahora se están dando cuenta que se les pasó la mano en atacar a la familia, atacar a las dos vidas y ahora lo estamos pagando con caídas en la tasa de natalidad. Ahora el miedo es que el mundo se quede sin gente. Lo hubieran pensado antes, nos hubiéramos ahorrado bastantes asesinatos en el vientre de las madres. Pero al margen de algunas cuestiones criminales, lo importante acá es la presencia de los rendimientos crecientes como concepto, con lo otro ya no podemos hacer nada, más que mejorarlo hacia adelante, en lo cual también trabajamos.</t>
  </si>
  <si>
    <t>FLAGSHIP passage — "la agenda 2030 y toda la agenda del progreso" bundled together and blamed for "atacar a la familia" and "las dos vidas" (the pro-life doctrine of life from conception to natural death), with the resulting birth-rate decline framed as self-inflicted punishment ("lo hubieran pensado antes") and abortion explicitly termed "asesinatos en el vientre de las madres." Notable for connecting the corpus's economic growth-theory register (population growth as an increasing-returns driver) directly to the anti-Agenda-2030/anti-abortion cultural-backlash frame — a novel argumentative bridge between D1.1-adjacent growth economics and D1.3's usual targets, not seen in this specific combination elsewhere in the corpus.</t>
  </si>
  <si>
    <t>Amcham Summit 2025</t>
  </si>
  <si>
    <t>2025-05-20</t>
  </si>
  <si>
    <t>Pero no solo nos hemos quedado en señalar eso, también hemos dicho que en Argentina volvíamos a abrazar los valores de Occidente. Y los valores de Occidente no son ni más ni menos que abrazar la cultura judeocristiana, reconocer el Dios de Israel y, en lo político, digamos, la República romana y la democracia griega. Eso constituye la democracia liberal que venimos a defender en los valores de Occidente. Y eso está manifestado en mi alianza con los Estados Unidos y con Israel. Por lo tanto, nadie debe sorprenderse de lo que estamos haciendo en materia internacional.</t>
  </si>
  <si>
    <t>an explicit doctrinal statement of "los valores de Occidente" (Judeo-Christian culture, Roman Republic, Greek democracy) as the substance of the US-Israel-Argentina alliance — one of the more systematically itemized Civilizational_Defense passages in the corpus.</t>
  </si>
  <si>
    <t>Madrid Economic Forum</t>
  </si>
  <si>
    <t>2025-06-08</t>
  </si>
  <si>
    <t>Es más, como parte de esta política del “que las hace, las paga”, digamos que dejamos de tener esa doctrina que está a favor de los delincuentes. Acá se defiende a las víctimas, no al victimario. Y, en ese contexto, dentro de las políticas que eliminamos fueron todas las políticas de género, porque son políticas que menoscaban a la mujer, porque las tratan como un ser inferior. Y lo que los liberales proponemos es que somos todos iguales frente a la ley. Entonces nos vaticinaron que nosotros estábamos a favor de los femicidios y, sin embargo, los homicidios contra mujeres han caído 14%, y hoy Argentina tiene una tasa de delincuencia más baja de su historia porque el que las hace, las paga.</t>
  </si>
  <si>
    <t>a notable inversion — gender policy is not simply dismissed as "woke" but reframed as itself sexist ("políticas que menoscaban a la mujer... las tratan como un ser inferior"), so that its elimination is presented as the genuinely pro-equality position. A distinct rhetorical structure from the corpus's more common direct-dismissal pattern.</t>
  </si>
  <si>
    <t>"el socialismo toma una causa noble y la prostituye" — a distinct formulation from the corpus's usual "socialism = theft/envy" framing, instead arguing socialism instrumentalizes legitimate social concerns as cover for corrupt power retention (illustrated with the "gerentes de la pobreza" example).</t>
  </si>
  <si>
    <t>Lo aceptemos o no, Occidente – hoy - se enfrenta a una prueba de fuego, porque así como está siendo asaltada por despotismos bárbaricos de distinto tipo [...] también está viéndose envenenado por una barbarie interna y autoinfligida, que es la ideología woke con su relativismo moral, que descalibra la brújula moral y genera, entre otras cosas, que la dirigencia global le dé la espalda a Israel.</t>
  </si>
  <si>
    <t>"ideología woke" named explicitly as a "barbarie interna y autoinfligida" causally responsible for global leaders abandoning Israel — a distinctive application of the Woke_Bundling frame to foreign-policy/antisemitism discourse rather than its more common domestic economic or environmental targets.</t>
  </si>
  <si>
    <t>Discurso En La Kneset (Parlamento De Israel)</t>
  </si>
  <si>
    <t>2025-06-11</t>
  </si>
  <si>
    <t>Jerusalen, Israel</t>
  </si>
  <si>
    <t>Párrafo aparte para la ex activista climática que se convirtió en una mercenaria del activismo para cualquier cosa que le dice la izquierda internacional, a cambio de un poquito de prensa y cámaras. Hablo de Greta Thunberg, que - en los últimos días - hizo una performance de victimización con que estaba secuestrada, mientras decenas de ciudadanos israelíes y del mundo [...] siguen realmente secuestrados [...] por [...] Hamás.</t>
  </si>
  <si>
    <t>FLAGSHIP passage — Greta Thunberg, explicitly identified as an "ex activista climática," is attacked not on climate grounds but reframed as "una mercenaria del activismo" who follows "la izquierda internacional" for publicity — the corpus's most direct ad hominem targeting of a globally recognized climate figure, delegitimizing her present activism (a Gaza flotilla) by discrediting her past climate advocacy as opportunism rather than genuine conviction. A distinct rhetorical strategy from the corpus's other climate-skepticism moves (mockery of the science itself, "paranoia climática" labeling) — here the target is the messenger's motives, not the message.</t>
  </si>
  <si>
    <t>Paralelamente, hoy Argentina está atravesando su propio éxodo: se está liberando, tras cien años de una casta política que avanzó – descontroladamente - sobre sus ciudadanos.</t>
  </si>
  <si>
    <t>Argentina's economic reform explicitly framed via the biblical Exodus metaphor ("su propio éxodo... liberándose... tras cien años de una casta política") — delivered before the Knesset, this is a notable instance of the casta frame merged with the speech's dominant religious/liberation register.</t>
  </si>
  <si>
    <t>El primer grifo, que teníamos para cortar la emisión monetaria era el déficit fiscal, y ahí teníamos que hacer un ajuste de 5 puntos del PBI, pero se imaginarán que -dadas las circunstancias- no era la obra de un cirujano, era la obra de un carnicero. Entonces, el ajuste original no fue de 5 puntos del PBI, fue de 7. Básicamente cortamos de cuajo la obra pública, que es una fuente de corrupción enorme en Argentina; cortamos de cuajo las transferencias discrecionales a las provincias. No solo eso, sino que además echamos a 50.000 empleados públicos. Por otra parte, todos los contratos que se van venciendo no se renuevan, salvo que sean en situaciones muy, muy particulares.</t>
  </si>
  <si>
    <t>Public works, discretionary provincial transfers, and 50,000 public-sector jobs are grouped together and framed as inherently wasteful/corrupt state machinery ("fuente de corrupción enorme") to be cut "de cuajo." This targets the organizational form and practices of the state apparatus itself — not a specific political elite (Anti_Casta) — matching the codebook's bureaucratic-bloat recognize-by criteria. Distinct from the codebook's Market_Primacy worked example on "obra pública" (which debunks the "obra pública genera trabajo" myth); here the move is a corruption/waste framing rather than a market-vs-state efficacy argument.</t>
  </si>
  <si>
    <t>Clase Magistral En La Universidad Hebrea De Jerusalen</t>
  </si>
  <si>
    <t>2025-06-12</t>
  </si>
  <si>
    <t>Hay una frase hermosa de un economista de Chicago, que se llama Thomas Sowell, que - originalmente era marxista - después se volvió libertario, y dice: “La primera ley de la economía es la escasez, es decir, no hay de todo para todos. Y, la primera ley de la política es ignorar la primera ley de la economía”. Afortunadamente para la economía argentina, y - desafortunadamente para los ladrones de la política - yo voy a hacer cumplir la restricción presupuestaria a rajatabla.</t>
  </si>
  <si>
    <t>"Los ladrones de la política" applies the extractive-class framing to the political establishment without needing the literal word "casta" — political actors are cast as thieves in direct opposition to the fiscal discipline Milei claims for his own government. This matches the codebook's parasite/producer diagnostic (institutional actors who "viven de lo que otros producen" rather than serve the public), deployed here via the Sowell quote as a rhetorical launching point.</t>
  </si>
  <si>
    <t>Entonces los argentinos buscaban cómo protegerse del archivillano ladrón, el máximo ladrón de todos, que es el Estado, y uno de sus mecanismos de robos más perversos, que es el impuesto inflacionario. Entonces, porque en Argentina se hicieron varios blanqueos, pero es como si hubieran hecho algo malo y, en realidad, no me hicieron nada malo, solo se estaban escapando del torturador. Es más, por eso me fastidian tanto la izquierda y los periodistas, es más, diciendo “Ah no, bueno, pero entonces los que quedaron adentro…” Pero es como que salen, de Cuba, cagándose a trompadas con los tiburones; llegan a Miami, y ustedes quieren castigar a los que llegaron a Miami, porque todavía quedó gente en la isla-cárcel. Es un disparate, es un disparate verdaderamente.</t>
  </si>
  <si>
    <t>The state is explicitly named "el archivillano ladrón, el máximo ladrón de todos" and the inflation tax "uno de sus mecanismos de robos más perversos" — a direct characterization of the state as inherently predatory and coercive, matching the codebook's recognize-by criteria for this sub-code. The subsequent "izquierda y periodistas" jab and Cuba/Miami escape metaphor reinforce this same state-as-persecutor framing rather than introducing a genuinely distinct move, so a single code is applied per the overcoding rule.</t>
  </si>
  <si>
    <t>Por lo tanto, lo que hicimos fue cambiar la forma de cómo el fisco miraba las cosas. En Argentina, todos eran culpables, salvo que demostraran lo contrario, un disparate; la revolución es que, ahora, son todos inocentes salvo que ARCA pueda demostrar lo contrario. Y eso significa que la gente ahora puede usar sus dólares libremente, pero no era solamente decir: “bueno, ahora lo pueden usar libremente”, o sea, había que hacer las reformas. El total de reformas involucradas, en esa operación, son 500, era un sistema soviético, prácticamente. Pero, entonces, lo voy a hacer con un ejemplo para que sea fácil: ustedes, por ejemplo, declaraban ingresos, pero al mismo tiempo les hacían declarar el consumido. Entonces, ¿qué pasa? Si ustedes tenían 100 de ingresos y gastaban 400, de alguna manera tenían que explicar esos 300. Entonces les pedían el consumido para detectar si mapeaba con los ingresos, pero - al mismo tiempo - les miraban la variación patrimonial; su patrimonio, en este caso, tendría que estar cayendo 300. ¿Qué es lo que hicimos nosotros? Eliminamos el consumido; eliminamos la variación patrimonial, con lo cual – ahora - todo el mundo puede gastar sin ningún tipo de problema que yo no los voy a ir a buscar.</t>
  </si>
  <si>
    <t>The prior tax-declaration regime's inverted burden of proof ("todos eran culpables, salvo que demostraran lo contrario") is framed as categorically illegitimate coercion — "un disparate," "un sistema soviético, prácticamente" — matching the negative-face recognize-by criteria (regulation as coercion/Trojan horse for state intrusion). The "sistema soviético" label reinforces rather than adds a distinct ideological-bundling move, so it is folded into this single code rather than stacked as Anti_Socialism_Anti_Collectivism, per the overcoding rule.</t>
  </si>
  <si>
    <t>Y, en ese sentido, nosotros armamos el Ministerio de Capital Humano, justamente, desde el primer día teníamos planeado crecer. Entonces, el primer rol que tuvo el Ministerio de Capital Humano, fue el de contener la pobreza frente al ajuste. Ahí, la Ministra Pettovello tuvo una acción brillante y fue descubrir que cuando se le pedía prestación a los beneficiarios de los planes sociales, en ese momento, se les sacaba la mitad del plan. Entonces, recibían dos planes y les cobraban uno. Y en ese contexto, una de las cosas que nosotros hicimos fue quitar esa contraprestación. Obviamente, al otro día nos estaban amenazando con hacernos una marcha donde supuestamente iban a venir 100.000 personas, y ahí también, junto a la valentía de la ministra Patricia Bullrich, que planteó el protocolo anti-piquete - piensen que Argentina tenía cerca de 9,000 piquetes por año - y el accionar del Ministro de Infraestructura, Guillermo Ferraro, que usó toda la infraestructura para comunicar que el que corta no cobra y que denunciaran a aquellos gestores de los planes sociales que los extorsionaban -hubo 18,000 denuncias. Lo más interesante es que, por un lado, pudimos duplicar la cantidad de recursos que llegaron a los sectores más vulnerables, sin girar un solo peso más, y - al mismo tiempo - intentaron tomar la calle, pero fue tan efectivo el mecanismo que de los 100.000 que esperaban fueron solamente 3.000, es decir, había más policías que manifestantes. Y como consecuencia de ello, a partir de eso, también logramos el orden en las calles.</t>
  </si>
  <si>
    <t>"Gestores de los planes sociales que los extorsionaban" names a class of political intermediaries who extract resources from welfare beneficiaries for their own benefit — the parasite/extractor-versus-producer logic the codebook identifies as diagnostic of Anti_Casta, applied here to piquetero/social-plan political operators rather than to bureaucrats or global governance elites. Distinct from Anti_State_Anti_Bureaucratic because the target is a specific extractive intermediary class, not the organizational form of the state itself.</t>
  </si>
  <si>
    <t>El otro, que también es muy popular, que está a cargo de ese economista formidable y maravilloso, que es el doctor Federico Sturzenegger, es el Ministerio de Desregulación. La idea es muy simple: si ustedes tienen un modelo y tienen la realidad, y la realidad no mapea con el modelo, y el modelo erra sistemáticamente ¿ustedes qué harían? Tirarían el modelo, ¿sí o no? Si están tomando decisiones, donde los echan del trabajo, van a ver que van a elegir los datos, no el modelo que dice cualquier cosa. Bueno, los economistas neoclásicos tenemos un defecto que cuando la realidad no mapea con el modelo, lo llamamos fallo de mercado. Bueno - desde mi punto de vista- los fallos de mercado no existen, porque el mercado es un proceso de cooperación social, donde se intercambian derechos de propiedad voluntariamente, por lo tanto no puede haber un fallo de mercado si las transacciones son libres. Eso no quiere decir que no me vaya a equivocar, que es otro problema. Entonces, si ustedes miran la economía neoclásica - de manera crítica - el core central, está hecho sobre la naturaleza y las características del equilibrio, que tiene que ver con la existencia, con la unicidad y la estabilidad, pero con el agravante que, después, vienen la idea de Pareto y el Primer Teorema del Bienestar y el segundo, y ahí es donde la pone más complicada porque entonces cada vez que el mundo no se parece a lo que nosotros creemos lo llamamos fallo de mercado.</t>
  </si>
  <si>
    <t>"Los fallos de mercado no existen... no puede haber un fallo de mercado si las transacciones son libres" is the canonical negative-face move named verbatim in the codebook's recognize-by list ("market failure is an oxymoron"). The theoretical foundation for any regulatory intervention — including externality-based environmental regulation — is denied categorically, on the same conceptual grounds documented in this codebook's Davos and Madrid examples.</t>
  </si>
  <si>
    <t>El fallo de mercado que más me irrita de todos - no voy a entrar en todos porque, estoy ya en tiempo-, es el que se llama No Convexidades: es decir, las estructuras concentradas, si ustedes lo quieren llevar muy al límite, los monopolios. Y la realidad es que los monopolios -salvo que sean monopolios generados por el Estado-, donde el Estado dice: “bueno, en este cuadradito solamente participa X X y si alguien lo viola, yo lo reviento a garrotazos”, salvo en ese caso, el monopolio no tiene por qué ser malo. Porque, de hecho, supongan que yo tengo 10 empresas de celulares y aparece una y hace un celular de mejor calidad, a un mejor precio ¿qué creen que va a pasar con las otras 9? Van a quebrar. Y sin embargo, yo estoy muchísimo mejor. Y dicen: “no, bueno, pero gana mucha plata”, ¿qué me importa? Si yo ahora tengo un bien de muchísima mejor calidad a un mejor precio; encima me libera recursos para gastar en otro lado y gana mucha plata. ¿Y cuál es el problema de que gana mucha plata? Si se la gasta en otro lado, generará actividad en otro lado; si la ahorra, generará inversión en otra parte; y si es un tirano y es tan malo y odia tanto a la gente que hunde el dinero ese en el piso, lo que hace es – básicamente - que el nivel de precios baje; o sea, un benefactor social. Es decir, lo que hay que tener claro es que ganar plata, la función social del empresario es ganar plata, porque solamente puede ganar plata sirviendo al prójimo con bienes de mejor calidad, a un mejor precio. Entonces, a los empresarios exitosos habría que llevarlos en andas, todos los días, y no perseguirlos.</t>
  </si>
  <si>
    <t>Monopoly outcomes are defended as generally benign — the product of market success rather than harm, except when state-created — and successful entrepreneurs should be celebrated "en andas" rather than "perseguidos." This is the categorical denial-of-market-failure move applied specifically to concentrated market structures: state intervention against market outcomes is framed as having no legitimate basis except where the state itself created the distortion.</t>
  </si>
  <si>
    <t>Y, en ese contexto ¿qué es lo que se sucede? Como en la Economía Neoclásica...Hago un punto adicional. Cuando ustedes se encuentran eso en la Economía Neoclásica, ¿qué van a hacer? Lo van a regular para que se termine pareciendo a una empresa competitiva. Ahora, ¿cuál es el problema? El problema es que, si yo lo hago parecer, a una empresa competitiva, los rendimientos son constantes a escala. Si ustedes miran el riesgo, desde la era cristiana, el PBI per cápita, en la serie de Madison, van a ver que hasta el 1800 el PBI per cápita está constante, o si ustedes quieren, crecía al 0,02% anual. Es decir, que para duplicar el PBI necesitaban 3500 años. Bastante aburridos en términos económicos. Ahora, si ustedes se fijan - desde el año 1800 hasta el año 2000 - el PBI se multiplicó por cerca de 10 veces, y la población, hasta el año 2000, lo hizo cerca de 8 veces. Con lo cual, a pesar de que la población se multiplicó por 8, la producción se multiplicó por 10. Quiere decir que el PBI subió 80, tal que el per cápita se multiplicó por 10. Eso se llama rendimiento creciente. Y el problema es que los rendimientos crecientes es una No Convexidad, que implicaría que no pueden obtener un máximo...Hay toda una serie de errores en el análisis neoclásico aquí, pero no viene al caso. Pero lo importante es que, cuando ustedes lo regulan, matan los rendimientos crecientes. Y el problema es que, cuando ustedes matan los rendimientos crecientes, el modelo se termina, por ejemplo, pareciendo al de Solow o al del Ramsey. ¿Y qué les pasa en esos modelos en estado estacional? No tienen crecimiento. Por lo tanto, cuando ustedes regulan la economía, lo que están haciendo es matar los rendimientos crecientes, y cuando matan los rendimientos crecientes, están matando el crecimiento económico.</t>
  </si>
  <si>
    <t>The passage builds a formal argument that regulating firms to resemble perfectly competitive markets destroys increasing returns and therefore destroys economic growth itself — the positive/negative-face deregulation-benefits move applied at the level of growth theory rather than a specific rule. This is a distinct analytical step from the immediately preceding monopoly-defense passage (which argues state-created monopolies aside, concentration isn't inherently harmful); here the claim is that the regulatory *response* to perceived market failure is what kills growth.</t>
  </si>
  <si>
    <t>Y entonces, desde el Ministro, desde la acción de Federico Sturzenegger y muchos de los ministros involucrados en esto, nosotros - en Argentina ya hemos hecho 2500 reformas estructurales en un año y medio. Y esto, ¿por qué es importante? Porque - yo les había contado - que el programa de estabilización más exitoso de la Argentina hasta el que hizo “Toto” Caputo, había sido el de la convertibilidad. Y, básicamente, hay un trabajo de Gerardo Della Paolera, Bózzoli y Irigoin, que se llama “Passing the Buck" y compara todos los gobiernos de la historia argentina. Y el mejor gobierno de la historia, es el primer gobierno de Menem, donde básicamente fue la convertibilidad, más 100 reformas estructurales. Nosotros tenemos un programa de estabilización mucho más exitoso, que la convertibilidad y 25 veces más de reformas estructurales. Por lo tanto, no tengo ningún pudor en decirles que somos el mejor gobierno de la historia.</t>
  </si>
  <si>
    <t>"2500 reformas estructurales" and "25 veces más de reformas estructurales" than Menem's convertibilidad program is presented as a headline governing achievement — the positive/deregulation-benefits face of the code, in the same register as the Madrid Economic Forum's "15.000 regulaciones" removed by the same ministry. The sheer count of deregulation is offered as self-evidently good, with no engagement on what any specific removed regulation governed.</t>
  </si>
  <si>
    <t>Hoy el mundo está cambiando en materia económica y política. La configuración de los últimos 30 años se está modificando. La barbarie es la eterna enemiga de la libertad, la independencia y la dignidad humana. Su ley no es otra que las masas esclavizadas a la voluntad de pequeños tiranos y el odio a todo lo que escape a su control e ideología criminal. Y dos formas distintas de barbaries, distintas, pero íntimamente relacionadas, amenazan la supervivencia de Occidente, como hacía mucho tiempo no ocurría. Por un lado - en el frente externo - el despotismo de quienes odian la libertad del cual el terrorismo fanático es, quizás, su expresión más abyecta. Pero también, puertas adentro de los países del mundo llamado libre en el frente interno, nos encontramos con ideas y discursos políticos que corrompen la brújula moral de las naciones libres y relativizan o excusan el peligro que representan los verdaderos enemigos de la libertad. Es, quizás, la pata más peligrosa de lo que denominamos la ideología woke. Me refiero, con la noble excepción de los Estados Unidos, a la pasividad de Occidente, ante este panorama de lucha entre el bien y el mal. Hablo de la impotencia o complicidad de los organismos multilaterales, infectados por el wokismo, que hoy han abandonado la tarea para la cual fueron creados.</t>
  </si>
  <si>
    <t>FLAGSHIP formulation — multilateral organizations described as "infectados por el wokismo," a literal contagion/disease metaphor applied to institutions like the UN, framing their perceived passivity toward Israel as a direct consequence of ideological capture rather than policy disagreement.</t>
  </si>
  <si>
    <t>Memorando De La Democracia Y La Libertad (Con Netanyahu)</t>
  </si>
  <si>
    <t>a fully developed "dos barbaries" theoretical structure — external terrorism and internal "ideología woke" presented as complementary, mutually reinforcing threats to Western civilization ("una, destruye desde adentro... allanando el camino para el ataque de la otra"). A more elaborated version of the Kneset speech's shorter "barbarie interna y autoinfligida" formulation delivered the previous day, developing the same theme into a fuller dual-threat framework.</t>
  </si>
  <si>
    <t>Es por eso que es tan valioso el aporte del Profesor Jesús Huerta de Soto, es una fuente de inspiración para todos y la humanidad le debe muchísimo porque es pelear contra el, como dice el profesor en una de sus conferencias, “ella está”, digamos, Samuel 8: “estamos peleando contra el mal, estamos peleando contra el propio demonio”, el Estado es el mal, pero bueno, seremos menos. Pero, como dice el libro de Macabeos 3:19: “La victoria en la batalla, no depende de la cantidad de soldados, sino de las fuerzas que vienen en el cielo”. ¡Viva la libertad, carajo!</t>
  </si>
  <si>
    <t>a theological escalation of the corpus's standard "Estado es una organización criminal" framing — here, citing and endorsing Huerta de Soto's own formulation, the State is explicitly named "el mal" and "el propio demonio" (the devil itself). Delivered as the closing statement of a speech structured around the Exodus narrative (Moses confronting Pharaoh), casting the anti-statist project in explicitly theological/cosmic terms rather than the more common economic-criminality framing.</t>
  </si>
  <si>
    <t>Premio Escuela De Salamanca</t>
  </si>
  <si>
    <t>2025-06-13</t>
  </si>
  <si>
    <t>Madrid, España (Centro Riojano)</t>
  </si>
  <si>
    <t>Segundo: el orden público es sagrado. Por eso terminamos con los piquetes extorsivos que tenían de rehén, a la gente de trabajo. Y tercero: los de azul son los buenos y los malos son los delincuentes. O sea, terminamos con la nefasta lógica del zaffaronismo penal, que trataba a las victimarias como víctimas y volvimos al sendero del sentido común. Elegir estos tres pilares fue fundamental no sólo porque los gobiernos anteriores habían desprotegido a la sociedad con su ideología pro- delincuente, sino también porque le habían dado la espalda a las propias Fuerzas de Seguridad. Ellos liberaron presos durante la pandemia, a la vez que encerraron a los inocentes y castigaban a los policías por abatir delincuentes, es decir, por hacer bien su trabajo. Así, nuestras Fuerzas de Seguridad fueron denostadas y demonizadas, en paralelo a que fueron vaciadas de financiamiento. Esto las puso en inferioridad de condiciones para hacer frente a los crecientes desafíos de nuestro tiempo, con el narcotráfico, el terrorismo y otras formas de crimen organizado. Sin embargo, a pesar de los incansables intentos de la política, nunca pudieron romper el lazo inquebrantable entre la fuerza de orden y la sociedad, que se mantuvo intacto.</t>
  </si>
  <si>
    <t>"zaffaronismo penal" explicitly named and blamed for treating "victimarias como víctimas" — a more specific and named formulation than the corpus's earlier "wokismo jurídico de Zaffaroni" (2025-03-01), here presented as the defining doctrine that the government's security policy has replaced, extending the woke-bundling frame's judicial-leniency application from a passing critique into an explicitly named target ideology.</t>
  </si>
  <si>
    <t>Presentacion Del Departamento Federal De Investigaciones (Dfi)</t>
  </si>
  <si>
    <t>2025-06-17</t>
  </si>
  <si>
    <t>Durante años, la política utilizó a las Fuerzas Armadas como un chivo expiatorio para justificar la reducción del gasto en defensa, bajo el argumento de que los uniformados eran los malos y los grandes culpables de la decadencia nacional. La política desatendió las necesidades del país ante las nuevas amenazas que surgían a nivel global. Como si fuera poco, en paralelo, se llenaron la boca hablando de soberanía, como si la soberanía fuera a agrandar el Estado con un fin en sí mismo, en lugar de asegurar la prosperidad de su pueblo. Una verdadera deshonra para aquellos que forjaron nuestra Patria poniendo en juego su vida durante las guerras de la Independencia y marcaron el punto de partida para la libertad de los argentinos. Esto que digo no son meramente palabras: es lo construimos con cada una de las decisiones que tomamos en materia de defensa, y esperamos que ustedes obren a conciencia de las mismas. Es por eso mismo que buscamos grabar estas bases en la historia de la Nueva Argentina, porque sabemos que el día de mañana nosotros no estaremos, pero la relación entre los argentinos y sus protectores deberá mantenerse inmaculada.</t>
  </si>
  <si>
    <t>"la política" blamed for using the armed forces as a "chivo expiatorio" to justify defense-spending cuts, combined with the redefinition-of-sovereignty argument first developed at the 2025-04-02 Malvinas speech ("soberanía... como si fuera a agrandar el Estado") — political class scapegoating combined with the standard sovereignty-is-not-statism reframe.</t>
  </si>
  <si>
    <t>Acto De Juramento Por El Dia De La Bandera</t>
  </si>
  <si>
    <t>2025-06-20</t>
  </si>
  <si>
    <t>Buenas noches [...] enfrente tenemos a unos orcos infumables [...] que me encantó la terminología de ese gigante, que es parte de la Fundación Faro, que es Axel Kaiser, quien los llama parásitos mentales; es decir y tienen la cabeza llena de todas las porquerías malas [...]</t>
  </si>
  <si>
    <t>opposition explicitly labeled "parásitos mentales," citing Axel Kaiser's book of the same name — a new intellectual reference not previously cited in the corpus, applying a parasitic-infection metaphor to political opponents broadly (not a specific institution).</t>
  </si>
  <si>
    <t>Evento De La Libertad Avanza</t>
  </si>
  <si>
    <t>2025-06-25</t>
  </si>
  <si>
    <t>Buenos Aires (Puerto Madero)</t>
  </si>
  <si>
    <t>[... Kicillof/Buenos Aires province attack section:] siguiendo - a rajatabla - el modelo de la casta, también aumentaron la planta permanente de militantes obedientes y se dedicaron a engrosar sus jugosas cajas, como las políticas de género, que el único problema que resolvieron es el pasar económico de los amigos del poder.</t>
  </si>
  <si>
    <t>gender policy explicitly reframed as a political "caja" (slush fund) benefiting "los amigos del poder" rather than addressing any genuine social problem — applying the woke-bundling frame specifically to provincial-government corruption allegations against Kicillof, a distinct target and register from the corpus's more common national-level gender-policy critiques.</t>
  </si>
  <si>
    <t>No se confundan: en esta elección se ponen en juego dos, y solo dos, modelos: el modelo de la libertad y el modelo de la casta [...] Kicillof lleva – aproximadamente -1 año sin adherir al RIGI [...] el soviético del Gobernador Kicillof [...]</t>
  </si>
  <si>
    <t>closing campaign framing reduces the upcoming midterm elections to a binary "modelo de la libertad" vs. "modelo de la casta" choice, with Kicillof cast as the personification of casta resistance (labeled "el soviético," "degenerado fiscal") for declining to join the RIGI investment regime — the clearest electoral-campaign application of the casta frame in the corpus to date.</t>
  </si>
  <si>
    <t>En simultáneo, la organización exigió que carguemos con financiar una estructura burocrática, hoy ya elefantiásica, dedicada a reuniones eternas; guías y regulaciones comunes sobre cuestiones de derecho interno; y duplicar foros que no logran la promoción efectiva de los derechos y libertades fundamentales de los ciudadanos. El saldo de todo esto fue un MERCOSUR que incumplió su objetivo original, cercenó libertades económicas y privó de oportunidades a los privados de la región. El MERCOSUR, al que de mercado y de común, le quedó cada vez menos.</t>
  </si>
  <si>
    <t>Milei, speaking as Mercosur's own outgoing pro-tempore president, delegitimizes the bloc itself as an "elefantiásica" bureaucratic structure that betrayed its founding purpose, curtailed economic freedoms, and deprived citizens of opportunity — a notable instance of a head of state delegitimizing the multilateral body he formally chairs, rather than an external supranational organization (contrast with the corpus's more common UN/organismos-supranacionales targets).</t>
  </si>
  <si>
    <t>Lxvi Cumbre Del Mercosur</t>
  </si>
  <si>
    <t>2025-07-03</t>
  </si>
  <si>
    <t>Buenos Aires (Palacio San Martin)</t>
  </si>
  <si>
    <t>De aquí en adelante, buscaremos acelerar la marcha hacia una apertura comercial más profunda y adecuada a la realidad de nuestros pueblos, la cual exige una mayor agilidad en los términos burocráticos. Hay que recordar que el costo de oportunidad - por la pereza administrativa - nunca lo paga el burócrata, sino el empresario y, por extensión, el trabajador. No pueden existir empresas sin mercados, y no puede existir trabajador sin empresa. El legislacionismo comercial redunda en menos y peor empleo para nuestros pueblos; en salarios deprimidos por la inactividad y mercados cerrados por cotos de caza que la política diagrama en su propio beneficio y el de sus protegidos.</t>
  </si>
  <si>
    <t>administrative delay ("pereza administrativa") is framed as a cost the bureaucrat never pays, only the entrepreneur and worker — the standard bureaucrat/producer asymmetry argument, here applied to trade-negotiation slowness specifically.</t>
  </si>
  <si>
    <t>Cada año que pasa sin mayor libertad comercial es un año en el que una empresa no puede crecer ni contratar gente, mientras que el funcionario de turno a cargo de gestionar estos acuerdos seguirá cobrando un sueldo. Debemos - en definitiva - dejar de pensar al MERCOSUR como un escudo que nos proteja del mundo y comenzar a pensarlo como una lanza que nos permita penetrar de forma efectiva en los mercados globales, mercados de los cuales hasta ahora las barreras aduaneras nos han excluido. Y por eso - como bloque- tenemos que entablar condiciones de comercio lógicas. Creemos que el norte del MERCOSUR es este. Sabemos que muchos de ustedes lo comparten. No debemos dejar que nuestras diferencias en cuestiones accesorias nos dividan. Ahora bien, también sabemos que adoptar estas ideas va a redundar en un nuevo equilibrio, y si bien estamos seguros de que el equilibrio será beneficioso para todos, siempre un nuevo orden tiene sus costos, especialmente sobre algunos sectores, que eran ampliamente beneficiados por el statu quo anterior. No podemos dejar que la defensa de estos intereses - enquistados del pasado - impida la consecución de los acuerdos esenciales que este bloque necesita para sobrevivir y prosperar. El futuro de la región y su rol en el mundo dependen de ello.</t>
  </si>
  <si>
    <t>"el legislacionismo comercial... mercados cerrados por cotos de caza que la política diagrama en su propio beneficio" — trade regulation and protectionism reframed as a rent-seeking mechanism designed by politicians for their own and their clients' benefit rather than legitimate economic policy; combined here with the "funcionario cobrando un sueldo" continuation as one rhetorical unit.</t>
  </si>
  <si>
    <t>Es más, probablemente, y siguiendo la línea de Jesús Huerta de Soto, no debe haber nada más anti judeocristiano que la idea de la justicia social, porque la justicia social, básicamente, es robarle a una persona el fruto de su trabajo y dárselo a otra. Es decir, es la caridad impuesta por la fuerza, y la caridad no puede ser a punta de pistola. La caridad tiene que emerger del corazón, del alma, del espíritu de uno, y no con una pistola en la cabeza. Y, en ese sentido, la justicia social está francamente en contra del séptimo y del décimo mandamiento, porque robar está mal y codiciar los bienes ajenos, también.</t>
  </si>
  <si>
    <t>an extended theological indictment of "justicia social," citing Sowell and Huerta de Soto, recasting redistribution as the sin of envy ("pecado capital") and a direct violation of the seventh and tenth commandments (theft, covetousness) — one of the corpus's most doctrinally elaborated framings of social justice as sin rather than merely bad economics.</t>
  </si>
  <si>
    <t>Inauguracion De La Iglesia "Portal Del Cielo"</t>
  </si>
  <si>
    <t>2025-07-05</t>
  </si>
  <si>
    <t>Chaco</t>
  </si>
  <si>
    <t>comunitario / religioso</t>
  </si>
  <si>
    <t>De esta forma, la izquierda justifica el comportamiento criminal o antisocial. Así, el crimen es para ellos un acto justificable, producido por un sistema injusto. No hace falta elaborar acerca del riesgo que implica semejante cosmovisión, que no puede determinar de otra manera que la disolución absoluta del tejido social. Sino miren cómo nos ha ido durante años promoviendo la doctrina Zaffaroni, donde se puso a la víctima en el lugar del victimario y viceversa. Pero, como hemos dicho nosotros durante la campaña y en el gobierno: Aquí el que las hace, las paga.</t>
  </si>
  <si>
    <t>the "doctrina Zaffaroni" (victim/perpetrator inversion) is invoked as part of the broader left-wing "antivalores" indictment — consistent with the corpus's established zaffaronismo target (2025-03-01, 2025-06-17), here folded into the sermon's wider cultural-backlash argument rather than presented as a standalone security-policy critique.</t>
  </si>
  <si>
    <t>Todas estas ideas nefastas se transmiten y se propagan como parásitos, instalándose en la mente de millones de seres humanos. Gracias a décadas de esfuerzos propagandísticos por parte de políticos, empresaurios, sindicatos y otros integrantes de la casta, este conjunto puntual de ideas anti libertad se ha propagado hasta los cimientos de la sociedad, así llegó al punto de confundirse y volverse inseparable para mucha gente del ideario común. Hay muchísima gente que hoy da por ciertas construcciones conceptuales falsas. Piensan que la pobreza de unos es culpa de la riqueza de otros, piensan que cualquier forma de crédito es timba financiera, piensan que los empresarios son enemigos de los trabajadores en lugar de socios naturales, y piensan que pagar un celular en Argentina el doble de caro que en Chile es “vivir con lo nuestro”. Buena parte de la sociedad ha sido infectada por estas ideas y hoy piensa y actúa en función de ellas. Estas personas se han convertido en carneros de la casta política que los infectó. Son como prisioneros que buscan congraciarse con su captor, yendo en contra de quienes son de su misma condición. Son quienes están acostumbrados al cautiverio, que no toleran ni la libertad propia ni la libertad ajena. La mayoría de ellos no son intrínsecamente malos y, dentro suyo, aún poseen el germen de la libertad, pero han escuchado y repetido el canto de las sirenas por demasiado tiempo, y hoy están adormecidos. Por eso es tan importante la palabra del Creador, porque los hace volver a abrazar la base de la cultura judeocristiana y los hace salir de esta peripecia que nos ha hundido en la miseria.</t>
  </si>
  <si>
    <t>"la casta" (politicians, "empresaurios," unions) is blamed for decades of propaganda that infected society with anti-liberty ideas, described via a parasitic-infection metaphor ("se transmiten y se propagan como parásitos"). Citizens who absorbed these ideas are subsequently described as the casta's "carneros" (sheep) and captives who defend their captor — an unusually elaborated victim-of-indoctrination framing of the general public vis-à-vis the casta.</t>
  </si>
  <si>
    <t>La ideología del Estado omnipresente propone al Estado como una suerte de Dios que puede traer el paraíso a la vida terrenal si le rindiéramos pleitesía. El racional es que, si tan solo depositan su fe en el Estado, si tan solo los poderes económicos se dejan conducir por los políticos de turno, entonces todos vamos a ser felices. Pero el verdadero resultado de empoderar al Estado, en última instancia, es que se rompa el vínculo entre el trabajo y la recompensa, entre la virtud y la felicidad. Y la realidad es que esto ya está en la Biblia, está en el Antiguo Testamento y también en el Nuevo Testamento. Hay una conferencia magistral del profesor Jesús Huerta de Soto que se llama “Dios, anarquía y el Papa Francisco”, y ahí menciona dos episodios donde, claramente, queda en evidencia que el Estado es la representación del maligno en la Tierra. El primer caso es el de Samuel, capítulo 8, donde, dado que Samuel ya estaba grande y sus hijos no querían continuar su camino, van y le piden que querían tener un rey. Entonces, cuando Samuel habla con el Creador, le dice: “Quieren un rey”; y el Señor le responde que quieren un rey porque no confían en Él. Y le dice: “Ve y dile todas las cosas que les quitará tener ese rey, y que, al final de cuentas, no solo los va a empobrecer porque les va a sacar lo mejor de cada uno, sino que además van a terminar perdiendo la libertad”. Y esta idea del Estado como representación del maligno dónde más explícitamente queda claro es en el Evangelio de San Lucas. Voy a leer la cita: capítulo 4, versículo 5, cuando el Señor Jesucristo está frente a las tres tentaciones que le propone el maligno. En la peor de todas, el maligno le propone que se arrodille frente a él, porque le muestra todos los reinos del mundo —es decir, los Estados, el Estado— y le dice que, si se arrodilla frente a él, le dará el poder sobre todos los Estados del mundo, porque ese poder le fue dado. Es decir, está la confesión propia del maligno: que el Estado es la representación del demonio. Por eso, cada vez que avanza el Estado, hay más pobreza, hay más calamidades, hay miseria. Por eso es que les digo: despertemos a la fe. Despertemos a la fe, porque eso es lo que nos traerá no solo el cielo, sino la prosperidad, aquí también en la Tierra.</t>
  </si>
  <si>
    <t>FLAGSHIP passage — the corpus's fullest theological delegitimization of the State, built on two extended biblical citations (1 Samuel 8's warning against kingship; Luke 4:5's temptation of Christ, where the devil offers "all the kingdoms of the world," glossed by Milei as "los Estados, el Estado"). Concludes with the explicit syllogism "el Estado es la representación del demonio." This 2026-07-19 coding session's Salamanca file (2025-06-13, eight days later chronologically) contains a compressed citation of this same Huerta de Soto lecture ("el Estado es el mal... el propio demonio") — this earlier full exposition is the primary/fuller version; the Salamanca instance is the abbreviated callback.</t>
  </si>
  <si>
    <t>En simultáneo, estos hombres de izquierda quisieron ser los portavoces de los trabajadores, mientras rechazaban la ética del trabajo que hoy hemos reivindicado a lo largo del discurso. Y la casta montó un sistema político, económico y social que desposeía a los verdaderos trabajadores para beneficiar a sus siervos y aduladores: los empresarios prebendarios, los políticos corruptos y los periodistas ensobrados.</t>
  </si>
  <si>
    <t>a second, distinct Anti_Casta instance — here specifying the casta's beneficiary structure ("empresarios prebendarios, políticos corruptos, periodistas ensobrados") as those who dispossess "los verdaderos trabajadores," a class-inversion argument positioning the casta (not capitalism) as the true exploiter of labor.</t>
  </si>
  <si>
    <t>Es así que lo que nos provee la tradición, y quienes la mantienen viva, es el fuego de un pasado que, cuando llega a los corazones de todos los ciudadanos, ilumina —a través de ellos— a la Nación entera. Necesitamos reencontrarnos con las verdades de nuestro pasado para poder dar un paso firme hacia nuestro futuro. Un pueblo con esta llama en sus corazones se convierte en un faro universal, una luz que ilumina con su gracia a la humanidad entera. Por eso les digo que la Argentina será faro del mundo, porque estamos logrando despejar la tiniebla que echaba sombra sobre la luz, sobre la luz de la fe.</t>
  </si>
  <si>
    <t>closing framing casts Argentina, having "rejected" socialism, as destined to become a "faro universal" illuminating "a la humanidad entera" through its return to Western Judeo-Christian tradition — a civilizational-mission framing that bookends the speech's opening thesis (Western prosperity as a direct product of Judeo-Christian values) with an explicit light/darkness ("tiniebla") civilizational metaphor.</t>
  </si>
  <si>
    <t>Hoy estamos viviendo una experiencia similar. Hace dos años decidimos como nación ponerle un freno al afán o afano infinito de una casta política descontrolada que favorecía a sus socios y clientes a costa de todo el resto del país. Decidimos decirle basta a la tiranía del Estado y de la casta. Pero los procesos de independencia nunca son fáciles. La independencia siempre implica alguna suerte de combate contra quienes antes no tenían subyugados una rebelión contra el statu quo.</t>
  </si>
  <si>
    <t>the deregulation drive is framed as a "second independence" from a "casta política descontrolada" that favored its "socios y clientes" — the Independence Day framing elevates the anti-casta struggle to the register of national liberation from colonial subjugation.</t>
  </si>
  <si>
    <t>Balance De La Desregulacion Con Facultades Delegadas</t>
  </si>
  <si>
    <t>2025-07-09</t>
  </si>
  <si>
    <t>Por eso, el modelo del Estado omnipresente que se inmiscuye en cada asunto de la vida de las personas es intrínsecamente antipatriótico y no hay mejor prueba que los resultados que ofreció una vez que se desplegó hasta sus últimas consecuencias. Un estado que avasalla a un sector de sus ciudadanos para beneficiar a otro, compuesto de amigos y clientes, no es un Estado, sino una asociación ilícita y en eso han convertido a nuestra Nación tras tantos años de psicopatía y prepotencia. Para nosotros el Estado tiene que proteger al ciudadano de ser avasallado por terceros, porque sabemos que la fórmula para el beneficio general sostenido en el tiempo, no es otra cosa más que la libertad para la asociación entre pares. Por eso cada una de estas personas, cada uno de ustedes son los verdaderos patriotas. Muchas gracias por la tarea que están haciendo por la patria.</t>
  </si>
  <si>
    <t>the omnipresent State is redefined outright as "una asociación ilícita" rather than a legitimate state — an explicit criminalization of state overreach, additionally pathologized via "psicopatía y prepotencia." The move to declare "el modelo del Estado omnipresente... es intrínsecamente antipatriótico" also redefines patriotism itself in anti-statist terms.</t>
  </si>
  <si>
    <t>Los funcionarios que usan las regulaciones como excusas para demandar coimas, saben lo que están haciendo. Como ladrones de poca monta, se escudan en el Estado para aterrorizar a la población y amenazarla con futuras represalias. Para frenar esto es necesario el trabajo en el frente político, que dota a estas reformas de solidez institucional, pero también es necesario el enforcement, hacer cumplir las reformas en la experiencia cotidiana de los ciudadanos.</t>
  </si>
  <si>
    <t>regulations reframed not as legitimate policy instruments but as pretexts officials use to extort bribes ("ladrones de poca monta"), casting the regulatory apparatus itself as a mechanism of intimidation rather than governance.</t>
  </si>
  <si>
    <t>Por otro lado, del otro lado, ¿Qué tienen? Tienen a los colectivistas, tienen al socialismo el siglo XXI, que la verdad que gestionando son deplorables, literalmente son deplorables. El mejor ejemplo es Venezuela. Sin embargo, ellos desde la batalla cultural, después de la caída del muro en el año 89, en el año 90 crearon el Foro de San Pablo y fueron profundamente exitosos. Llegaron al poder en Venezuela, primero con Chávez, después con Maduro y miren el desastre que han causado. En un lugar donde sobraba el petróleo, hoy falta el petróleo. Pero no quedó solamente ahí. En Brasil lo tuvieron a Lula, la tuvieron a Dilma Rousseff. En Paraguay tuvieron a Lugo. En Uruguay tuvieron a Tabaré Vázquez y a Pepe Mujica. Acá tuvimos cuatro periodos de kirchnerismo. En Chile lo tuvieron a Lago, a Bachelet, ahora a Boric, en Perú a Castillo, en Ecuador a Rafael Correa, en Bolivia a Evo Morales, en México a López Obrador. Es decir, ellos sí fueron muy exitosos en la batalla cultural y lograron llenarle la cabeza de parásitos a la gente, este concepto que desarrolló Axel Kaiser de los parásitos mentales, que son esas ideas que pudren a la sociedad y que en el fondo las enferman y las hunden y las empobrecen.</t>
  </si>
  <si>
    <t>FLAGSHIP — the corpus's most exhaustive regional catalog of "socialismo del siglo XXI" governments, itemizing eleven named leaders across seven countries (Venezuela, Brazil, Paraguay, Uruguay, Argentina, Chile, Peru, Ecuador, Bolivia, Mexico) as evidence of catastrophic governance ("deplorables"), explicitly framed within a "batalla cultural" won by the left via the 1990 Foro de San Pablo (mentioned just prior) — a genealogical/conspiratorial account of the Latin American left's cultural-political success. Combined with the Axel Kaiser "parásitos mentales" citation applied at hemispheric scale.</t>
  </si>
  <si>
    <t>Pero no solo eso, además, también lo hicimos sin controles de precios. A ninguno de nosotros se nos ocurrió violentar el sistema de precios, porque como liberales, nosotros respetamos el derecho a la vida, a la propiedad y a la libertad y en estricto rigor, los controles de precios son una violación al derecho de propiedad. Porque en el fondo ¿qué es el mercado? El mercado es un proceso de cooperación social donde se intercambian voluntariamente derechos de propiedad. Voluntariamente derechos de propiedad y de donde cuyo intercambio surgen unas relaciones de intercambio entre dinero y mercancías que fija un registro histórico llamado precios y el precio es un mecanismo de transmisión de información que genera, básicamente, una señal que hace que los agentes se coordinen en torno en esa señal, algunos serán compradores, otros serán vendedores y si hay desequilibrios se producirá un ajuste. Pero todo ese mecanismo, parte de una institución básica que es el derecho de propiedad, si ustedes violentan el derecho de propiedad la señal está contaminada y el mercado no coordina. Una de las cosas. Una de las primeras demostraciones de por qué el socialismo fallaba, que está en la obra socialismo de Mises, es que el socialismo rompe el cálculo económico. Al no haber derecho de propiedad los precios no son precios, son registros contables. De hecho, los rusos gastaban muchísimo dinero en espías tratando de poner precios. Por lo tanto, sin cálculo económico no hay coordinación y, por ende, el sistema se rompe. Y eso nosotros lo entendemos y lo respetamos a la perfección, que es lo que tiene que ver con el respeto del derecho de propiedad y con la libertad.</t>
  </si>
  <si>
    <t>an extended, theoretically developed exposition of the Misesian economic-calculation-problem argument — price controls are recast as a property-rights violation that destroys the price mechanism's information-transmission function, with socialism's Soviet-era price-setting apparatus cited as historical proof of systemic failure. A more theoretically elaborated version of the corpus's recurring price-controls critique (cf. "Ley de Góndolas" instances).</t>
  </si>
  <si>
    <t>171 Aniversario De La Bolsa De Comercio De Buenos Aires</t>
  </si>
  <si>
    <t>2025-07-10</t>
  </si>
  <si>
    <t>Además, el déficit cero tiene varias cuestiones importantes, porque es no déficit cero, la línea primaria, no, es déficit cero en la línea financiera. Esto quiere decir, esto quiere decir, que entonces la deuda no crece y si la deuda no crece más, la relación deuda-producto es no creciente y, por ende, pasamos a ser solventes intertemporalmente. No por nada el riesgo país de niveles de 3000, hoy está en 700. Pese a la casta política, pese a los degenerados fiscales, pese a estos primates, perdón por los primates, que creen que la restricción de presupuesto es algo flexible. Y eso tiene ese impacto que es muy importante, porque eso afecta la solvencia, por ende, afecta al riesgo país y eso hace caer la tasa de interés y eso permite la acumulación de capital. Eso permite que la productividad de los trabajadores sea más alta y se puedan pagar mejores salarios. Es decir, es una contradicción cuando estás bestias hablan de que les importa el bienestar de la gente y se dedican a fabricar riesgo país. Porque lo que están haciendo es descapitalizar a la economía y a los que más perjudican es a los que menos tienen. Pero no solo eso: el hecho de haber hecho el ajuste fiscal implicó devolverle 15 puntos del PBI a la gente. Entonces, de estar discutiendo la hiper, por ejemplo, los bancos empezaron a trabajar de bancos, no de ser una oficina del Banco Central. O sea, ¿no se dieron cuenta el sistema financiero de la forma que funcionaba antes? Casi era soviético, era un apéndice del Banco Central con fachada privada. Pero para prestarle al Banco Central. Y eso implicó devolverle recursos, incrementar el ahorro. ¿Y eso qué hace? Genera inversión. Y eso es lo que genera crecimiento económico. Pero, además, no solo fue la cuestión fiscal: también la política de emisión cero. Es decir, tarde o temprano, la tasa de inflación va a colapsar, porque la inflación es siempre y en todo lugar un fenómeno monetario, les guste o no les guste a las bestias heterodoxas que habitan este país, que le arruinaron la vida a millones de argentinos. Y, habiendo fijado la cantidad de dinero ya hace más de un año, nosotros sabemos que, para mitad del año que viene, la inflación va a dejar de existir. ¿Tendrá fluctuaciones? Sí. Podrá bajar más rápido o más lento en función de lo que hagan los degenerados fiscales. Pero, inexorablemente, va a colapsar.</t>
  </si>
  <si>
    <t>opposition legislators ("casta política," "degenerados fiscales") explicitly likened to "primates" — a dehumanizing zoological register applied to budget-restriction skeptics, escalating the corpus's established "degenerado fiscal" epithet (first seen 2025-06-25) into an explicit animal comparison.</t>
  </si>
  <si>
    <t>Pero, además, al terminar con la inflación, deja de haber ruido sobre el sistema de precios. Recuerden que ¿qué es lo que dije? el sistema de precios es un mecanismo de transmisión de información. Yo puedo ser un gran divulgador, pero si desde acá apareciera un, no sé, una cortina de ruido, yo me voy a poner a hablar y usted no me van a entender nada y no porque no sean personas capaces, no van a entender nada porque hay ruido, ese ruido es la inflación y al sacar ese ruido, lo que aparece es la verdadera estructura y eso es sobre lo que tenemos que trabajar. De hecho, nosotros estamos haciendo mucho para mejorar cómo funciona la economía. Voy a hacer un argumento de estado estacionario, aclaro, de estado estacionario o lo que en la economía austriaca se llama, en la economía de giro uniforme. En la economía de giro uniforme, el precio es igual al costo medio, es decir, que ustedes con el precio pueden pagar por los salarios, van a pagar el costo de operación y mantenimiento, van a pagar los impuestos y van a pagar la retribución del capital en ese equilibrio de estado estacionario. Básicamente, hay una parte del trabajo que inexorablemente la tiene que hacer el sector privado bajando los costos de operación y mantenimiento, o sea, tienen que ser más eficientes. Hay una parte del trabajo que la hacemos nosotros y es bajar impuestos. Nosotros en el último año bajamos más de dos puntos los impuestos. Hicimos algo que nadie esperaba, era eliminar el impuesto país y dijimos que lo íbamos a hacer y lo hicimos y a pesar de eso, seguimos con el equilibrio fiscal. Pero no solo eso, entonces, nosotros estamos haciendo nuestra parte, los degenerados fiscales no quieren que el dinero vuelva a ustedes. Porque una de las hipótesis con las que nosotros estamos trabajando y es que, si la economía se expande, en caso de que lográramos la reelección y llegáramos al 2031 y la economía se expandiera a tasas entre el 6 y el 8%, nosotros bajaríamos los impuestos un punto y medio al PBI por año y le estaríamos devolviendo a los argentinos de bien 500 mil millones de dólares, es decir, más de lo que tenemos de deuda. Y saben qué es lo que se discute en el nido de ratas, en la madriguera inmunda donde están todos los degenerados fiscales que no quieren devolverle a ustedes su dinero.</t>
  </si>
  <si>
    <t>a second, distinct dehumanizing escalation — the Congress (where "los degenerados fiscales" who oppose tax cuts sit) is explicitly termed a "nido de ratas" and "madriguera inmunda" (rat's nest, filthy den), continuing and intensifying the zoological dehumanization from the "primates" passage above into vermin imagery specifically.</t>
  </si>
  <si>
    <t>Los economistas nos hemos enamorado tanto del modelo de equilibrio general, que cuando la realidad no mapea con el modelo, somos tan arrogantes que lo llamamos fallo de mercado. No, fallo de mercado no. Yo les voy a decir algo: No existen los fallos de mercado. O sea, porque si el mercado es un proceso de cooperación social, donde se intercambian voluntariamente derechos de propiedad, si los intercambios son voluntarios, nunca puede haber fallo. Y si hubiera un acto violento que no permite que esas acciones sean voluntarias, eso significa que hay alguien que está ejerciendo la violencia y ese que ejerce la violencia de manera sistemática ¿Quién es? El Estado. Por lo tanto, cuando ustedes creen que algo funciona mal y creen que hay un fallo de mercado, lo primero que recomiendo es que miren si no está metido en el medio el Estado. Y la segunda, que es lo que sería como el segundo teorema de Milei y es, si ustedes, o sea, aun así, eso sigue funcionando mal, cambien el modelo porque está mal. Y esa es la base por la cual, cuando los neoclásicos se ponen a regular y tratar de asimilar una estructura no convexa, una estructura no competitiva, una estructura que no mapea con lo que necesitamos matemáticamente para el óptimo de Pareto, porque no es ni más ni menos que un engendro pensado en la matemática y se regula, lo que ustedes hacen es matar los rendimientos crecientes y cuando matan los rendimientos crecientes mataron el crecimiento económico y ¿qué es entonces lo que hace Federico todo el tiempo? libera rendimientos crecientes. Es decir, no tenemos conciencia todavía de todo lo que se ha hecho en materia de reforma y todo lo que viene para adelante en materia de crecimiento.</t>
  </si>
  <si>
    <t>a second, theoretically distinct Market_Primacy instance — an explicit denial that market failures can exist in principle ("No existen los fallos de mercado"), reasoning that any apparent dysfunction must be attributable to coercive State interference rather than market mechanisms themselves. A stronger, more axiomatic claim than the calculation-problem argument coded earlier in this same speech — this one forecloses the entire category of market failure by definition rather than critiquing a specific policy (price controls).</t>
  </si>
  <si>
    <t>¿Y por qué sucedió esto de esta forma? Porque estábamos abrazados a una verdad elemental: que tener un Estado chico era lo mejor para tener una sociedad civil pujante. Imagínense que se estimaba que, por aquel entonces, la participación del gasto público sobre el PBI era en torno del 10%; y en los últimos años llegó a ser cerca del 45% sobre el PBI, una verdadera aberración que nosotros hemos empezado a corregir y que hoy está en 35%. Es más, el último dato de lo que tiene que ver con la participación del sector público nacional está en el nivel más bajo desde 2007. Vaya que hicimos un tremendo ajuste. Ajuste que no es acompañado ni por las provincias ni por los municipios, que siguen manteniendo los mismos niveles en términos del PBI desde el momento en que asumimos. Es decir, ha habido motosierra en Nación y no está siendo acompañado ni por las provincias ni por los municipios. Y, es más, en algunos casos, algunos perversos, frente a las bajas de impuestos que hacemos nosotros —porque también hay que contarlo: el año pasado eliminamos impuestos por el equivalente de más de dos puntos del PBI—, algunos perversos aprovechan esas bajas que nosotros hacemos a nivel nacional para subir los impuestos a nivel provincial o a nivel municipal.</t>
  </si>
  <si>
    <t>an explicit historical-comparative thesis directly linking state size to national prosperity — a small state (~10% of GDP) is credited as the cause of Argentina's 1880-1914 great-power status, while the growth to ~45% is termed "una verdadera aberración." A more historically grounded version of the corpus's recurring small-state-equals-prosperity argument.</t>
  </si>
  <si>
    <t>Jockey Club Buenos Aires</t>
  </si>
  <si>
    <t>2025-07-18</t>
  </si>
  <si>
    <t>evento empresarial</t>
  </si>
  <si>
    <t>Ese periodo no solo se destacó por tener una sociedad civil pujante, sino también especialmente por tener un élite social y económica a la altura de la época, que era punta de lanza del crecimiento nacional. Sin ir muy lejos, tanto Pellegrini como el Jockey Club, son un claro ejemplo de esto que digo. Sin embargo, este sendero de crecimiento virtuoso se detuvo cuando se reemplazó al modelo de la libertad por el modelo del Estado presente. Un modelo que no hizo más que poner el carro adelante el caballo, drenando nuestra sociedad de recursos en lo económico, mientras que en lo cultural se propuso reemplazar a los hombres de iniciativa privada por la iniciativa estatal y fracasó estrepitosamente. Esto derivó la creación de la famosa casta, que fueron los que año a año intentaron reemplazar a la sociedad por el Estado; donde antes teníamos elites soñadoras que invertían y arriesgaban para crear soluciones innovadoras, sabiendo que podrían disponer del fruto de su trabajo, pasamos a tener amigos del poder enquistados en modelos comerciales dependientes de la coerción y sus cotos de caza. Donde antes teníamos una cultura del esfuerzo en la que el estudio y el trabajo eran protagonistas pasamos a tener una cultura del desgano donde se bajaron sistemáticamente los estándares escolares al punto de anular la repitencia y donde la palabra trabajo quedó tergiversada en ir a calentar una silla a la municipalidad. Donde antes teníamos una clase alta capaz de obras filantrópicas sin precedentes, pasamos a tener un Estado incapaz de comprar un tomógrafo y así podemos seguir enumerando por días.</t>
  </si>
  <si>
    <t>an extended historical-genealogical account of the casta's formation, structured as a series of "donde antes... pasamos a tener" contrasts (entrepreneurial elites → cronies with "cotos de caza"; philanthropic upper class → a State that cannot buy a tomograph) — one of the corpus's more developed origin narratives for the casta concept, framed as displacement of a functioning civil society rather than the more common contemporary-corruption framing.</t>
  </si>
  <si>
    <t>De hecho, hay un libro maravilloso de nuestro máximo referente de las historias de las ideas de la libertad, que es el doctor Alberto Benegas Lynch (h) —junto a otro gigante de las ideas de la libertad, que es Martín Krause—, que tiene un libro maravilloso que se llama “En defensa de los más necesitados”; y, una de las cosas que muestra es cómo la sociedad se auto- organizaba para darle contención a los más vulnerables. Que, claramente, cuando esa ayuda fue reemplazada por el Estado, evidentemente derivó en clientelismo y, como suele señalar el Profesor Huerta de Soto, la ayuda a los pobres genera más pobres. Es decir, cuando esto lo hace el Estado, justamente en lugar de contribuir a sacarlos de esa situación, los hunde en esa situación. Por eso, una de nuestras políticas enfocadas al crecimiento, y desde el primer momento, fue la política del capital humano. O sea, nosotros tenemos una estrategia macro que se construye sobre la idea del equilibrio fiscal, la cantidad de dinero fija y el tipo de cambio flexible —cosa que hicimos saliendo del cepo, y básicamente eso se hizo previo a sanear el balance del Banco Central—; y, por otro lado, una estrategia clara de crecimiento que tiene que ver con la reinserción en el mundo, con la libertad económica, con la desregulación y, obviamente, con el capital humano. Y en ese sentido, lo que cambió fue la filosofía: antes, la política social procuraba dar asistencia, dar subsidios. Eso no funciona. No es cuestión de regalarle el pescado a la gente, es cuestión de enseñarle a pescar. Y eso es lo que estamos haciendo desde Capital Humano. Y, con esa lógica, hemos sacado 12 millones de personas de la pobreza, y estamos en niveles que hacía tiempo que en Argentina no se veían; pero devolviéndole la dignidad a la gente, algo que, claramente, muchos gobiernos no han querido.</t>
  </si>
  <si>
    <t>citing Huerta de Soto, State-administered poverty assistance is characterized as counterproductive by nature ("la ayuda a los pobres genera más pobres"), replacing voluntary civil-society charity with clientelism — a welfare-state-specific instance of the corpus's broader anti-statist argument.</t>
  </si>
  <si>
    <t>Entonces, imagínense que ese modelo nos hubiera dejado no solo una hiperinflación: nos hubiera dejado, por lo menos, 90% de pobres. Y eso lo quieren tapar, negando la grandeza que tuvimos durante el siglo XIX e inicios del siglo XX, es una forma de ocultar el enorme fracaso. En especial cuando lo hacen esas basuras con título de historiador, que lo que quieren hacer es ocultar el fracaso de la ideología que esconden y, por eso, fuerzan los datos. Por eso digo: siempre creen que tienen el derecho de reescribir la historia. Pero nosotros les contestamos como decía Mises: “mientras ellos sigan repitiendo sus mismas mentiras, nosotros vamos a seguir repitiendo nuestras verdades”.</t>
  </si>
  <si>
    <t>professional historians are dismissed via explicitly dehumanizing language ("cerdos miserables," "esas basuras con título de historiador") and accused of deliberately falsifying data ("fuerzan los datos") to conceal the failure of their ideology — an attack on academic historical expertise specifically, distinct from the corpus's more common targets (economists, climate scientists, universities generally).</t>
  </si>
  <si>
    <t>Y, además, el problema no pasa simplemente porque sea una mentira canalla repetida constantemente para borrar nuestra memoria histórica, sino que el problema pasa porque es una pasión triste, que pretende paralizar a la sociedad para convencerla de que no podemos lograr grandes cosas, como si nuestro país estuviera condenado a ser poca cosa por el resto de los tiempos. Porque no hacer nada, incluso cuando se crea que podemos hacer poco, es la peor de las desidias. Muchas veces, incluso, la crítica a si efectivamente fuimos una potencia o no viene dada por gente que, al mismo tiempo, se opone a la explotación de nuestros recursos bajo etiquetas como “cipayo” o “vende patria”. La única conclusión posible de ello es que, en realidad, no les interesa realmente si fuimos potencia o no, sino que les interesa que nunca lo seamos. Por eso centran sus esfuerzos en discutir la etimología de la palabra “potencia”, en lugar de acompañarnos en la discusión de cómo volver a ser una de las cinco economías más pujantes del mundo. Esto parece una discusión superficial o de redes sociales, pero no lo es: es una discusión acerca del alma argentina. Y, hoy, más que nunca, es especialmente importante que defendamos este legado épico. ¿Por qué? Porque, como país, estamos transitando un momento bisagra en nuestra historia. Estamos retornando al modelo de la libertad, el modelo de la abundancia y la generación de riqueza. Estamos dejando de lado la mentalidad de escasez y redistribución que tanto daño le ha hecho a esta bella nación.</t>
  </si>
  <si>
    <t>opposition to resource extraction is reframed as ideologically motivated bad faith — critics who oppose extraction are accused, via the labels they themselves apply ("cipayo," "vende patria"), of actually wanting Argentina to fail rather than holding genuine environmental or sovereignty concerns. A brief but direct instance of delegitimizing resource-extraction critics as insincere obstructionists.</t>
  </si>
  <si>
    <t>Esas ideas se instalan en la mente de millones de seres humanos y se contagian como parásitos mentales hasta que se vuelven inconfundibles del ideario popular. Así llegamos a una situación en la que se dan por válidas una lista de cuestiones que no están ni cerca de serlo, como plasmó mi amigo Axel Kaiser en su libro, podemos reducirlas a siete. La primera de ellas es la justicia social, que de justicia no tiene nada; dado que de parte de la injusticia de arrebatarle a uno por la fuerza para darle a otro. Esto constituye una desigualdad ante la ley para ser caridad con dinero ajeno, este parásito apela la culpa moral y mediante un intento de lucha de clases da por válido cualquier nivel de intervención estatal, desplazando la idea de la responsabilidad individual y haciéndolos esclavos del Estado porque, en el fondo, la justicia social es injusta; porque —como señalaba ahí— está precedida de un robo, y por otra parte, implica tratar desigual frente a la ley, lo cual es profundamente violento, es profundamente injusto y además conduce inexorablemente a la miseria.</t>
  </si>
  <si>
    <t>the first of Kaiser's "seven mental parasites" — "justicia social" reframed as legalized theft and inequality before the law that manufactures moral guilt to legitimize unlimited state intervention. Structurally the speech's organizing device, presented as parasite #1 of 7.</t>
  </si>
  <si>
    <t>La Derecha Fest</t>
  </si>
  <si>
    <t>2025-07-22</t>
  </si>
  <si>
    <t>A su vez, esto le abre el juego al segundo parásito, que es la idea de los derechos sociales. De hecho, hoy hice un tuit acerca de estas ideas, de cómo, por ejemplo, contaminan el cerebro del soviético. Esta idea busca generar expectativas ilimitadas en la gente sosteniendo que cada necesidad es un derecho y que todos los derechos requieren intervención estatal y gasto público. El problema está en que para poder cumplir con semejante disparate habría que incumplir la primera ley de la economía, que es la ley de la escasez. A ver… hay una frase maravillosa de Thomas Sowell que dice: “La primera ley de la economía es la escasez. No hay de todo para todos”. Y la segunda reflexión que hace es que la primera ley de la política es ignorar la primera ley de la economía y vaya que de esto los populistas saben o acaso semanas atrás no votaron un gasto de 17.000 millones de dólares y la bruta traidora dijo que lo iba a financiar con 30. Así es fácil chicanear, pero sugiero que, antes de hacer chicanas, aprendan a sumar 2 + 2; y ni les cuento lo que significa en términos dinámicos un buraco de 2.8 del PBI, implica un aumento de la relación deuda-producto de más de 60 puntos porcentuales e implica enviar al cazzo a todos nuestros jóvenes es arruinar el país de acá a la eternidad.</t>
  </si>
  <si>
    <t>parasite #2, "derechos sociales" — distinct from parasite #1 in its specific argumentative content (a scarcity-law violation rather than a theft/inequality argument), presented as generating "expectativas ilimitadas" that inevitably produce fiscal collapse. Kept as a separate instance from the justicia social code above per the speech's own explicit itemization of distinct parasites.</t>
  </si>
  <si>
    <t>En definitiva, esto lo hacen, en realidad, para expandir el alcance del Estado, lo cual nos da lugar a hablar de la tercera idea expuesta por Kaiser, que es la idea del Estado benefactor. En el capítulo…, en el libro ese del cuarto, el neoliberalismo viene tercero, pero ese lo trato después. Así, la idea del Estado benefactor, un Estado paternalista de como si fuese un Dios todopoderoso, debería proveernos de todo lo que necesitamos. Lo que eluden en este tipo de afirmación es quien genera la riqueza y los recursos. En primer lugar, es el sector privado y para que el Estado los provea debería robárselos mediante impuestos y burocracias, sacrificando el crecimiento económico; que debe ser lo que debe estar pensando la alta política.</t>
  </si>
  <si>
    <t>parasite #3, the welfare State explicitly likened to "un Dios todopoderoso" — a theological framing consistent with the corpus's established golden-calf/false-god State imagery (2025-07-05, 2025-06-13), here specifically applied to welfare provision as theft via "impuestos y burocracias."</t>
  </si>
  <si>
    <t>Y mientras que esos hipotecadores del futuro porque recuerden que la deuda son impuestos futuros, por lo tanto, son futuros que cargan sobre nuestros hijos, sobre nuestros nietos y las distintas generaciones. Mientras que esos inmorales, ladrones que están empezando a pagar, nos acusan de endeudar; somos el primer Gobierno de la historia argentina que baja la deuda en 50 mil millones de dólares en un año. Por lo tanto, cuando estos inmorales hablan de neoliberalismo es que esa palabra puede significar cualquier cosa, ya que solo se refiere a los enemigos del expansionismo estatal ilimitado. Es así, que con él también engloban al empresariado ocupado de preservar su negocio. Esto lleva a la idea de la responsabilidad social empresaria. Hay muchas empresas se sienten presionadas para defender causas sociales, pero en la mayoría de los casos, es una simulación guiada por preceptos de marketing. El problema de esta simulación moralizante es que las empresas descuidan su función principal que es crear valor, de la cual se deriva la generación de empleo y otros beneficios sociales reales. Esto ya fue resuelto por el gran Milton Friedman, el empresario sólo por perseguir el beneficio económico dentro de los márgenes de la ley, ya es un benefactor social porque sólo puede hacerse rico dándole al prójimo un bien de mejor calidad a un mejor precio que el resto. Para ellos, por otro lado, ser un benefactor social es someterse a sus mandatos arbitrarios, es así, que a la ya estresante tarea de llevar adelante un negocio le suman el peso de cargar tanto con un Estado elefantiásico como beneficencia forzosa. No hay beneficencia a punta de pistola, la caridad si no es voluntaria, no es caridad.</t>
  </si>
  <si>
    <t>parasite #5, corporate social responsibility, reframed as coerced "beneficencia forzosa" imposed alongside an "Estado elefantiásico" — CSR expectations treated as a de facto regulatory burden on business rather than voluntary corporate conduct.</t>
  </si>
  <si>
    <t>Y, en este sentido, así también surgieron las nefastas ideas de promover la diversidad, equidad e inclusión, tanto en las empresas como la sociedad en general. Se reemplazó la igualdad ante la ley por la discriminación positiva de colectivos sociales, dejamos de privilegiar la excelencia y la idoneidad para empezar a usar criterios genéricos o étnicos. Esto fragmenta la sociedad, enfrasca en luchas inventadas mientras que hace que todos pierdan la fe, la neutralidad de las instituciones, el Estado moderno se fragmenta en mil pedazos. Por suerte, en Argentina solo el Estado sufrió esta perversión del derecho, ya que nuestra desconexión del resto del mundo mitigó el impacto de este parásito en particular.</t>
  </si>
  <si>
    <t>parasite #6, DEI ("diversidad, equidad e inclusión") named explicitly and in full — one of the corpus's most direct, unambiguous instances of the Woke_Bundling code, replacing the more common looser "wokismo" or "ideología de género" phrasing with the specific DEI acronym itself.</t>
  </si>
  <si>
    <t>Con esa pantomima de sabiduría ancestral, pretenden hacernos creer que el mundo era perfecto hasta que surgió el comercio. Legitiman así políticas destructivas para naciones en vía de desarrollo como el ambientalismo y antidesarrollo o la legitimidad del Estado moderno. Para colmo, esto lo enseñan como verdadero en importantes universidades bajo el mote de “anticolonialismo”; al igual que tantas otras barrabasadas con las que nos bombardean tanto tiempo. Bajó la expansión de estas ideas ya sea en la academia, los medios de comunicación, las oficinas públicas o incluso en las películas de Hollywood, la izquierda se ha arreglado para poner de su lado a las personas más prestigiosas de cada sociedad, utilizándolas como vehículo de su ideología; más Gramsci imposible. Digo, la educación, la cultura y los medios, todos zurdos.</t>
  </si>
  <si>
    <t>FLAGSHIP — parasite #7, and the corpus's most explicit and structurally central passage connecting a cultural-backlash argument (romanticized primitivism, "noble savage" mythology) directly to the delegitimization of environmentalism as public policy: "legitiman así políticas destructivas para naciones en vía de desarrollo como el ambientalismo [y] antidesarrollo." Unlike the corpus's other Sustainability_as_Ideological_or_Harmful instances (which typically dismiss climate policy directly), this passage supplies the underlying genealogical mechanism — anticolonial/primitivist romanticism — through which Milei claims environmentalism gains illegitimate cultural authority in developing nations specifically, making it the corpus's clearest theoretical bridge between D1.3 cultural-backlash rhetoric and D1.1's sustainability-delegitimization target.</t>
  </si>
  <si>
    <t>the continuation of the seventh-parasite passage specifically indicts universities for teaching anticolonial/primitivist romanticism (which Milei has just linked to "ambientalismo antidesarrollo") "como verdadero" — a distinct rhetorical move from the ideological-content critique coded above, targeting the academic institution as a legitimizing vehicle rather than critiquing the idea's content itself.</t>
  </si>
  <si>
    <t>Es más, instituciones republicanas que fueron concebidas para evitar el surgimiento de la tiranía se han convertido en herramientas de opresión y sometimiento al servicio de perpetuar el despotismo de las burócratas, congresos que no sesionan debidamente, jueces que dictaminan sobre cuestiones en las que no tienen injerencia, y todo con el fin de frenar las reformas de libertad que el pueblo pide a gritos. Y, por si eso fuera poco, tenemos que lidiar con los infaltables traidores, gente que fue elegida con el mandato claro de liberar a Argentina del yugo del Estado solo para darse vuelta al poco tiempo de haber asumido, gente que tardó tan solo minutos en revelar ese deseo irrefrenable de ser casta, gente que al poco tiempo de asumir su banca le dio la espalda al pueblo argentino, deslumbrada por la supuesta alta política.</t>
  </si>
  <si>
    <t>republican institutions (Congress, the judiciary specifically — "jueces que dictaminan sobre cuestiones en las que no tienen injerencia") are described as having been captured and inverted into tools of "despotismo de las burócratas" — extends the casta-capture frame explicitly to the judicial branch, a more specific institutional target than the corpus's more common generic "partido del Estado" framing.</t>
  </si>
  <si>
    <t>Todas estas problemáticas no surgieron de casualidad ni por arte de magia, sino que fueron el resultado de un plan deliberado de la política y perpetuado por la casta a lo largo del tiempo. La pregunta es: ¿Para qué? Para exprimir al sector más pujante del país, terminando por faenar la vaca lechera.</t>
  </si>
  <si>
    <t>decades of agricultural-sector obstruction (currency controls, tariffs, retenciones) are reframed not as accumulated policy failure but as "un plan deliberado de la política y perpetuado por la casta" — an explicit conspiracy framing of the casta's relationship to the agricultural sector specifically.</t>
  </si>
  <si>
    <t>137A Inauguracion De La Exposicion De La Rural</t>
  </si>
  <si>
    <t>2025-07-26</t>
  </si>
  <si>
    <t>Para poner un par de ejemplos: de los 90 años que lleva de vida el Banco Central de la República Argentina, en 70 de ellos hubo cepo cambiario, entorpeciendo el comercio internacional y la posibilidad de ahorro de los argentinos. Y, durante más de la mitad de los 20 años restantes, si bien el tipo de cambio estuvo unificado, estaba fijado por ley. Es decir, Argentina llevaba casi 100 años sin conocer la verdadera flotación cambiaria. Esto se hizo para tratar de contener la inflación que el propio Estado había generado al financiar, año tras año, un déficit fiscal gigante con emisión monetaria sin respaldo ni contrapartida de demanda de dinero. Así, empresarios y productores se veían obligados a aumentar constantemente los precios de sus bienes y servicios para mantener sus negocios en pie. Ese régimen inflacional les venía como anillo al dedo a la casta política para instalar con facilidad su relato antiempresa, en el cual supuestamente los inescrupulosos empresarios especuladores se aprovechaban de las necesidades de la gente. En el caso específico del campo, utilizaban este relato miserable para fomentar el avasallamiento sobre la propiedad privada. Así se normalizó que quienes generaban más riqueza estén sometidos a regímenes tributarios imposibles. Pero también se llegó al extremo de proponer reformas agrarias, incitar a romper silo bolsas e incluso a defender el robo de ganado. Y todas estas injusticias las proclamaron en un bien supremo, supuestamente, la siniestra justicia social.</t>
  </si>
  <si>
    <t>"justicia social" is here linked not merely to abstract redistribution theory but to concrete incitement of property crimes against the agricultural sector — "romper silo bolsas," "defender el robo de ganado," proposals for "reformas agrarias" — a sector-specific escalation of the corpus's justicia-social critique into an accusation of legitimizing theft and property destruction.</t>
  </si>
  <si>
    <t>Nosotros somos los únicos que creemos en el modelo de la libertad, cuyas condiciones son la propiedad privada y el rol del Estado en defenderla y preservarla. Enfrente tenemos a una banda de forajidos, saqueadores de ganado devenidos políticos, que solo saben arrasar con la riqueza que otros generaron con su esfuerzo y previsión, por eso solo dejan miseria a su paso. Y cuando estos personajes no pueden robarle al productor lo que es suyo, prefieren destruirlo. Recordemos que no hace tanto, llamaban a romper silo bolsas y llenaban de cuatreros el Congreso. Ellos necesitan negar que alguna vez hayamos sido potencia, porque necesitan negarlos a ustedes, necesitan negar el gran campo argentino, que fue el motor indiscutido de una nación que supo ser un faro de libertad y riqueza en el mundo. Una nación que atrajo a las masas hambrientas de Europa con la sola promesa de que podían quedarse con el fruto de su trabajo, sin temor a que otros se los robaran. Ellos tomaron el poder político y oprimieron a los verdaderos generadores de riqueza. Y esto lo hicieron ni más ni menos para que la gente piense que es la acción del político, a través de la distribución, lo que produce dicha riqueza. Hoy más que nunca sigue vigente el adagio de Sarmiento: civilización o barbarie.</t>
  </si>
  <si>
    <t>a second, distinct Anti_Casta instance — political opponents explicitly termed "una banda de forajidos, saqueadores de ganado devenidos políticos" and "cuatreros" (cattle rustlers), a sector-specific dehumanizing vocabulary (agricultural banditry) applied to the casta, distinct from the corpus's more common vermin/parasite dehumanization register.</t>
  </si>
  <si>
    <t>La casta está afilando los cuchillos para volver a cortar su tajada. No los dejen sentarse de nuevo en la mesa bajo falsas promesas de civilidad. Sentémonos nosotros a construir un nuevo siglo de oro argentino. Ellos quieren vender que el liberalismo es cipayo y vende patria, como les gusta decir en su delirio sostienen que estamos regalando el país a intereses extranjeros, y ellos, por su parte, han elegido sobreactuar el patriotismo hasta un punto sospechoso, que indica una clara intención de disimular una carencia. Aquí la batalla cultural de su lado ha sido clave. El kirchnerismo hizo un trabajo de décadas para identificar patria y Estado, y convencer a la gente de que son exactamente lo mismo. Por eso, en esa cosmovisión delirante, agrandar el Estado es hacer nacionalismo, y la desregulación y reducción de impuestos es un acto de entreguismo y traición. Esta forma de ver las cosas, tan antihumana, vetusta y anacrónica, ha sido el lastre que nos ha mantenido hundidos durante cien años. Si el camino para hacer de un país una potencia fuera agrandar gigantescamente el Estado y sus injerencias, la Unión Soviética seguiría en pie y el comunismo dominaría la tierra. Parece que no tomaron nota de algo que pasó en 1989, el Muro se cayó y aplastó a los zurdos.</t>
  </si>
  <si>
    <t>kirchnerismo is accused of a decades-long project to collapse the distinction between "patria" and "Estado," such that state expansion is misperceived as patriotism and deregulation as treason — a meta-level argument about how statism achieves rhetorical legitimacy by appropriating national identity, distinct from the corpus's more direct State-delegitimization instances.</t>
  </si>
  <si>
    <t>Por lo tanto, pero si solo nos enfocamos en reformar el Estado nacional [...] Nosotros tenemos el mandato de desarmar la estructura tentacular que los cultistas del Estado armaron para meterse en todos los aspectos de la vida de las personas [...] El punto es que, una vez que las ideas —estos parásitos mentales— le toman la cabeza [...] los convierten en zombis, es decir, los convierten en una secta, que es básicamente lo que son: la secta kuka. Es decir, no importa el dato que presentes.</t>
  </si>
  <si>
    <t>an escalation of the corpus's established "parásitos mentales" metaphor — ideologically captured citizens are now explicitly described as "zombis" belonging to "la secta kuka" (a cult), immune to empirical correction ("no importa el dato que presentes"). This zombification/cult framing is a new dehumanizing register distinct from the parasite-infection metaphor itself, characterizing believers as having lost independent cognitive agency entirely.</t>
  </si>
  <si>
    <t>"Voceros De La Libertad" – Fundacion Faro</t>
  </si>
  <si>
    <t>2025-08-04</t>
  </si>
  <si>
    <t>Pero estas ideas que suenan bonito, de la igualdad de oportunidades y demás, ahí hay un cuento llamado Harrison Bergeron de Kurt Vonnegut, que retrata un mundo perfectamente igualitario, donde existe un discapacitador general cuyo trabajo es asegurarse que nadie sea más inteligente que nadie [...] Esa es finalmente la utopía que proponen los socialistas [...] Nosotros tenemos el mandato de desarmar la estructura tentacular [...] Los que como hacía Procusto en la Antigua Grecia, le cortan las piernas al pueblo para que amolde a su ideal retorcido de igualdad [...] Procusto invitaba gente a la casa [...] Si eran muy altos, le cortaba las piernas; si eran muy anchos, les cortaba los brazos; si eran muy cortos, los estiraba [...] Y eso es el igualitarismo. De eso se trata la guillotina de la igualdad: es profundamente violenta, sanguinaria y, sobre todas las cosas, empobrecedora.</t>
  </si>
  <si>
    <t>FLAGSHIP — a two-part extended literary/mythological argument against egalitarianism, pairing Kurt Vonnegut's "Harrison Bergeron" (a dystopian short story about forced equality via a "Handicapper General") with the Greek myth of Procrustes (who mutilated guests to fit his bed) — the corpus's most elaborate literary indictment of "igualdad de oportunidades," reframing egalitarian policy as bodily violence and mutilation rather than merely economically inefficient.</t>
  </si>
  <si>
    <t>Hoy día Kicillof dedica una buena parte del presupuesto de la provincia de Buenos Aires a alimentar a un ejército de funcionarios sin función alguna. Como si esto fuera poco, también se da el lujo de financiar a todos los canales de streaming del país, aunque tengan 10 reproducciones [...] La provincia de Buenos Aires es un lugar donde el aparato propagandístico de Kicillof ha hecho verdaderos estragos, infectando la mente de millones de bonaerenses.</t>
  </si>
  <si>
    <t>a Kicillof-specific instance of the casta/patronage critique — provincial budget allocated to a "ejército de funcionarios sin función alguna" and streaming-media subsidies, explicitly framed as a "propagandistic apparatus" that "infects" the minds of Buenos Aires Province residents, extending the parasite/infection metaphor to a named subnational target ahead of the September provincial elections.</t>
  </si>
  <si>
    <t>Volviendo a las cuestiones pertinentes también de la provincia de Buenos Aires guiado con las sagradas escrituras, el profeta Isaías cuenta de una época en el que el reino de Judea estaba sumergido en una profunda corrupción social y religiosa [...] cuando extiendan sus manos en oración apartaré mis ojos de ustedes [...] porque sus manos están llenas de sangre y eso es lo que es la provincia de Buenos Aires, una provincia donde el gobierno tiene las manos llena de sangre porque la provincia de Buenos Aires es un verdadero baño de sangre.</t>
  </si>
  <si>
    <t>a second, theologically escalated Kicillof/PBA instance — citing the Book of Isaiah's condemnation of a corrupt Judean kingdom "with hands full of blood," Milei applies this directly to the Buenos Aires provincial government ("eso es lo que es la provincia de Buenos Aires... un verdadero baño de sangre") — the corpus's most severe theological indictment applied to a specific sitting subnational government, distinct from the more common secular "degenerado fiscal"/"parásito" register.</t>
  </si>
  <si>
    <t>Parece una pretensión noble, pero cuando no hay plata no se trata más que un engaño demagógico de parte de la política que toma los ciudadanos como idiotas, pero lamentablemente esto no se trata de que los jubilados, los docentes o los discapacitados tengan mejores ingresos, esto se trata de poder, esto se trata de una clase política que hace dos años perdió el poder y van a hacer cualquier cosa con tal de recuperarlo sin importar si eso implica destruir la estabilidad que tanto nos ha costado conseguir. Para mí sería fácil acompañar cualquier iniciativa del Congreso, aumentar el gasto y desentenderme de las consecuencias futuras como hicieron los presidentes anteriores. Incluso sería beneficioso políticamente porque muchos votantes tendrían más dinero en el bolsillo en los meses previos a las elecciones nacionales.</t>
  </si>
  <si>
    <t>Congress's pension/disability/teacher-salary spending bills are reframed not as genuine social policy but as a naked power-recovery maneuver by "una clase política que hace dos años perdió el poder" — the "noble causes as excuse" framing explicitly denies the legislature's stated motives any good faith.</t>
  </si>
  <si>
    <t>Cadena Nacional – Deficit Cero Y Politica Monetaria</t>
  </si>
  <si>
    <t>2025-08-08</t>
  </si>
  <si>
    <t>La locura es que aquí, es el propio Parlamento el que pretende aumentar el gasto, lo cual implica mayores impuestos y, por ende, atenta contra los ingresos de sus representados. El verdadero mundo al revés. Cuán lejos estamos hoy de aquel ideal que tomamos como normal, que el Congreso nos imponga el gran impuesto no legislado que es la inflación. Por eso mismo y frente a los continuos intentos del Congreso de la Nación de atentar contra el programa económico del Gobierno y de la prosperidad de los argentinos, quiero anunciarles que en los próximos días estaremos tomando dos medidas para amurallar el déficit cero y la política monetaria de este Gobierno.</t>
  </si>
  <si>
    <t>a distinct institutional-inversion argument — Parliament, historically conceived to protect citizens' property from executive overreach ("no hay tributación sin representación"), is now itself the source of the threat, having become "el gran impuesto no legislado que es la inflación." The Sun Tzu citation (coward-ruler-burns-his-own-country) recurs eight days later at the 2025-08-16 Liberty International speech.</t>
  </si>
  <si>
    <t>Tras haber alcanzado una época dorada a principios del siglo XX, la República Argentina fue víctima de una nueva clase política, que hizo de la justicia social su bandera. Durante un siglo sometieron a la población a un proceso gradual de empobrecimiento, marcado por episodios dramáticos de crisis, estallidos sociales e hiperinflaciones. Sobre el tema de la justicia social, quiero hacer una especial mención a un enorme trabajo, a una película excepcional que es la película reciente de Guillermo Francella, Homo Argentum, una verdadera obra de arte, dado que está aquí Diego Recalde. De hecho, no solo la vi con un conjunto de diputados que defienden con uñas y dientes las ideas de la libertad en el Congreso, sino que también la vi con mis ministros. Y de las 16 viñetas, hay 11 que verdaderamente llaman a una profunda reflexión. Y la más interesante, en términos de la lógica de justicia social, o una de las más interesantes, es la última, que se llama Troppo Dolce, y que básicamente plantea de modo brutal el problema de la justicia social. La familia Italiana a la cual Fabio Muscarella va a ver, para conocerla, son pobres. Y él tenía una constructora. Entonces, primero le roban la billetera con el argumento de pagar una silla de ruedas; y después le dicen de una manera, haciendo referencia a principios y valores, que lo iban a esquilmar. Es interesante, porque cuando ustedes miran la distribución del ingreso, si la toman por deciles, podrían decir que hay un decil muy rico y los nueve restantes están muy rezagados. O sea, deja en claro el problema de la distribución del ingreso, el problema de la desigualdad, en la visión de ellos. Porque justamente, el argentino le dice: pero yo me esfuerzo muchísimo por conseguir el dinero y ganar el dinero que gano, lo hago honestamente. Y ellos le dicen: bueno pero vos sos rico y nosotros somos pobres; y nos tenés que dar la plata. Y lo hacen de una manera, muchos contra uno; lo que llamaría Hayek la tiranía de las mayorías, una suerte de tiranía de la mayoría. Es como el chiste ese: se juntan cuatro lobos y una gallina a votar qué se cena hoy a la noche. Marche la gallina. O sea, la democracia ilimitada es la reflexión estricta de Hayek. Y ustedes ven ahí la violencia que ejercen sobre el dueño de una constructora para robarle todo el dinero. Y bueno, termina huyendo.</t>
  </si>
  <si>
    <t>a century-long historical framing in which "justicia social" is identified as the founding banner of the political class responsible for Argentina's decline — sets up the extended film-based argument that follows.</t>
  </si>
  <si>
    <t>Liberty International World Conference</t>
  </si>
  <si>
    <t>2025-08-16</t>
  </si>
  <si>
    <t>Y eso pone muy violento a los kukas, porque muchas de estas viñetas lo que muestran es a los argentinos de bien, por un lado, los que se ganan el pan con el fruto de su trabajo; y a los delincuentes que en algunos casos usan al Estado para ejecutar esa acción violenta. Pero está claro que la justicia social es un robo. Es un trato desigual frente a la ley. La justicia social es injusta, es criminal. Y obviamente que en términos dinámicos es perverso, porque si se van los productivos y se quedan solamente los parásitos, ese lugar, una vez que esquilmó a esa persona… y qué interesante, el Troppo Dolce: se van a comer los alfajores, y una vez que lo liquidaron vuelven a la misma situación miserable.</t>
  </si>
  <si>
    <t>FLAGSHIP — the corpus's first instance of a contemporary popular film (Guillermo Francella's "Homo Argentum," specifically its "Troppo Dolce" vignette) deployed as extended evidentiary support for the "justicia social es un robo" argument, paired with Hayek's "tiranía de las mayorías" illustrated via the four-wolves-and-a-chicken joke. A new pop-culture-citation register for the corpus's recurring social-justice-as-theft argument.</t>
  </si>
  <si>
    <t>Un modelo enemigo de la producción, que a lo largo y ancho del país asfixia el sector privado con impuestos absurdos. Por ejemplo, cuando la gente huye hacia la seguridad privada, el kirchnerismo pone un impuesto a la instalación de puestos de seguridad privada. En otras palabras, hacen que el Estado penalice al ciudadano por buscar por fuera el sector público la seguridad que éste no le brinda. Y eso sumado otros impuestos realmente hilarantes como tasas para el patentamiento de animales, tasas para paseadores de ponys, el perro peligroso, e incluso a los muñecos inflables publicitarios. ¿Qué país puede salir adelante con estas bestias?</t>
  </si>
  <si>
    <t>FLAGSHIP — the corpus's most vivid and specific catalog of kirchnerista provincial/municipal regulation, itemizing a private-security installation tax, animal-patenting fees, pony-walker fees, a "dangerous dog" tax, and an inflatable-advertising-balloon tax — a comedic-absurdist register (rather than the corpus's more common abstract "burocracia elefantiásica" framing) designed to make regulation itself appear self-evidently ridiculous.</t>
  </si>
  <si>
    <t>Buenas días a todos. Les agradezco nuevamente a Susan Segal, a Natalio Grinman y a los demás integrantes del Council of the Americas y también de la Cámara de Comercio y Servicios por haberme invitado a hablar a este evento tan importante para las relaciones políticas y económicas del continente americano. Hola, Eduardo, ¿cómo anda? Hoy no es un día como cualquier otro. Ayer asistimos a un espectáculo macabro en el Congreso de la Nación. Nos dejaron bien en claro una vez más que enfrente tenemos un Congreso secuestrado por el kirchnerismo, un Congreso que solo responde a sus propios intereses; nos recordaron que ellos tienen una sola agenda legislativa: quebrar al Estado Nacional. Es sorprendente escuchar de parte de estos "honorables" legisladores kirchnerista que su festival de gasto es para frenar la crueldad de este Gobierno. Ellos que - hace dos años - nos dejaron a todos al borde de la catástrofe esconden que el punto de llegada, de todas estas iniciativas, es quebrar al Estado.</t>
  </si>
  <si>
    <t>Congress is described as literally "secuestrado" (hijacked/kidnapped) by kirchnerismo, with a single stated agenda of "quebrar al Estado Nacional" — recent spending votes are reframed not as social policy disagreement but as a deliberate demolition project, with "honorables" placed in scare quotes to strip the institution of its customary legitimacy.</t>
  </si>
  <si>
    <t>Council Of The Americas 2025</t>
  </si>
  <si>
    <t>2025-08-21</t>
  </si>
  <si>
    <t>Y es muy fácil de comprender por qué. Ellos no conocen - en carne propia - lo que es sufrir un país con inflación; un país con caos económico; sin oportunidades laborales y estancados sin horizonte alguno. Porque ellos siempre vivieron de la política y siempre se aumentaron sus propios sueldos a gusto, tan sólo levantando la manito. Porque todos sus familiares y amigos viven, desde hace años, del Estado, ya sea porque son empleados públicos o porque tienen negocios ilegítimos con el Estado y las provincias. Ellos ven en la destrucción económica, que causan, una gran oportunidad. Porque es – entonces - cuando le acercan a sus futuros clientes la mano ensangrentada del Estado escondida de un velo de caridad. Para ellos cada pobre no es - ni más ni menos - que una oportunidad de acumular aún más poder, de someter económicamente al ciudadano honesto. Por eso los multiplican; por eso no quieren que salgamos del pozo. Cualquier argentino de trabajo entiende que, a la hora de crecer, primero viene el esfuerzo, el ahorro, el sacrificio, y luego vienen los resultados. Eso es algo que un político no entiende o que no le sirve admitir públicamente.</t>
  </si>
  <si>
    <t>FLAGSHIP-adjacent — poverty itself is reframed as a deliberately manufactured business model for the casta, encapsulated in the vivid image of "la mano ensangrentada del Estado escondida de un velo de caridad" extended to potential clients ("futuros clientes"). This is one of the corpus's most explicit statements of the clientelism-as-intentional-strategy accusation — political opponents don't merely tolerate poverty, they are said to actively multiply it as a power-accumulation mechanism.</t>
  </si>
  <si>
    <t>Y en ese contexto, el otro problema que hay, es el de la tasa de interés. La tasa de interés es el precio relativo de los bienes presentes respecto a los bienes futuros. O sea, a ustedes no les da lo mismo consumir hoy que consumir mañana. Y esa relación entre el precio presente y el precio futuro es la tasa de interés. Ahora les voy a contar el caso de un país de América del Sur, bien al sur, se llama Argentina, y que tiene dos tipos de políticos: tienen los que abrazan las ideas de la libertad y gente razonable, y del otro lado tiene a los orcos, o sea los kuka. Es decir, donde por ejemplo explícitamente un diputado kirchnerista dice: "¿Cuál es mi programa de gobierno? Mi programa de gobierno es romper todo lo que hizo este gobierno". Por lo tanto, si ustedes se encuentran que enfrente están los sodomitas del capital, los que abiertamente vienen a decir que van a romper los derechos de propiedad y, por ende, van a destruir el capital, ¿cuánto creen que vale la tasa de interés ahí? Está claro que la tasa de interés se le tiene que ir a las nubes ¿por qué? porque están del otro lado los sodomitas del capital, están los orcos, están los kukas y esa es la realidad y por eso sube la tasa de interés. Es decir, como muy bien le puso el doctor Sturzenegger, el riesgo kuka, sí, es el riesgo kuka.</t>
  </si>
  <si>
    <t>FLAGSHIP — opposition legislators are folded directly into the interest-rate model itself via the "riesgo kuka" (Kirchnerist risk) concept, using explicitly extreme dehumanizing vocabulary: "orcos" (a fantasy-monster epithet) and "sodomitas del capital" — among the corpus's most severe dehumanizing terms applied to political opponents, here presented as a formal economic variable ("el riesgo kuka") rather than mere rhetorical flourish, embedding the delegitimization directly into technical policy analysis.</t>
  </si>
  <si>
    <t>141 Aniversario De La Bolsa De Comercio De Rosario</t>
  </si>
  <si>
    <t>2025-08-22</t>
  </si>
  <si>
    <t>Y a la segunda persona a la que también estoy en gran deuda, que conocí en esta compañía, es a Guillermo Francos, hoy el jefe de Gabinete. Sin lugar a dudas, el mejor jefe de Gabinete de la historia, es el que le toca lidiar con los orcos del Congreso, con esos destituyentes que lo único que están buscando es romper el programa económico, están apostando para romper el país, promoviendo proyectos que buscan romper el equilibrio fiscal, aprobando cualquier tipo de barbaridades sin tener financiamiento. Pero más allá de lo que estamos lidiando en un año electoral, que además era absolutamente previsible, porque esto es como el ajedrez: las negras también juegan. Entonces, no es que hoy al gobierno le falte política en esta parte del gobierno, no, no le falta política, es decir, están los de enfrente que quieren romper todo, que es algo muy distinto. En algún momento mencioné una frase de Sun Tzu que dice que al político demagogo no le importa prender fuego al país y gobernar sobre las cenizas, porque lo que les importa es tener el poder. No les importa los argentinos de bien, y está claro que no les importa, porque ellos son los argentinos del mal, que son los vividores y los que han destrozado este país.</t>
  </si>
  <si>
    <t>opposition legislators are termed "orcos" (repeating the fantasy-monster dehumanization from 2025-08-21/08-22) and, more specifically, "destituyentes" — a term implying an active coup/regime-overthrow project rather than ordinary legislative opposition — culminating in an explicit moral binary: "los argentinos de bien" versus "los argentinos del mal."</t>
  </si>
  <si>
    <t>Inauguracion Del Nuevo Edificio De Corporacion America</t>
  </si>
  <si>
    <t>2025-08-25</t>
  </si>
  <si>
    <t>Y voy a tratar de volver al discurso. Básicamente lo que estábamos hablando es de motivar a que cada empresa, individuo, tenga la posibilidad de avanzar como lo hace Eduardo y, con esto, convertir a nuestro país en un verdadero oasis de inversión, trabajo y crecimiento que redundará en un mayor bienestar para todos. Porque, a diferencia de otros, nosotros consideramos que la dignidad de una nación se mide por la dignidad de sus ciudadanos y no por el tamaño del siniestro infame Estado. Y por eso hacemos todo lo que hacemos para devolverle al trabajador y al emprendedor argentino la dignidad que 100 años de modelo estatista le han quitado. Argentina tiene todo para convertirse en una potencia tecnológica. Esta nación dispone de todos los recursos necesarios para lograrlo, pero principalmente cuenta con un capital humano del más alto nivel. Mire usted, todo lo que aporta al país con el capital humano que sale de su empresa, Eduardo. De hecho, somos el país con más unicornios per cápita de la región, aún con el menor nivel de inversión. Además, el mundo está lleno de argentinos en los lugares jerárquicos de las empresas más grandes y exitosas que ansían volver a reconstruir un país en el que sus hijos puedan crecer. Esto no depende de nadie más que de nosotros mismos. Por eso, tanto desde el sector público como desde el sector privado debemos aunar esfuerzos para que la única prioridad sea sacar el país adelante: empresas que se esfuerzan tanto para generar bienes y servicios de mejor calidad a un mejor precio, mientras que nosotros, desde el lado del Estado, generamos las condiciones para que ustedes crezcan, les vaya bien y contribuyan con la creación de nuevos puestos de trabajo para los argentinos. Porque, como ya he dicho en otras ocasiones, si el sector privado es la locomotora que nos lleva al progreso, el sector público hoy debe centrarse en eliminar las malezas y las obstrucciones que entorpecen su camino. Por más que el Congreso las quiera revertir. Con lo cual no me molesta, vamos a re- insistir después. O sea, no me importa todo el daño que puedan hacer de acá al 7 de septiembre o hasta el 26 de octubre. Si di vuelta el déficit fiscal de 123 años en un mes, ¿ustedes se creen que me voy a preocupar por lo que me van a hacer durante dos meses? ¡Ja Ja Ja! Así es que, nuevamente, muchas gracias a Corporación América por invitarme a la inauguración de su nueva sede. Les auguro el mejor de los éxitos en esta nueva etapa que comienza. Que Dios bendiga a todos, que las fuerzas del cielo nos acompañen, ¡y viva la libertad, carajo! Muchas gracias.</t>
  </si>
  <si>
    <t>national dignity is explicitly redefined in inverse proportion to state size ("la dignidad de una nación se mide por la dignidad de sus ciudadanos y no por el tamaño del siniestro infame Estado"), with a century of "modelo estatista" blamed for stripping Argentine workers and entrepreneurs of dignity.</t>
  </si>
  <si>
    <t>Cuando lanzamos nuestra campaña inventaron salvajadas de venta de candidaturas, que íbamos a habilitar la venta de órganos, que permitiríamos que los niños compraran armas por internet, y cuántas de tantas aberraciones que dijeron, como el incesto, como la zoofilia. Se cansaron de decir todo tipo de barbaridades. La opereta – de esta semana - no es más que otro ítem, en la larga lista de artilugios de la casta y - tal como todas las anteriores - una nueva mentira. Como en todos los otros casos, dependerá de la Justicia esclarecerlo, y nosotros nos encontramos a su disposición, una vez más, y esperamos que todo se aclare tan pronto como sea posible. Lamentamos que los jueces tengan que estar perdiendo su tiempo con jugarretas de la política más rancia, en lugar de poder estar abocándose a perseguir el crimen. Este tipo de acciones refleja de manera fidedigna el comportamiento de la casta, manifestado en una nueva embestida por frenar el proceso de cambio que el país está atravesando. Como la gente votó un gobierno que vino a terminar con todos sus curros y privilegios, su respuesta es generar pánico y caos en la gente, infiltrarse, difamar, cualquier otra maniobra que entorpezca el proceso de cambio que estamos llevando adelante.</t>
  </si>
  <si>
    <t>FLAGSHIP — responding to an actual physical incident (a stone-throwing attack at a campaign event the previous day), Milei folds the attack into a broader pattern of "artilugios de la casta," listing a catalog of past defamation claims (organ sales, child gun purchases, incest, zoophilia accusations) as evidence of a sustained casta-orchestrated smear campaign — grounding the corpus's abstract casta-conspiracy framing in a concrete, dated real-world event.</t>
  </si>
  <si>
    <t>Consejo Interamericano De Comercio Y Produccion (Cicyp) 2025</t>
  </si>
  <si>
    <t>2025-08-28</t>
  </si>
  <si>
    <t>Por eso están tan desesperados, pues ven desvanecerse todo lo que construyeron a lo largo de las últimas décadas, aterrados acerca de un futuro incierto en el sector privado; y el mercado, por su parte, acostumbrado al comportamiento sociopático, de su mal llamada clase dirigente, vive estos momentos con gran zozobra. Como quien se ha quemado con leche tantas veces, ven la vaca y lloran. Y si se me permite otra analogía zoológica: el mercado se ha acostumbrado a vivir las campañas electorales como la oveja que mira dos lobos peleándose por quién se la va a terminar comiendo.</t>
  </si>
  <si>
    <t>the political class is explicitly pathologized as exhibiting "comportamiento sociopático" — a clinical-diagnostic framing distinct from the corpus's more common criminal/parasitic vocabulary — reinforced by two folk-proverb/zoological metaphors (burned-by-milk cow aversion; a sheep watching two wolves fight over who eats it) illustrating market participants' learned distrust of "la clase dirigente."</t>
  </si>
  <si>
    <t>Además, la destrucción del crédito, que la inflación tiene aparejada, deja a una gran mayoría fuera del mercado de la vivienda, porque en ningún lugar del mundo se compran casas al contado, como acá. Y luego también destruye cualquier tipo de financiación. Así vimos desaparecer el sistema de cuotas, a fines del 2023. Esta precariedad dificulta que los jóvenes proyecten familias. Entendámoslo de una buena vez: la inflación es un genocidio social, pues lleva a la disolución del país, y por eso es tan importante eliminarla. En paralelo, mientras nosotros nos rompemos el lomo para devolverle la estabilidad a todos los argentinos, el Congreso está secuestrado por una banda de facinerosos, que trabaja incansablemente para privar a la gente del fruto de su esfuerzo y recuperar todos los curros que le hemos cortado, desde el Ejecutivo.</t>
  </si>
  <si>
    <t>inflation — and by extension the fiscal/monetary mismanagement of prior administrations — is explicitly termed "un genocidio social," an escalation beyond the corpus's more common "robo"/"impuesto más regresivo" framing into genocide-register language, echoing but distinct from the "genocidas del futuro" formulation applied to Congress at the 2025-07-26 La Rural speech.</t>
  </si>
  <si>
    <t>Es más, estamos absolutamente convencidos de lo que hacemos porque, en Argentina, tenemos emprendedores y trabajadores de primer nivel. Lamentablemente, la política los empujó a tener que dedicarse a sortear los obstáculos que la misma les ponía, en lugar de tener que hacer su trabajo. Entendemos que el privado argentino sobrevivió - todos estos años - con una economía sin crédito; sobrevivió a una de las presiones fiscales más altas del mundo, sin ninguna contraprestación acorde; sobrevivió sin poder importar por el cepo y perdiendo la mitad del valor de su producto si quería exportar; sobrevivió con un mercado interno chico, sostenido a pulmotor mediante emisión monetaria; y sobrevivió teniendo que hacer cada vez más trámites burocráticos, dictados por gente que nunca en su vida trabajó realmente. Hay una frase de Thomas Sowell que es fabulosa y dice: “Para un burócrata, el resultado es nada. Lo único que importa es el procedimiento”. O sea, el burócrata los va a volver locos, o sea, están para eso, son la máquina de impedir.</t>
  </si>
  <si>
    <t>a second, distinct instance citing Thomas Sowell's process-over-outcome critique of bureaucracy, applied to Argentine regulatory officials described as "gente que nunca en su vida trabajó realmente" — a new citation supporting the corpus's established "máquina de impedir" bureaucracy framing.</t>
  </si>
  <si>
    <t>Por la composición de nuestro sistema electoral, en Argentina se vota cada dos años y este año tendremos las famosas elecciones legislativas de medio término, donde se disputa la mitad de las bancas del Congreso Nacional, un tercio de las bancas de la Cámara de Senadores y también escaños en la legislaturas provinciales y municipales. Esto le da oportunidades al status quo para intentar voltear nuestro programa reformista de crecimiento económico. A nivel local los gobernadores de las provincias decidieron separar las elecciones locales de las nacionales, con la idea de desalentar a los votantes el ir a votar. Porque queda claro -prácticamente nadie está tan inmerso en la política, como para conocer al candidato a consejero escolar, de un municipio, y gracias a esta apatía generada se reduce la cantidad de votantes permitiéndoles - a quienes controlan los distritos- mandar a votar a sus clientes y así ganar las elecciones, el famoso voto rentado que tantos años el cristianismo ha fomentado.</t>
  </si>
  <si>
    <t>provincial governors are accused of deliberately splitting local and national elections as a voter-suppression strategy, designed to shrink turnout so that district bosses can mobilize "voto rentado" (paid/clientelist votes) to win — a specific institutional-mechanics accusation about how the casta manufactures electoral victories, distinct from the corpus's more common abstract clientelism critique.</t>
  </si>
  <si>
    <t>Palabras Ante Lideres Empresariales Milken Institute</t>
  </si>
  <si>
    <t>2025-09-04</t>
  </si>
  <si>
    <t>Los Angeles, Ee.Uu.</t>
  </si>
  <si>
    <t>Por si todo esto fuera poco, también tenemos en funciones la libre competencia de monedas. Esto nos permitirá remonetizar nuestra economía, a pesar de nuestro compromiso de no emitir dinero. Para poner en contexto: Argentina es el tercer país del mundo con mayor cantidad de dólares en efectivo. Esto se dio pura y exclusivamente por la gestión de nuestros políticos, que se dedicaron durante años a tratar a todo el sector privado como tratan a narcotraficantes y delincuentes de cualquier calaña, y a tratar también al ahorro como un crimen de lesa humanidad. Así pusieron cepo tras cepo sobre la compra de dólares, y así pedían que los comercios informaran transacciones de tan solo quinientos dólares para investigarlas, así de ridículo como suena.</t>
  </si>
  <si>
    <t>decades of capital-control policy are reframed via an extreme comparative escalation — the state is accused of treating the private sector "como tratan a narcotraficantes y delincuentes" and of treating personal savings "como un crimen de lesa humanidad" (a crime against humanity) — one of the corpus's more severe rhetorical equivalences applied to routine currency-control regulation.</t>
  </si>
  <si>
    <t>En primer lugar, quiero dedicar esta alocución y brindarle mis condolencias a la familia del mártir de la libertad, el queridísimo Charlie Kirk. Charlie fue brutalmente asesinado a sangre fría por un intolerante, un simpatizante de la organización terrorista ANTIFA, mientras llevaba a cabo un debate abierto con alumnos de la Universidad del Valle de Utah el pasado miércoles. Pero, lamentablemente, este hecho fue solo una prueba gráfica más de lo que es verdaderamente la izquierda en su estado puro: odio y resentimiento. Nos quitaron un guerrero ejemplar en el campo de la batalla de las ideas. Paradójicamente, este atentado fue perpetrado y celebrado por los mismos que nos acusan de violentos a nosotros, que lo único que hacemos es expresar con vehemencia la veracidad de nuestros argumentos.</t>
  </si>
  <si>
    <t>FLAGSHIP — a real assassination is directly attributed not to an individual perpetrator's actions but to "la izquierda en su estado puro," collapsing the distinction between an individual crime and an entire political movement's essential nature ("odio y resentimiento"). This is the corpus's most severe instance of collective-guilt attribution, using a real, named victim and dated real-world event as evidentiary anchor.</t>
  </si>
  <si>
    <t>Europa Viva 25 (Vox)</t>
  </si>
  <si>
    <t>2025-09-14</t>
  </si>
  <si>
    <t>Ellos son en todo momento el hogar, un fenómeno violento y lleno de odio, pero no debemos temerles. Porque, como dicen las sagradas escrituras, ellos nos atacan llenos de insolencia y de impiedad para exterminarnos a nosotros, a nuestras mujeres y a nuestros hijos, y para apoderarse de nuestros despojos. Nosotros, en cambio, luchamos por nuestra vida y por nuestras costumbres. El cielo los aplastará delante de nosotros. No les tengan miedo, no les tenemos miedo.</t>
  </si>
  <si>
    <t>FLAGSHIP — the corpus's most extreme Civilizational_Defense passage, combining an anti-immigration framing ("no queremos una invasión migratoria") with an explicit biblical citation casting the left as an exterminationist enemy force ("nos atacan... para exterminarnos a nosotros, a nuestras mujeres y a nuestros hijos") in a literal existential war, resolved by a promise of divine violence ("el cielo los aplastará delante de nosotros"). This escalates the corpus's established civilizational-defense register from cultural/values framing into explicit life-and-death combat rhetoric, directly following the Kirk assassination.</t>
  </si>
  <si>
    <t>Y, de hecho, en el caso argentino, en este aspecto, vale destacar que durante las últimas décadas hemos vivido el proceso inverso. El talento argentino se vio obligado a buscar en otras tierras aquello que su propio país dejó de darle: la posibilidad de cumplir sus sueños, de llevar a cabo un proyecto de vida. Miren… sin ir más lejos, la idea de la justicia social, que es nuestro modelo antagónico, por decirlo de alguna manera. Y la justicia social, en realidad, es injusta porque… ¿acaso alguien, aquí adentro, está a favor del robo? Nadie está a favor del robo. De hecho, uno de los mandamientos dice «no robarás». Y no solo eso…, bueno, también digamos a la luz de Charlie Kirk y a la luz del principio de no agresión también es no matarás antes ¿no? Digo para que vean qué es lo que está del otro lado. Pero no solo eso, sino que, además, ¿quién estaría frente a un trato desigual frente a la ley? Uno de los grandes logros del liberalismo es haber planteado la igualdad ante la ley, y eso de robarle a uno para darle a otro, la verdad es que eso está mal. Por eso es muy interesante un par de reflexiones que hizo Thomas Sowell al respecto, dice: la justicia social es envidia más retórica. Y la pregunta que se hace Thomas Sowell es ¿desde cuándo la envidia dejó de ser un pecado capital para convertirse en una virtud? Porque una de las características que lleva la justicia social, que es la política de la envidia, es a la destrucción de una sociedad. Por lo tanto, este tipo de cuestiones son fundamentales al momento de tomar decisiones. Porque uno lo lleva a un plano que es ético y moral y ahí está claro lo que está bien y lo que está mal. No sé, le puedo hacer otro ejemplo, lo que tiene que ver con nuestra política de seguridad. Y miren, el que las hace las paga, es decir… y bien que funciona.</t>
  </si>
  <si>
    <t>FLAGSHIP — the corpus's established "justicia social es robo" argument is here explicitly extended, via the newly added commandment "no matarás," to directly implicate Charlie Kirk's assassination as evidence of what "está del otro lado" (what the other side represents) — collapsing an economic-philosophy argument about redistribution into a claim about the left's fundamental relationship to lethal violence, delivered days after Kirk's murder.</t>
  </si>
  <si>
    <t>Cpac Paraguay 2025</t>
  </si>
  <si>
    <t>2025-09-16</t>
  </si>
  <si>
    <t>Además, han matado a Uribe; han matado a un importante dirigente en Japón; intentaron asesinar a Trump; intentaron también asesinar a Bolsonaro. Muy recientemente en una caravana nos tiraron con un adoquín, que vendría a ser como una piedra muy grande y muy pesada. Si nos hubiera dado en la cabeza, como la tiraron desde un edificio, podría habernos matado. O una que nos tiraron una que nos tiraron de frente y que rebotó en el capot de la camioneta y que, afortunadamente, la pude esquivar. Por lo tanto, parece que defender las ideas de la libertad se ha vuelto un poquito más riesgoso; si es más riesgoso, el retorno también es más grande. Así que quiere decir que les estamos ganando la batalla de las ideas y tienen que recurrir a la violencia.</t>
  </si>
  <si>
    <t>FLAGSHIP — the corpus's most comprehensive international catalog of alleged left-wing political violence, cataloging five separate incidents across four countries (Kirk in the US, Uribe in Colombia, an unnamed Japanese leader, attempts on Trump and Bolsonaro) plus a first-person account of a stone-throwing attack on Milei's own campaign caravan — constructing a global pattern-of-violence narrative in which the international right, including Milei himself, is under sustained lethal attack "porque les estamos ganando la batalla de las ideas."</t>
  </si>
  <si>
    <t>Foro De Emprendedores Industriales Del Paraguay</t>
  </si>
  <si>
    <t>foro economico / empresarial</t>
  </si>
  <si>
    <t>Es más, una sociedad…fíjense esto, muy interesante: cuando uno habla de Sodoma, ¿cuál era la característica que tenía Sodoma? Sodoma no respetaba uno de los principios del liberalismo, que era la propiedad. Es decir, en Sodoma se violaban los Diez Mandamientos, porque básicamente estaba permitido robar. Por lo tanto, era un descontrol total. Por eso el Creador manda a un elegido y le dice: “Bueno, si querés que los salve, conseguime 100 justos”. No consigue. “Conseguí 50”. No consigue. “Conseguí 10”. No consigue. “Conseguí uno”. Tampoco. Por lo tanto, decide condenar a ese pueblo. Y cuando se está yendo con la mujer, le dice que no se dé vuelta; y la mujer sí se da vuelta y se transforma en una estatua de sal. ¿Por qué creen que se transforma en una estatua de sal? Porque en ese momento el dinero era la sal. Es decir, era una ciudad pervertida por la envidia y por el robo. Y el robo material: el dinero. Consecuentemente, esa sociedad se destruye, y aquella que mire hacia allá se va a convertir ¿en qué? En ese mismo material.</t>
  </si>
  <si>
    <t>FLAGSHIP — a new and elaborate theological genealogy for the corpus's "socialism as theft/envy" argument, reinterpreting the destruction of Sodom as a divine punishment for property violation and envy specifically (rather than the story's more conventional theological readings), with Lot's wife's transformation into a pillar of salt reinterpreted as a monetary symbol ("en ese momento el dinero era la sal"). The corpus's most creative biblical reinterpretation applied to economic ideology.</t>
  </si>
  <si>
    <t>Pero, al margen de la falacia de inicio, es interesante entender entonces ahora al Estado como un seguro: que esa es la discusión interesante. Hay un libro maravilloso de un autor que se llama Robert Murphy, que se llama La teoría del caos, y dice: “Bueno, yo quiero pensar cómo sería una sociedad anarco-capitalista”. Bueno, la sociedad anarco-capitalista lo que tendría es un sistema completo de seguros. Entonces, ¿y en el fondo qué es el Estado? El Estado es un seguro. ¿Y qué es lo que pide la gente? Un seguro para la salud, un seguro para la educación, el seguro en base a la defensa y a la seguridad. Entonces, cuando uno entiende esto, y entiende la aversión al riesgo, entonces ahora se para en otro lugar en ese debate. Hay un libro de Hayek muy, muy criticado por las ramas más duras del liberalismo, que se llama Los fundamentos de la libertad. Es un libro que tiene tres libros, y en el libro 1 y 2, ustedes leen a Hayek y parece un anarco-capitalista, y en el libro 3 dice: “Bueno, pero la gente quiere Estado, entonces, ¿cómo lo resuelvo?”. Entonces, da una guía práctica de cómo resolver en la vida práctica que la gente quiere al Estado. Porque hay algo que es muy interesante: ¿qué pasa si a ustedes se les está incendiando el auto y quieren contratar un seguro? ¿Quién les va a vender ese seguro? Nadie les va a vender ese seguro. Bueno, el Estado les promete venderles el seguro en el mismo momento en que se les está incendiando el auto, y ahí le venden la solución del Estado. ¿El caso más emblemático fue cuál? La pandemia. El Estado te cuida. En Argentina descubrimos que “el Estado te cuida” era una mentira. Pagábamos una prima enorme por ese seguro, y si hubiéramos hecho las cosas como un país mediocre, hubiéramos tenido 30.000 muertos, y sin embargo tuvimos 130.000. Es decir, que pagamos muy caro por el seguro, y al mismo tiempo, el sistema, cuando fue puesto a prueba, no funcionó. Esa es la mentira del Estado.</t>
  </si>
  <si>
    <t>the State-as-insurance-seller metaphor is applied specifically to Argentina's COVID-19 pandemic response, with a specific comparative death-toll claim (30,000 expected under "mediocre" management vs. 130,000 actual) used as empirical proof that "el Estado te cuida" was "una mentira" — one of the corpus's most concrete quantitative claims of State failure with lethal consequences.</t>
  </si>
  <si>
    <t>Porque, en el fondo, con lo que ustedes tienen que lidiar es que esas causas justas, esas causas nobles y pivoteadas sobre el temor de los seres humanos —el cual ellos se encargan de agigantar y de usar para asustar a las personas, manipulan a las personas vía el miedo, porque eso es lo que hacen estas personas: manipulan a la sociedad llenándola de miedos -; entonces, ustedes tienen que saber enfrentar ese tipo de cuestiones para poder desenmascararlos. Porque otra cosa que hacen, y que hacen de manera muy hábil, es que, en todos esos lugares que son tan sensibles para la sociedad, detrás de esas causas nobles esconden todas las estafas de los políticos ladrones. Usan esas causas nobles para crear ejércitos de empleados públicos, que en el fondo no son empleados públicos, no son servidores públicos: son militantes políticos. Y esos militantes políticos generan un drenaje de recursos que hace que ese servicio que va a estar prestando el Estado sea de peor calidad, que llegue a menos personas, que no llegue a los que tiene que llegar, que se degrade la prestación, cuando la contraparte es que estos militantes políticos se enriquecen a costa de los sectores vulnerables y de causas nobles. Entonces, cuando ustedes quieren ir a eliminar esos gastos espurios para que le lleguen más recursos a los que verdaderamente los necesitan, van a decir que ustedes quieren exterminar un sector o que quieren eliminar algo, cuando en realidad lo que están haciendo es defender esos privilegios y esos curros que tienen esos militantes políticos.</t>
  </si>
  <si>
    <t>public-sector employees hired under "causas nobles" are reframed as "militantes políticos" rather than genuine civil servants, extending into an explicit accusation that they function as thought-police: "cuando su signo político está en el poder operan como policía del pensamiento dentro de la estructura para depurarla de aquellos que piensan distinto." A vivid new metaphor (thought police purging dissenters) for the corpus's established politicized-bureaucracy critique.</t>
  </si>
  <si>
    <t>Y en el fondo, entonces ¿cómo se combate con esto? Bueno, en primer lugar, hay que leer, muchachos, hay que estudiar. Hay que ir y no hay que solamente conocer el lado de la biblioteca que nos resulta simpático a nosotros; hay que leer nuestra biblioteca y que hay que leer también la biblioteca del otro lado. También es de mucha ayuda el análisis económico, porque permite ordenar las categorías sobre las que se discute y poder ver las consecuencias que tiene esto en términos dinámicos. Por otra parte, hay un elemento fundamental en todo esto, que es: cada vez que ustedes tengan que evaluar una cuestión de este tipo, hay una cuestión de fondo, que es un tema de valores éticos y morales. Y entonces siempre hay que tomar las decisiones pensando en términos de valores éticos y morales, porque cuando ustedes piensan en términos éticos y morales, no hay lugar a las dudas, no hay solución utilitarista que valga, porque ustedes saben qué cosas están bien y qué cosas están mal. Ustedes saben que robar está mal, ustedes saben que asesinar está mal, ustedes saben que mentir está mal, ustedes saben que codiciar los bienes ajenos está mal. No por nada la izquierda es tan antagónica y persigue con tanta violencia a aquellos que defienden los valores judeocristianos, los estigmatiza diciendo que son fundamentalistas, que son anti- ciencia. Falso. Porque, en el fondo, ustedes con sus creencias no están molestando a nadie, no afectan, no agreden a nadie, no alteran la vida de nadie, no tocan la propiedad ni la libertad de nadie. Por lo tanto, ustedes pueden creer en lo que quieran. Pero claro, ¿cuál es el problema? Que el capitalismo está construido sobre las bases de los valores judeocristianos, y por eso es que atacan a las personas de fe, y por eso también es que atacan con tanta violencia a Israel. Porque, en el fondo, Israel es el bastión de Occidente, porque es la base de la cultura occidental. Y ellos intentan llevarse puesto a Israel para intentar llevarse puesto al capitalismo.</t>
  </si>
  <si>
    <t>Israel is explicitly identified as "el bastión de Occidente" and "la base de la cultura occidental," with attacks on Israel reframed as instrumentally motivated attacks on capitalism itself ("intentan llevarse puesto a Israel para intentar llevarse puesto al capitalismo") — a distinctive geopolitical extension of the corpus's civilizational-defense framing, linking a specific nation-state's security to the ideological defense of free-market capitalism.</t>
  </si>
  <si>
    <t>Asimismo, este Presupuesto es el primer presupuesto de la historia argentina en incluir el régimen de extinción de obligaciones recíprocas, para seguir recomponiendo la relación entre el Estado nacional y las provincias. Esta es una deuda histórica que debemos resolver como país, pero que debe ser atendida con un férreo compromiso con el equilibrio fiscal y que por eso contará con un presupuesto específico dentro de la ley de leyes. Además, insistiremos en restituir la tan bastardeada presunción de inocencia fiscal, para eso mismo buscamos crear un régimen simplificado de declaración jurada de ganancias. Se acabó esa absurda idea de que el Estado considera a todos sus ciudadanos como criminales de manera preventiva. Pero el Presupuesto no es un mero papel sin consecuencias, es la hoja de ruta de hacia dónde vamos y por eso es importante que los argentinos entiendan cómo es un país con equilibrio fiscal y sin inflación.</t>
  </si>
  <si>
    <t>the existing tax-declaration regime is characterized as having treated citizens under a presumption of criminal guilt ("el Estado considera a todos sus ciudadanos como criminales de manera preventiva") — a due-process-style framing of ordinary tax administration as inherently repressive, distinct from the corpus's more common bureaucracy-as-inefficiency critique.</t>
  </si>
  <si>
    <t>Cadena Nacional – Presupuesto Nacional 2026</t>
  </si>
  <si>
    <t>O en términos de impuestos quisiera saber. Porque por cada punto del PBI, necesitamos por ejemplo 3 puntos de IVA. Entonces yo le preguntaría al ex Gobernador Schiaretti, si está pensando en llevar el IVA al 42%. Es decir, si está pensando financiar esa locura gastromaníaca hundiendo más gente en la pobreza, llevando el IVA al 42%, porque necesitaríamos 21 puntos más de IVA, por ejemplo. Entonces, ¿cuál es la alternativa? ¿Gastar para generar una hiper? ¿Gastar para hundir a nuestras hijos, nietos y generaciones futuras? O matar de hambre a la gente subiendo el IVA brutalmente. Entonces, romper con el círculo de la demagogia también es un tema no menor. Porque 2 + 2 siguen siendo 4; y eso parece que la política argentina se resiste a verlo. Es como querer negar la ley de gravedad. La ley de la gravedad no es cruel, pero si ustedes se tiran de un piso 50 se van a estrellar. Y a nadie se le ocurre andar diciendo que la ley de la gravedad es cruel. Bueno la restricción de presupuesto es...por eso fue era tan genial el ejemplo ese que había hecho Alfredo Casero con flan. Se le había terminado de quemar la casa y gritaba que quería flan. No, pero se quemó la casa. Quiero flan. Pero no hay heladera. Quiero flan. No, pero no tenés casa. Quiero flan. Y pareciera que la política en Argentina está empecinada en eso. Es decir, en violar sistemáticamente la restricción de presupuesto. O si se financia con emisión de dinero ¿a quién creen que van a perjudicar? ¿Se supone que dicen que van a proteger a los más vulnerables con emisión monetaria? ¿Con impuesto inflacionario? Me parece que no se enteraron que es el impuesto más regresivo de todos. Por lo tanto, uno también se encuentra no solo con el que tiene que gestionar, sino que, además, tiene que luchar y romper la demagogia.</t>
  </si>
  <si>
    <t>a named opposition figure (former Córdoba governor Juan Schiaretti)'s spending proposal is reframed as "demagogia" that ignores basic arithmetic ("2+2 siguen siendo 4") and is compared to denying the law of gravity — a specific, named-politician instance of the corpus's recurring "casta ignores the budget constraint" argument.</t>
  </si>
  <si>
    <t>Bolsa De Comercio De Cordoba</t>
  </si>
  <si>
    <t>2025-09-19</t>
  </si>
  <si>
    <t>Sin embargo, advertí que la ONU se había alejado de su norte en las últimas décadas. El exitoso modelo de Naciones Unidas que hablaba de la necesidad de paz sin victoria y que se fundaba en la cooperación de los Estados-Nación se vio reemplazado por un modelo de gobierno supranacional de burócratas internacionales que buscan imponerles a los ciudadanos del mundo un modo de vivir determinado. Así es como pasamos de una organización que pretendía mediar la paz entre pares a una organización que pretende decidir no solo qué debe hacer cada Estado o Nación, sino también cada uno de los individuos en las distintas latitudes del planeta.</t>
  </si>
  <si>
    <t>The critique of the UN's transformation from a peace-mediation body to a "supranational government of international bureaucrats" directly targets the institutional architecture through which climate governance operates. UNFCCC, SDG framework, and Paris Agreement all require exactly the kind of normative prescription ("what each state must do, what each individual must do") that Milei characterizes as illegitimate overreach. "Modo de vivir determinado" positions climate NDCs and energy transition requirements as externally imposed lifestyle dictates rather than voluntary multilateral cooperation. [RECONCILED: a prior pass additionally tagged "burócratas internacionales" as D1.2 &gt; Attack_on_Experts_and_Technocrats; removed as a duplicate of this code — the target here is governance/administrative authority, not scientific or academic expertise, so D1.2's Public Science &amp; Expertise sub-dimension does not apply.]</t>
  </si>
  <si>
    <t>80 Asamblea General De La Onu</t>
  </si>
  <si>
    <t>2025-09-24</t>
  </si>
  <si>
    <t>Nosotros creemos en el fin original de este organismo. Creemos que existen problemas globales que requieren del diálogo y la cooperación internacional para ser resueltos. Pero para eso debemos rechazar estas extralimitaciones que a menudo acompañan a las agendas nobles. Como sostuvimos el año pasado, no acompañaremos nunca el cercenamiento de libertades individuales, comerciales, ni la violación de los derechos naturales de los ciudadanos de los Estados miembros; y, durante el último año y medio, hemos votado en consecuencia.</t>
  </si>
  <si>
    <t>[V3 re-code — was D2.3 in v2] "Durante el último año y medio, hemos votado en consecuencia" is here coded as D1.1 &gt; Rejection_of_Multilateral_Governance because this is a rhetorical act — Milei is legitimizing and affirming Argentina's principled opposition to multilateral governance overreach. The statement performs the discursive work of framing Argentina's voting behavior as ideologically consistent and morally obligatory. The voting record itself (actual votes cast at UN bodies) is the D2 institutional evidence in Corpus B. Note that the concession opening ("We believe in the original purpose of this organization") is an inoculation move — acknowledging legitimate multilateral cooperation before rejecting its current form.</t>
  </si>
  <si>
    <t>Así, los Estados contemporáneos han entrado en una dinámica donde el interés del político siempre será sacrificar el futuro en el altar del presente porque consumir el capital acumulado genera bienestar momentáneo y ese bienestar momentáneo genera votos.</t>
  </si>
  <si>
    <t>"Incendian el futuro para mantener caliente el presente" is a general political-incentive argument — politicians sacrifice long-term national welfare for short-term electoral comfort — applied here to statist/multilateral decision-making generally. [RECONCILED: a prior pass coded this as "INDUCTIVE &gt; Temporal_Appropriation," a category CLAUDE.md's version history lists as eliminated from v4; retagged to the closest current sub-code, Anti_State_Anti_Bureaucratic, which the intergenerational-cost argument about political incentive structures fits directly.]</t>
  </si>
  <si>
    <t>Con el correr de los años esta organización ha ido adquiriendo funciones ajenas a su espíritu fundacional. Ha ido creando capas sobre capa de organismos, agencias y programas hasta alcanzar una hipertrofia de administraciones que son poco efectivas a la hora de resolver los problemas para los cuales fueron creadas. Así se engrosan las responsabilidades de la ONU, se engrosan los aportes recibidos por parte de las Naciones miembro y se redujeron los resultados palpables que esta organización tenía para ofrecerle al mundo.</t>
  </si>
  <si>
    <t>"Capas sobre capa de organismos, agencias y programas" / "hipertrofia de administraciones que son poco efectivas" applies the domestic anti-bureaucratic critique at the international level: the UN sustainability architecture is presented as the supranational equivalent of the Argentine administrative bloat Milei is dismantling domestically. This normalizes drastic reduction of the multilateral sustainability apparatus as rational efficiency reform. [RECONCILED: a prior pass additionally tagged this passage D1.2 &gt; Attack_on_Experts_and_Technocrats; removed as a duplicate of this code for the same reason noted above — the target is administrative bloat, not scientific/academic expertise.]</t>
  </si>
  <si>
    <t>A este cóctel de incentivos cruzados se le suma que, a diferencia de los primeros mandatarios nacionales, las organizaciones internacionales nadie rinde verdaderamente cuentas por fallar en la resolución de un problema. Sin ir más lejos, los malos resultados de la Agenda 2030 dan testimonio de esto que describo. Lo que persiste en la práctica es un ciclo de estructuras que se reciclan, recursos que se multiplican y metas que se reprograman. Por esta razón, la Argentina decidió en su momento apartarse de este proceso porque veíamos en esta agenda un mal gasto de recursos escasos, con fines que no compartíamos y con el efecto de distraer la atención de las dificultades reales de un mundo encaminado al estancamiento.</t>
  </si>
  <si>
    <t>"Malos resultados de la Agenda 2030" performs a consequentialist delegitimation: the sustainability framework has failed its own stated objectives. "Estructuras que se reciclan, recursos que se multiplican y metas que se reprograman" is a devastating characterization of SDG governance as self-perpetuating institutional inertia. "Distraer la atención de las dificultades reales" frames sustainability governance as an opportunity cost — absorbing scarce resources from pressing problems. This is Sustainability_as_Ideological_or_Harmful in its consequentialist register: not that the agenda is socialist per se, but that it wastes resources and obscures real needs.</t>
  </si>
  <si>
    <t>[V3 re-code — was D2.3 in v2] "La Argentina decidió en su momento apartarse de este proceso" is here coded D1.1 &gt; Rejection_of_Multilateral_Governance. The speech is performing the discursive work of justifying and legitimizing Argentina's exit from the 2030 Agenda process — framing it as principled, rational, and sovereign. The rhetorical rationale (bad results, wrong goals, opportunity cost) is the D1 content. The formal institutional act (official communication to UN bodies, executive decree if any) is the D2 evidence to be sought in Corpus B.</t>
  </si>
  <si>
    <t>No somos, sin embargo, los únicos que estamos tomando las decisiones difíciles que este momento histórico demanda. El Presidente Trump, en Estados Unidos, también entiende que es el momento de revertir una dinámica que estaba llevando a Estados Unidos a una catástrofe. Entiende que debe hacer lo necesario, aunque a muchos no les guste.</t>
  </si>
  <si>
    <t>The invocation of Trump as co-protagonist in "the decisions this historical moment demands" elevates the obstruction of multilateral sustainability governance to a coordinated civilizational project. The U.S.-Argentina alignment — both having defected from or undermined multilateral climate commitments — is framed as a deliberate civilizational intervention against a catastrophic trajectory, not bilateral political alignment.</t>
  </si>
  <si>
    <t>1. Principio del mandato esencial. La misión central de la ONU es preservar la paz y la seguridad internacional, todo lo demás debe concebirse como complementario a ese fin. 2. Principio de subsidiariedad internacional. La ONU debería intervenir sobre un tema únicamente cuando sea evidente que el problema excede de manera demostrable las capacidades de acción nacional; en todos los demás casos corresponde devolver la iniciativa a los Estados. 3. Principio de diligencia institucional. Eso implica la realización de auditorías confiables, el cierre de programas ineficaces, la consolidación de agencias únicas y un financiamiento condicionado a resultados verificables. 4. Principio de simplificación y racionalización normativa. Solo debemos apoyar iniciativas que no restrinjan la capacidad de los Estados de liberar sus fuerzas productivas, atraer inversión y fomentar el comercio.</t>
  </si>
  <si>
    <t>[V3 re-code — was split D2.2 + D1.1 in v2] The four principles constitute a comprehensive institutional redesign proposal that strips the UN of its sustainability governance function: Principle 1 (peace/security only) excludes SDGs and climate action from legitimate UN mandates; Principle 2 (subsidiarity) removes the binding character of international climate commitments by making all sustainability governance contingent on national voluntary adoption; Principle 4 (no restrictions on productive forces) would prohibit carbon pricing and emissions regulation categorically. This is coded entirely as D1.1 &gt; Rejection_of_Multilateral_Governance in v3 because the speech is making a rhetorical proposal — arguing for an institutional redesign. The actual institutional acts required to implement these principles (treaty amendments, funding reductions, agency closures) belong in Corpus B.</t>
  </si>
  <si>
    <t>Principle 4 — "solo debemos apoyar iniciativas que no restrinjan la capacidad de los Estados de liberar sus fuerzas productivas, atraer inversión y fomentar el comercio" — frames deregulation as the positive prescription for international governance. Removing environmental and social standards from trade and investment conditions is framed as generating growth more effectively than climate programs. Proposed as a constitutional principle for international governance.</t>
  </si>
  <si>
    <t>Principle 3 — "cierre de programas ineficaces, consolidación de agencias únicas" — is the anti-bureaucratic argument applied at the international institutional level. Milei explicitly parallels this to his domestic restructuring, framing international agency consolidation as the same rational efficiency logic: wasteful bureaucracy must be eliminated wherever it exists, domestic or international.</t>
  </si>
  <si>
    <t>Cuando asumimos el mandato en diciembre de 2023 encontramos un paciente en estado crítico, la República Argentina se encontraba al borde de la peor crisis de su historia, con los indicadores sociales en rojo y al borde de una nueva hiperinflación por el saqueo sistemático a su Banco Central. Desde un primer momento tuvimos claro que era necesario tomar medidas drásticas para evitar caer por el precipicio. Por eso, solo en el primer mes hicimos un ajuste de 5 puntos del déficit fiscal y otros 10 del cuasi fiscal en el Banco Central. Mantuvimos a rajatabla esta tendencia y hoy Argentina tiene un superávit fiscal sostenido por primera vez en 123 años, sin entrar en default, siendo uno de tan solo 5 países del mundo en la misma condición.</t>
  </si>
  <si>
    <t>"El saqueo sistemático a su Banco Central" attributes Argentina's pre-2023 hyperinflation risk not to abstract policy error but to systematic plunder of a state institution by the prior political administration — the producer/extractor distinction the codebook identifies as diagnostic of Anti_Casta, applied here to the Central Bank as the site of extraction. Coded as Anti_Casta rather than Anti_State_Anti_Bureaucratic because the target is the conduct of a specific prior political class ("saqueo," an act of plunder by identifiable political actors), not the organizational form of bureaucracy as such.</t>
  </si>
  <si>
    <t>Premio "Global Citizen 2025" (Atlantic Council)</t>
  </si>
  <si>
    <t>Enfrentamos una oposición política que no quiere que nada de esto ocurra. Por eso buscan aprovechar el tiempo que les queda antes de la renovación de nuestro Congreso nacional para hacer el mayor daño posible. Es por esto que las próximas elecciones legislativas en Argentina son centrales. Quienes se vieron beneficiados por el régimen anterior ven día a día desvanecerse sus posibilidades de volver al poder, y harán lo que esté a su alcance para dañar nuestras chances de victoria. Saben que el momento para destruirnos es ahora, ya que pronto Argentina comenzará a crecer en forma irreversible. Por eso no dejaremos de luchar por las ideas de la libertad con una convicción inquebrantable y el objetivo de hacer a la Argentina grande nuevamente.</t>
  </si>
  <si>
    <t>"Quienes se vieron beneficiados por el régimen anterior" recasts the parliamentary opposition not as a legitimate political adversary but as a class defending its own extractive privileges against reform — motives reduced entirely to preserving benefits inherited from "el régimen anterior" rather than genuine political conviction. This is the same producers-versus-extractors logic that defines Anti_Casta elsewhere in the corpus, applied here without the explicit "casta" vocabulary but performing the identical delegitimization move against the political establishment as a class.</t>
  </si>
  <si>
    <t>Todos vimos hace poco con el cobarde asesinato de Charlie Kirk la violencia con la que la izquierda está luchando contra este proceso. Están dispuestos a todo con tal de imponer sus ideas criminales. Y como Charlie les ganó el debate con la verdad, ellos recurrieron a la fuerza. Por eso hoy más que nunca es necesario enfrentarlos con el coraje y determinación que su administración está demostrando. No podemos frenar porque ya sabemos que ellos no lo harán, no se detendrán hasta destruirnos por completo. Muchísimas gracias. Gracias, gracias.</t>
  </si>
  <si>
    <t>Kirk's assassination is attributed not to an individual but to "la izquierda" as a unified ideological bloc — "están dispuestos a todo," "recurrieron a la fuerza" — collapsing a specific criminal act into evidence of the entire collectivist left's inherent willingness to use violence when it cannot win on ideas. This is ideological bundling at the level of political violence: an entire ideological category, not a person or faction, is charged with criminality. Coded as Anti_Socialism_Anti_Collectivism (v4's broadened scope covers anti-collectivism framings generically, not only environmentalism-as-socialism claims) rather than Civilizational_Defense, because the stakes named ("destruirnos por completo") are framed around Milei's own government/political process, not the survival of Western civilization as such; and rather than Woke_Bundling, because no adjacent issues (gender, environmentalism, DEI) are enumerated alongside "la izquierda" here — this is a direct delegitimization of the ideological collective itself as criminal/violent, not a bundling move across issue domains.</t>
  </si>
  <si>
    <t>Para poder competir más y mejor, tenemos que reformar el mercado de trabajo para que contratar sea más accesible para los distintos emprendimientos. Es necesario también sacarnos de encima el flagelo de la industria del juicio, que lleva negocios a la quiebra para beneficiar a unos pocos vivos. También necesitamos una reforma fiscal para bajar impuestos, haciendo que cada vez más emprendimientos sean rentables. Nuestro gobierno tiene todo lo mencionado muy claro; por eso hicimos el ordenamiento económico que hicimos, y por eso queremos impulsar las reformas necesarias para que Argentina se vuelva un país competitivo y pueda florecer libremente la prosperidad.</t>
  </si>
  <si>
    <t>labor-law liability exposure is termed "el flagelo de la industria del juicio" (the scourge of the litigation industry), reframed as a mechanism that bankrupts legitimate businesses "para beneficiar a unos pocos vivos" (a few opportunists) rather than protecting workers — a tourism-sector-specific instance of the corpus's recurring labor/litigation-regulation delegitimization.</t>
  </si>
  <si>
    <t>Inauguracion De La Feria Internacional De Turismo (Fit)</t>
  </si>
  <si>
    <t>2025-09-27</t>
  </si>
  <si>
    <t>PRESIDENTE: Vamos por partes. La primer cuestión, para que entiendan qué es falla de mercado, los economistas, deberían saber de micro. Ahora, el problema de los fallos de mercado, la verdad es que, si uno supiera definir "mercado", se daría cuenta de que, técnicamente, no existen. En realidad, el mercado es un proceso de cooperación social donde se intercambian voluntariamente derechos de propiedad. Cuando ustedes ponen la idea de los intercambios voluntarios, automáticamente, la realidad es que no hay lugar para fallo de mercado. Eso tampoco quiere decir que no nos vayamos a equivocar. En el libro Capitalismo, creatividad y justicia distributiva, de Israel Kirzner, explica que ustedes pueden ir al mercado con una idea y puede que no se realice. Pero eso no es un fallo de mercado; eso es que le erraron, que es otra cosa muy distinta.</t>
  </si>
  <si>
    <t>"Si uno supiera definir 'mercado', se daría cuenta de que, técnicamente, no existen [los fallos de mercado]" is the categorical negative-face move the codebook names explicitly ("market failure is an oxymoron"): market failure is redefined out of existence by definitional fiat, removing the theoretical predicate for regulatory intervention entirely. Coded Delegitimization_of_Regulation rather than Market_Primacy — following the precedent set for the same argument at 2026-03-14 (Madrid) — because the move is specifically about denying the legitimacy of the regulatory rationale (market failure), not asserting markets solve problems better.</t>
  </si>
  <si>
    <t>Presentacion Del Libro *Cambia La Musica* (S. Di Stefano)</t>
  </si>
  <si>
    <t>2025-09-30</t>
  </si>
  <si>
    <t>evento economico / cultural</t>
  </si>
  <si>
    <t>Cuando entra la idea de los intercambios voluntarios —salvo que haya violencia, que es violar los acuerdos voluntarios, que es violar el principio de no agresión—, automáticamente eso no es un fallo de mercado, eso es un problema de violencia institucional. Y además hay una aberración adicional, que es asimilar la idea del óptimo de Pareto con la idea de la mano invisible de Adam Smith, y eso le pone una categoría casi como moral al equilibrio que sea óptimo. Y ahí es donde lo arruinamos. Si a ustedes de algo les sirve un consejo cuando tengan que elegir entre la realidad y el modelo y están de patadas, tiren a la mierda el modelo. Quédense con la realidad y busquen un modelo mejor. Humilde sugerencia.</t>
  </si>
  <si>
    <t>Milei names an "aberración" in mainstream welfare economics — conflating Pareto-optimality with Adam Smith's invisible hand, which "le pone una categoría casi como moral al equilibrio" — and concludes "tiren a la mierda el modelo." This is an institutional-level attack on the theoretical apparatus of neoclassical economics itself (echoing the "amparados en un marco teórico equivocado" pattern), not a claims-level dismissal of a specific finding, which is what distinguishes it from Climate_Skepticism_or_Dismissal and warrants Pseudo_Science over Delegitimization_of_Regulation for this specific sentence.</t>
  </si>
  <si>
    <t>PRESIDENTE: Bueno, eso yo me acuerdo que hasta no hace mucho se discutía si la inflación era multicausal o era un fenómeno monetario. A mí siempre me gustó remarcar la hipótesis de Milton Friedman, que dice que la inflación es siempre y en todo lugar un fenómeno monetario, generado por un exceso de oferta de dinero. El primer mecanismo para cortar la emisión monetaria fue poner en caja las cuentas del Tesoro. Y después lo que hubo que hacer, que fue un trabajo fenomenal entre Santiago Bausili, presidente del Banco Central, y Pablo Quirno, fue esta idea de empezar a limpiar el balance del Banco Central y eliminar el cuasi fiscal. De hecho, Argentina tenía 15 puntos de déficit: tenía 5 en el Tesoro y 10 en el Banco Central. Y eso nos llevó 6 meses. Por eso nosotros decimos que, cuando llegamos, la deuda era de 500.000 millones de dólares y hoy hay 450.000 millones de dólares. Es decir, nosotros en 20 meses pagamos 50.000 millones de dólares, mientras que los orcos dicen que nos estamos endeudando.</t>
  </si>
  <si>
    <t>"Los orcos" is Milei's dehumanizing epithet for kirchnerista-aligned political and media critics (established elsewhere in the v4 corpus, e.g. 2025-08-22, 2025-08-25), deployed here to dismiss a specific debt-figure critique as bad-faith rather than engaging it substantively. This performs the same extractive/dishonest-establishment logic as explicit "casta" language — critics are recast as a hostile faction lying about the government's record rather than legitimate political opposition — so it is coded Anti_Casta rather than Attack_on_Experts_and_Technocrats, consistent with how "orcos" passages are coded elsewhere in this corpus.</t>
  </si>
  <si>
    <t>PRESIDENTE: Bueno, ellos parece que tienen un problema con la aritmética, ¿no? Porque la deuda se acumula con déficit. La inflación llegó a niveles del 300% anual, pero, en estricto rigor, cuando nosotros llegamos, era del 1,5% diario. La inflación mayorista fue de 54%; ustedes anualizan eso y da 17000. Y teníamos un money overhang que era el doble que el que había en el Rodrigazo. Está claro que no estamos en el paraíso, que la situación es dura; pero cuando sinceramos la economía teníamos 54% de pobres; hoy tenemos 31. O sea, hay 12 millones que salieron de la pobreza. Sacamos a 6 millones de personas de la indigencia. Falta, pero vamos por la dirección correcta. Por eso también en la campaña yo le estoy diciendo a la gente que estamos a mitad de camino, entonces hagamos que valga la pena el esfuerzo.</t>
  </si>
  <si>
    <t>"Ellos parece que tienen un problema con la aritmética" continues the "orcos" framing from the immediately preceding turn, escalating from "they lie about the debt" to "they can't do basic math" — a second, distinct illustration (competence-mockery rather than mere dishonesty accusation) of the same extractive/bad-faith-critic target, coded separately per the corpus convention of coding each discrete illustrative instance rather than only the first.</t>
  </si>
  <si>
    <t>PRESIDENTE: A ver, nosotros lo que estamos haciendo es bajar la inflación, quitar regulaciones, e hicimos lo que no hizo ningún Gobierno: bajamos dos puntos y medio del PBI de impuestos. De hecho, en todo lo que es el sector agropecuario, nosotros sacamos 43 elementos que le jodían la vida al sector agropecuario. De vuelta: ¿está completa la tarea? No, falta un montón. Pero lo importante es la dirección. Nosotros tenemos confianza en que los argentinos van a votar en favor de la esperanza, en favor del futuro, y que no van a querer volver al pasado. Yo la verdad que empecé a ver las cuestiones electorales desde el año 83 y nunca me pasó ver en la vida que la única propuesta que tiene la oposición es romper. Y la verdad es que si nosotros nos mantenemos en este camino, en 10 años somos como España, en 20 años somos como Alemania, en 30 años somos como Estados Unidos, y en 40 años estamos en el top 3 de los países con mayor ingreso.</t>
  </si>
  <si>
    <t>"Quitar regulaciones... sacamos 43 elementos que le jodían la vida al sector agropecuario" is the positive-face deregulation-benefits argument named explicitly in the codebook's recognize-by list — regulation removal is presented as a concrete accomplishment directly tied to sectoral relief and, by extension, the growth narrative that follows in the rest of the paragraph.</t>
  </si>
  <si>
    <t>Recién cuando ingresé a las instalaciones, tuve la oportunidad de firmar el libro de visitas y una de las cosas que quise señalar, que es, nosotros, como liberales y que tenemos como norte esa definición maravillosa que dio el máximo referente del liberalismo de toda la historia argentina, que es el doctor Alberto Benegas Lynch (h) dice: el liberalismo es el respeto irrestricto del proyecto de vida del prójimo, basado en el principio de no agresión y en defensa del derecho a la vida, la libertad y a la propiedad. Cuando uno analiza aquellos países que son más libres, son más prósperos. Pero para que esa prosperidad tome lugar, necesita una precondición, que es el orden. Ustedes necesitan que se respete la vida, la libertad y la propiedad y que rija el principio de no agresión: eso es orden. Y una de las cosas que pasó a partir del impulso de la doctrina Zaffaroni fue invertir la carga a la prueba: se hizo de la víctima, el victimario y el victimario era una víctima de la sociedad. De esa manera se relajaron las penas y no había costo para aquel que causaba daño a sus semejantes. Eso derivó prácticamente en una situación de caos, convirtieron al país en un baño de sangre y la ausencia de orden, violentando los derechos a la vida, la libertad y a la propiedad, conduce también al empobrecimiento. Y, por ende, termina destruyendo la prosperidad y termina hundiendo al país.</t>
  </si>
  <si>
    <t>Milei singles out "la doctrina Zaffaroni" — the criminal-law theory associated with jurist and former Supreme Court justice Eugenio Raúl Zaffaroni — as the specific mechanism that inverted the victim/perpetrator relationship ("se hizo de la víctima, el victimario") and caused a "baño de sangre." This is a direct attack on a named legal-academic authority and the doctrine his expertise produced, framed as imposing harmful theory on society rather than serving it — the defining move of Attack_on_Experts_and_Technocrats' "attacks on specific experts" criterion. Pseudo_Science_or_Ideological_Science is the adjacent code but fits less well: the passage doesn't characterize Zaffaroni's work as epistemically corrupt or pseudo-scientific in method, it attacks the doctrine's real-world policy consequences and the jurist's authority directly. This passage recaps the same zaffaronismo critique made in earlier speeches (and echoes Bullrich's own version of it moments before), but is coded here on its own terms per Rule 4/Rule 2b — recap status is not grounds to withhold the code.</t>
  </si>
  <si>
    <t>Presentacion Reformas "Tolerancia Cero Con El Crimen"</t>
  </si>
  <si>
    <t>2025-10-02</t>
  </si>
  <si>
    <t>Y es interesante esos que proclaman que no se llega a fin de mes, son defensores del Estado presente, y es interesante porque cuando a alguien no le no le alcanza es, definitivamente, porque sobra Estado. Y esta gente si verdaderamente estuviera preocupado porque la gente no le alcanza, porque no llega a fin de mes, no tendría que estar proponiendo como solución más Estado, sino menos Estado. Pero, bueno, como dice una frase de Thomas Sowell —que es fenomenal— que dice: que la primera ley de la economía es la escasez, es decir, no hay de todo para todos, por la Ley de Asociación de Ricardo hay lugar para todos. Pero también dice: que la primera ley de la política es ignorar la primera ley de la economía, salvo que el presidente sea economista. Pero, bueno, así la estamos peleando.</t>
  </si>
  <si>
    <t>a new, quotable catchphrase — "cuando la plata no te alcanza, es porque te sobra Estado" — reframes any complaint about cost of living as definitionally caused by excessive state size, and further recasts critics who raise such complaints as insincere "defensores del Estado presente" whose real agenda is state expansion rather than genuine concern for living standards.</t>
  </si>
  <si>
    <t>Inauguracion De La Fabrica De Lamb Weston</t>
  </si>
  <si>
    <t>2025-10-07</t>
  </si>
  <si>
    <t>Esto no es solamente una promesa en un año electoral. Nosotros el año pasado bajamos dos puntos de impuestos y, a pesar de eso, pudimos alcanzar el equilibrio fiscal, dada la reducción del gasto público. Es decir, el ajuste no lo pagó la gente, lo pagó la casta. Ahora, cuando no se respeta los derechos de propiedad, la consecuencia es lo que ha pasado en Argentina los últimos 100 años: de ser un país desarrollado, se convirtió en uno subdesarrollado e íbamos camino a Venezuela. Entonces, retornando a lo que veníamos diciendo en términos de capacidad de ahorro, crédito e inversión, muchas veces uno, a veces no sabe en que invertir sus ahorros y decide prestárselo al banco. Y para que el banco pueda prestárselo a quien vea conveniente, cumpliendo su trabajo como banco ¿no? Algo que cambió radicalmente desde diciembre 23 a ahora, cuando, básicamente, los bancos se dedicaban a tomar depósitos para prestárselos al Banco Central, que nos genera un déficit cuasifiscal de 10 puntos de PBI, que a mitad del año pasado lo exterminamos.</t>
  </si>
  <si>
    <t>the fiscal adjustment's costs are explicitly reassigned away from ordinary citizens onto "la casta" ("el ajuste no lo pagó la gente, lo pagó la casta"), paired with the recurring "kioscos de políticos corruptos" rent-seeking metaphor for regulatory capture.</t>
  </si>
  <si>
    <t>Fue el modelo del Estado gigante y el chamanismo económico el que tomó un país de los más ricos del mundo como la Argentina y lo dejó en el fondo de la tabla. El Estado fue colándose poco a poco en cada área de la actividad humana, asfixiando la iniciativa privada al punto de que producir dejó de ser viable y era más atractivo pasar a engrosar las filas del clientelismo institucionalizado. Puedo afirmar que quienes persistieron en el camino de la producción y el trabajo genuino, a pesar de esta imagen desoladora, son los verdaderos héroes de esta historia. Por eso debemos profundizar en el camino de la producción y el trabajo con las reformas que la Argentina necesita para salir adelante. Debemos reformar nuestro sistema tributario para que el Estado les saque lo menos posible a los argentinos y para que los argentinos puedan saber, en todo momento, cuánto le está quitando el Estado.</t>
  </si>
  <si>
    <t>a fertility/sterility inversion metaphor ("volver estéril lo que antes era fértil") paired with the pejorative "chamanismo económico" (economic shamanism) label for past state-led policy, and a specific capture mechanism — state expansion crowding out production in favor of "clientelismo institucionalizado" — distinct from the generic small-state-prosperity thesis by naming the clientelist-absorption pathway explicitly.</t>
  </si>
  <si>
    <t>Camara De Comercio, Industria Y Agropecuaria De San Rafael - Almuerzo De Las Fuerzas Vivas</t>
  </si>
  <si>
    <t>2025-10-09</t>
  </si>
  <si>
    <t>San Rafael, Mendoza</t>
  </si>
  <si>
    <t>Y, además, también como señalaba correctamente el Gobernador, debemos reformar nuestro sistema laboral para que dar empleo sea sencillo y así haya cada vez más empresas contratando personal. Acá también quiero señalar nuestra agenda reformista y también la importancia de la secuencialidad. Nuestro objetivo, nuestro norte, es convertir a la Argentina en el país más libre del mundo, y eso básicamente es porque cuanto mayor libertad, mayor prosperidad. De hecho, los países que son más libres son 12 veces más ricos que los reprimidos, crecen a una tasa que es el doble de la de los reprimidos, hay 25 veces menos pobres en el formato estándar y 50 veces menos en el formato extremo. Por lo tanto, la salida es abrazar las ideas de la libertad. Este cambio que hemos traído desde Nación, y que hemos sido acompañados, por ejemplo, por el Gobernador de Mendoza y otros, en todo un conjunto de reformas que fuimos haciendo desde que llegamos al poder.</t>
  </si>
  <si>
    <t>a compact cross-country statistical catalog (12x richer, double the growth rate, 25x fewer poor, 50x fewer in extreme poverty) presented as axiomatic proof that economic freedom is the sole determinant of prosperity — a quantified, four-metric version of the corpus's recurring market-primacy thesis.</t>
  </si>
  <si>
    <t>También reduciremos trabas burocráticas para que los procesos registrales puedan hacerse de manera digital, ahorrando tiempo y costos para todos. El objetivo es simple: queremos que no sea necesario contratar un contador ni un abogado para montar una empresa y generar empleo formal. Para recomponer este vínculo entre trabajadores y empresarios, al mismo tiempo es necesario quitarles poder a gente que buscan dañarlo por su propio beneficio, como por ejemplo los caranchos laboralistas, que son capaces de llevar a una pyme a la quiebra y empujar a sus trabajadores al desempleo con tal de cobrar un juicio. Esta reforma laboral está orientada a terminar de una vez y para siempre con la nefasta industria de juicio, que ha redundado en que no se genere un solo puesto de trabajo genuino neto en la Argentina en los últimos 15 años. Para esto, vamos a buscar eliminar la discrecionalidad de parte de los jueces laborales a la hora de dictar sentencias. Estos jueces, en muchas circunstancias, a través de la imposición de altas tasas de interés y fallos arbitrarios, envían directamente a la quiebra a las pymes por la imposibilidad de hacerle frente a los pagos.</t>
  </si>
  <si>
    <t>labor lawyers are dehumanized as "caranchos" (carrion-eating birds of prey) who profit from destroying pymes and jobs, while labor judges are targeted for their sentencing "discrecionalidad" — reframing judicial protections for workers as an exploitative "industria de juicio" mechanism that should be curtailed via reform, consistent with but adding new vivid vocabulary to the corpus's recurring litigation-industry delegitimization (cf. 2025-09-27).</t>
  </si>
  <si>
    <t>Fabrica Sidersa – Plan "Argentina Grande Otra Vez"</t>
  </si>
  <si>
    <t>2025-10-10</t>
  </si>
  <si>
    <t>En segundo lugar, queremos llevar adelante una reforma tributaria que tenga como norte la simplificación de impuestos. Por esto, vamos a buscar eliminar cerca de 20 impuestos que entorpecen a la economía argentina, sin tener un impacto recaudatorio. Los argentinos parecieran que somos fanáticos de inventar impuestos ridículos y distorsivos, que complican más de lo que recaudan. Venimos a cortar de cuajo con esta adicción y a simplificar de una vez por todas nuestro sistema tributario. El segundo componente de nuestra reforma tributaria es una renovación del régimen de ganancias para las personas humanas. En este sentido, nuestra propuesta ampliará las condiciones de deducibilidad de gastos para reducir la carga personal del impuesto y, a su vez, fomentar la facturación. El incremento de transacciones formales en la economía aumentará, por su parte, la base imponible y mejorará la recaudación.</t>
  </si>
  <si>
    <t>a second, distinct regulatory target within the same speech — the tax code itself is pathologized as a compulsive disorder ("fanáticos," "esta adicción") rather than a policy choice, framing decades of accumulated tax regulation as an irrational addiction to be "cut off" rather than reformed through ordinary process.</t>
  </si>
  <si>
    <t>Todo esto es tan solo la primera etapa de las reformas que queremos llevar adelante, ni bien se constituya el nuevo Congreso y por primera vez en 25 años, aprobarla será posible, dado que el próximo Congreso será indudablemente más reformista que el actual. Lo digo principalmente por las decenas de diputados y senadores que La Libertad Avanza va a sumar, pero también porque sabemos que, por fuera de los inadaptados de siempre que creen que la economía se soluciona haciendo la danza de la lluvia, hay muchos diputados y senadores que, sin pertenecer al partido de gobierno, comparten el destino de país al cual conducen estas reformas.</t>
  </si>
  <si>
    <t>opposition legislators and economists who reject the reform agenda are dismissed as "inadaptados" who believe the economy can be fixed "haciendo la danza de la lluvia" (doing a rain dance) — a primitivizing metaphor that recasts a rival economic paradigm as pre-rational magical ritual rather than a legitimate, if disagreeing, body of expertise, delegitimizing through mockery rather than substantive rebuttal.</t>
  </si>
  <si>
    <t>La izquierda se opone al crédito porque, en primera instancia, atenta contra la coacción, que es una forma de su forma de poder favorita. En segunda instancia, porque no lo entienden, ni entienden el rol de un banco quien toma prestado el ahorro de sus clientes para luego prestarlo a quien crea conveniente, beneficiando a todas las partes en el proceso. Pero el problema es que al condenar y encarecer a través de impuestos y burocracia el crédito, no hace más que privar a las personas y empresas de capital y de los bienes y servicios a los que el capital les permite acceder. En consecuencia, no hace más que destruir la capacidad de inversión y crecimiento, frenando la creación de puestos de trabajo.</t>
  </si>
  <si>
    <t>rather than simply attacking "justicia social" as illegitimate (the corpus's established pattern), this passage annexes and redefines the opponents' own term — "el crédito es la verdadera justicia social" — while attributing the left's opposition to credit markets to a preference for state coercion over voluntary cooperation, and secondarily to simple ignorance of finance. The rhetorical move of appropriating rather than merely rejecting the opposing side's vocabulary is a notably new variant of this sub-code.</t>
  </si>
  <si>
    <t>Encuentro Organizado Por Jp Morgan</t>
  </si>
  <si>
    <t>2025-10-24</t>
  </si>
  <si>
    <t>Buenos Aires (Museo Arte Decorativo)</t>
  </si>
  <si>
    <t>foro economico / financiero</t>
  </si>
  <si>
    <t>Tras tantas décadas de que el peronismo insistiera con esa retórica pobrista, no sólo heredamos una inflación de casi del 250% anual, que en realidad viajaba mucho más rápido porque viajaba al uno y medio diario, la mensual en mayorista había sido 54% y eso, tras la dinámica que tenía y el desequilibrio monetario que tenía el país, podría haber derivado en un desastre inflacionario que podía oscilar entre el 15.000 y el 20.000 por ciento anual. Además, teníamos los peores indicadores de la historia. Y obviamente que en esta situación también heredamos un sistema financiero y funcional que entorpecía el resto de la economía, es decir, los bancos no trabajaban de banco, eran un apéndice del Banco Central y el Banco Central era un apéndice del Tesoro, y eso en manos de un populista no puede terminar bien.</t>
  </si>
  <si>
    <t>the pre-2023 financial system is described as having lost its own institutional function entirely, reduced to a chain of "apéndices" culminating in Treasury/populist control — a state-capture framing of central-bank and commercial-bank subordination distinct from the corpus's more general anti-bureaucratic material.</t>
  </si>
  <si>
    <t>Nosotros, de hecho en materia de crecimiento, no sólo estamos poniendo fin a la inflación para que el sistema de precios no tenga ruido, nuestra política fiscal intenta pulverizar el riesgo país, en lo cual estamos profundamente confiados que a partir del lunes vamos a poder hacerlo de manera tranquila y sin tanto ruido. Pero no sólo eso, sino también lo que hacemos en materia de desregulación. Es decir, la regulación no es ni más ni menos que una vulneración del derecho de propiedad. Y además, cuando ustedes desregulan, liberan rendimientos crecientes.</t>
  </si>
  <si>
    <t>an axiomatic, unqualified equivalence — "la regulación no es ni más ni menos que una vulneración del derecho de propiedad" — collapsing the entire category of regulation into a rights violation by definition, without reference to any specific regulatory instance or purpose, making this among the corpus's most sweeping formulations of the anti-regulation thesis.</t>
  </si>
  <si>
    <t>Valiéndose de ellas, el Estado se expande más y más y más año tras año, metiéndose no solo en las actividades propias del quehacer económico, sino también en la vida de los individuos, hasta que no queda nada por fuera de él. Siempre surge una nueva justificación para que los funcionarios públicos extiendan sus garras insaciables sobre la sociedad civil. Bajo la excusa de engrandecer a una Nación y hacer el bien a sus ciudadanos, se engrandece el Estado como si significara lo mismo. Y esto sucede hasta que llegamos al mismo destino que los que tienen al menos la honestidad intelectual de decir que odian al capitalismo: el control total del Estado sobre la economía y la vida de las personas. O sea, el comunismo. Tomemos por caso el ejemplo de Cuba donde Fidel Castro llegó prometiendo justicia social, democracia y una economía planificada y falleció después de más de 50 años de gobierno dictatorial gritando "comunismo o muerte". Por demasiado tiempo la respuesta pro capitalista a este desafío del Estado fue reclamar el milagro económico que significó para el mundo el capitalismo de libre empresa. Porque es cierto, los datos no mienten y están de nuestro lado: es decir, gracias a la economía de mercado. una innumerable cantidad de gente salió de la pobreza extrema y posibilitó una cantidad innumerable de maravillas tecnológicas y científicas. Pero esto no alcanza. Porque un argumento moral no puede responderse nunca con un argumento fáctico. De hecho, no puede sugerirse el derecho de ser, no puede nunca concluirse el deber ser. Por eso, este argumento de izquierda ha ganado en la lucha por las ideas, por eso en Occidente nos encontramos cada día más cerca de ese comunismo que antes mirábamos con horror del otro lado de la cortina de hierro; por eso, si concedemos que el capitalismo es un mal necesario ya habremos perdido, aunque ganemos momentáneamente tarde o temprano volverán porque ellos seguirán siendo los dueños de la vara que determina el bien y el mal, y dirán qué es justo y qué no lo es. No podemos volver a cometer ese error.</t>
  </si>
  <si>
    <t>a full slippery-slope argument — any concession that capitalism needs state correction inevitably terminates in totalitarian communism, illustrated with Castro's Cuba — paired with the dehumanizing "garras insaciables" (insatiable claws) metaphor for bureaucratic expansion. This construction collapses the entire spectrum from mixed-economy social democracy to Castroism into a single undifferentiated threat.</t>
  </si>
  <si>
    <t>America Business Forum</t>
  </si>
  <si>
    <t>2025-11-06</t>
  </si>
  <si>
    <t>Miami, Ee.Uu.</t>
  </si>
  <si>
    <t>Cuando el Estado y los intelectuales le ponen a este derecho natural el nombre de capitalismo para vilipendiarlo y justificar la intervención del Estado, no solo están destruyendo el crecimiento para encontrar sus supuestos óptimos económicos, sino que también están violando el más básico de los derechos naturales; cuando el Estado se vuelca de esta forma tan violenta sobre los derechos de los individuos, no hace otra cosa que querer reducirlos a esclavos, es decir, se ponen en guerra contra ellos. El capitalismo y la propiedad privada no son males necesarios, no son males. Son la base indiscutida en nuestra civilización, es nuestra misión sagrada restituirlo como piedras fundamentales de nuestras sociedades. Es decir, no creemos que el capitalismo sea moralmente correcto por el hecho de sacar a más de 90% de la población global de la pobreza, sino que logró sacarlos de la pobreza precisamente por ser el modelo más moral de todos los existentes.</t>
  </si>
  <si>
    <t>state regulation of private property is equated with slavery ("querer reducirlos a esclavos") and framed as the state declaring literal war on its own citizens — one of the corpus's most extreme rhetorical equivalences between economic regulation and violent subjugation.</t>
  </si>
  <si>
    <t>Por lo tanto, sin el capitalismo estaremos condenado a las miserias de las sociedades planificadas que no son otra cosa que sociedades esclavistas con mucho mejor marketing, lo que ellos llaman el Estado presente o en inglés el "welfare state" no es más que la frase que dicen para ocultar que en el fondo: su camino es el camino de servidumbre. Aquí quiero hacer alguna también mención a una obra muy importante de uno de los economistas anarco capitalistas más importantes del mundo que es el profesor Jesús Huerta del Soto en un trabajo que se llama "La teoría de la eficiencia dinámica". Y, en ese trabajo, lo que él busca es determinar cuál es el sendero óptimo de crecimiento y después de hacer unas disquisiciones sobre distintos aspectos de la teoría económica, lo que señala es muy fuerte porque dice: "nada que sea injusto puede ser eficiente", es decir, en el altar de la eficiencia pareteana con el que trabajamos los economistas no debería haber lugar alguno sobre algo que es injusto, y al mismo tiempo señala todo aquello que sea eficiente además inexorablemente tiene que ser justo y eso es… Y eso está arraigado a lo que son nuestros valores occidentales, los valores de Occidente, que son los valores judeocristianos.</t>
  </si>
  <si>
    <t>citing Kirzner and Huerta de Soto, capitalism is asserted to be axiomatically both the sole efficient system and the sole just system, with justice and efficiency declared logically inseparable ("dos caras de la misma moneda") — an academic-authority-backed formulation of market primacy that forecloses the possibility of any efficient-but-unjust or just-but-inefficient alternative by definition.</t>
  </si>
  <si>
    <t>Nosotros, por otro lado, decíamos que el programa fiscal y cambiario era sólido porque el superávit es innegociable porque dejamos de emitir hace más de un año y porque el Banco Central está capitalizado por primera vez en muchos años. Y, una vez despejado el ruido político ¿Qué pasó? El mercado argentino, tuvo su mayor suba histórica en un día, su mayor suba histórica en una semana y sigue subiendo, al margen que además bajó el riesgo país más de 400 puntos. En definitiva, pasó lo opuesto exacto de aquel infame 12 de agosto de 2019, en donde protagonizamos uno de los mayores desplomes bursátiles en la historia del mundo por la mera posibilidad de que el kirchnerismo volviera al poder. Que, dicho sea de paso, no es ni más ni menos que una de las sucursales del socialismo del siglo XXI y que en algún lugar de la costa Este ha entrado: se disfrazan de corderos y son peor que el peor de los rapaces lobos. Si hay algo que quedó en claro con esto es la realidad de lo que nosotros llamamos de forma resumida riesgo kuka, o sea el riesgo kirchnerista, o sea el riesgo del socialismo. Pudimos ver en números la magnitud del riesgo político con el que nuestro programa económico siempre tuvo que lidiar. Y esto es así porque tenemos en Argentina un sector de la política tan destructivo, tan ajeno a los principios básicos de la economía y del bien común, que su mera presencia le pone a todo el país, una base de riesgo altísima. Y ahora que están más lejos que nunca de volver al poder, es que podemos despejar ese miedo. Históricamente, la mayoría de los planes de estabilización exitosos en el mundo tuvieron consenso político. Lo que pasó en Argentina fue algo inédito: llevamos adelante un plan de estabilización exitoso con consenso social, sí, pero sin consenso político.</t>
  </si>
  <si>
    <t>kirchnerismo is explicitly labeled a franchise ("sucursal") of a single international "socialismo del siglo XXI" movement, paired with a wolf-in-sheep's-clothing dehumanization ("se disfrazan de corderos y son peor que el peor de los rapaces lobos") distinct from the earlier Hayek tyranny-of-the-majority wolves/chickens joke (2025-08-16) — here the wolf imagery targets deceptive self-presentation rather than majoritarian tyranny.</t>
  </si>
  <si>
    <t>Este es el país de la libertad con el que soñamos, que es un país con el que estamos comprometidos y estamos cada día más cerca de alcanzar. Un país que se alce como faro de un occidente adormecido por las mieles del Estado presente, por los argumentos falaces de quienes ven en el capitalismo un mal necesario y quienes bregan por un Estado presente que solo trae la ilusión del bienestar que hoy, a costa de destruir el bienestar del mañana, cómo ha quedado demostrado en Argentina. Y lo quiero repetir de nuevo para que quede bien claro: un Estado presente que solo trae la ilusión del bienestar de hoy, a costa de destruir el bienestar de mañana, cómo ha quedado demostrado en Argentina. Y nosotros somos quienes podemos lograr este cambio y pregonarlo, porque somos heraldos de un futuro distópico. Porque vivimos el futuro que tarde o temprano le va a llegar a los países que también están transitando este camino de servidumbre estatal, abrazando las nefastas ideas del socialismo del siglo XXI, o más conocido en estas tierras como los woke.</t>
  </si>
  <si>
    <t>an explicit definitional equation, addressed directly to a US audience — "socialismo del siglo XXI, o más conocido en estas tierras como los woke" — collapsing Milei's usual Spanish-language socialism/collectivism target category into the American "woke" vocabulary, making the bundling mechanism unusually explicit and audience-tailored.</t>
  </si>
  <si>
    <t>Gracias a la muestra invaluable de apoyo por parte de nuestro gran aliado, Argentina resistió los embates estabilizadores y ahora se encamina hacia un futuro de prosperidad y crecimiento, para hacer grande a la Argentina nuevamente. A propósito de esto, los socialistas, en nuestro país, nos acusan de entregar nuestra soberanía a los Estados Unidos. Ellos entienden por soberanía el destruir la moneda nacional, multiplicar la pobreza y la miseria, humillar a las fuerzas armadas y llenarse la boca con eslogan vacíos y por eso su modelo de país soberano es Cuba o Venezuela. Nosotros entendemos que la verdadera soberanía sólo puede alcanzarse con crecimiento económico y la única forma de crecer es integrándose al mundo, comerciando más, generando más inversión y elevando así la calidad de vida de nuestra gente. Por eso, en los próximos años, el efecto político del crecimiento será clave.</t>
  </si>
  <si>
    <t>a specific, previously uncoded rebuttal move — Argentine left critics who accuse the government of surrendering national sovereignty to the US are reframed as covertly endorsing Cuba/Venezuela-style "sovereignty" (currency destruction, poverty, military humiliation), redefining "true sovereignty" as economic integration with the US rather than independence from it.</t>
  </si>
  <si>
    <t>Cena De Gala Del Cpac</t>
  </si>
  <si>
    <t>Mar-A-Lago, Miami, Ee.Uu.</t>
  </si>
  <si>
    <t>Quisiera dedicarles estas palabras sobre todo a los neoyorquinos, que emprendieron el camino inverso al que emprendió Argentina, y ahora van a vivir bajo un gobierno comunista. Sepan que si la cosa se pone complicada, siempre serán bien recibidos en nuestra tierra, si buscan prosperar. No tengo dudas de que habiendo superado ya la tormenta, seguiremos el ejemplo del Presidente Trump, en este hermoso país y haremos a la Argentina grande nuevamente.</t>
  </si>
  <si>
    <t>reacting to the concurrent New York City mayoral election result, Milei labels the incoming NYC city government "comunista" outright and offers Argentina as a refuge for New Yorkers fleeing it — a fresh, real-time application of the socialism-equals-communism equation to contemporary US domestic politics rather than to Argentine or Latin American targets.</t>
  </si>
  <si>
    <t>De hecho, cuando ustedes toman modelos de crecimiento endógeno, el rol del tamaño de la población es importante, lo cual es una mala noticia para los verdes.</t>
  </si>
  <si>
    <t>a brief but explicit aside naming environmentalists directly ("los verdes") and framing population-growth-driven economic models as inherently unwelcome news to them — casting environmentalism as opposed to human flourishing/population growth in a single dismissive clause.</t>
  </si>
  <si>
    <t>12 Congreso De Economia Regional Del Club De La Libertad</t>
  </si>
  <si>
    <t>2025-11-13</t>
  </si>
  <si>
    <t>Corrientes</t>
  </si>
  <si>
    <t>Y no solo eso, sino que también el rol que juega la libertad porque cuando ustedes le ponen una regulación le están arruinando la vida también [...] el ejemplo más palpable, más claro, fue el caso de la Ley de Alquileres en Argentina, es decir, para que se vea con mucha claridad que cuando ustedes le ponen una regulación también es una forma de expropiación, es una forma de vulnerar el derecho de propiedad [...]</t>
  </si>
  <si>
    <t>rent-control regulation is cited as the clearest proof case that any regulation is definitionally a form of expropriation and property-rights violation — reprising and applying the corpus's regulation-as-expropriation axiom to a specific, concrete Argentine legal example.</t>
  </si>
  <si>
    <t>Por eso es tan importante una de las leyes que vamos a estar mandando, que tiene que ver con la ley de los periglaciares. Básicamente ustedes tienen la zona glaciar y la periglaciar es el perímetro a partir del cual ustedes pueden empezar por ejemplo a hacer actividades mineras. Hoy eso no está bien definido, los ambientalistas que prefieren que uno se muera de hambre, pero no tocar nada- es decir, una actitud bien primitiva-, lo que permite esta ley que nosotros estamos enviando al Congreso es devolverles el federalismo a las provincias y que cada provincia determine cuál es la zona periglaciar. Y la contracara de eso va a ser una gran inversión en todo lo que tiene que ver en materia de minería. [...] mejor que cada provincia determine cuál es la zona periglaciar y que de una vez por todas nos pongamos a aprovechar las riquezas naturales que nos han sido ofrecidas.</t>
  </si>
  <si>
    <t>FLAGSHIP — HIGHEST PRIORITY PASSAGE. This is a direct, concrete legislative proposal (announced as forthcoming Congressional legislation) to devolve periglacial-zone determination from national to provincial authority, explicitly in order to expand mining activity — targeting Argentina's existing Glacier Protection Law (Ley de Glaciares 26.639) framework. Environmentalists opposing this are dehumanized as preferring mass starvation over any resource use ("prefieren que uno se muera de hambre, pero no tocar nada") and explicitly labeled as exhibiting "una actitud bien primitiva" — a primitivizing dismissal that recurs later in the same speech (kirchnerista economists as "Picapiedras"/Flintstones, AI-regulation critics as "tirapiedras cavernícolas"), suggesting a speech-wide rhetorical pattern equating all regulatory/precautionary positions with prehistoric backwardness. Unlike most of the corpus's D1.1 Sustainability code instances, this is not abstract ideological framing but an active, named policy proposal with direct bearing on a concrete environmental-protection statute — the clearest evidence in the corpus to date of the discursive delegitimization documented under D1 translating into a specific legislative mechanism.</t>
  </si>
  <si>
    <t>Con lo cual, mucho cuidado cuando les aparezca un político o un economista, dice "no, bueno pero la micro", porque eso en el fondo es un lobbista que está tratando de influir en la opinión pública para actos de corrupción [...] la sensación que uno tiene es que la gran mayoría de los economistas no saben que es la tasa de interés, es decir, los economistas en lugar ser parte de la solución son parte del problema y la verdad que en algún lugar la profesión perdió la brújula [...]</t>
  </si>
  <si>
    <t>two connected moves against the economics profession as a body — first, any economist emphasizing microeconomic analysis is reframed not as offering a legitimate methodological choice but as a corrupt lobbyist manufacturing cover for rent-seeking; second, the profession as a whole is declared to have "perdido la brújula" (lost its compass), unable even to correctly define interest rates. This is a sweeping delegitimization of mainstream economic expertise as a category, not a rebuttal of specific claims.</t>
  </si>
  <si>
    <t>Pero, al margen de eso, por qué es importante este tipo de cuestiones [...] Quiero hacer una nota de color, de vuelta, sobre los mentirosos de los periodistas. [...] Todos aquellos que hayan leído que están escribiendo sobre la reforma son todos operadores, son todos sicarios [...]</t>
  </si>
  <si>
    <t>journalists covering the labor-reform negotiations are collectively labeled "sicarios" (hired killers) and "operadores" acting on behalf of reform opponents — an escalation in dehumanizing vocabulary beyond the corpus's earlier "periodistas ensobrados" (bribed journalists) framing (2025-07-05), here casting the press as a paid instrument of political violence rather than merely corrupt.</t>
  </si>
  <si>
    <t>Y mientras tanto, del otro lado están los tirapiedras cavernícolas que la quieren regular a punto tal de matarla antes de nacer, muy propio de los kirchneristas.</t>
  </si>
  <si>
    <t>proposed AI regulation is opposed via a primitivizing dehumanization — critics/regulators are "tirapiedras cavernícolas" (cave-dwelling stone-throwers) trying to "kill AI before it's born" — extending the speech's recurring primitivism-vs-progress framing (see the periglaciares and "Picapiedras" passages above) to a new regulatory target.</t>
  </si>
  <si>
    <t>Y no solo eso, sino que, además, otro tema también muy importante para nosotros y que creemos que lo que le da sustentabilidad a esto es lo que es la vía de la batalla cultural, es decir, si las personas no están comprometidas con las ideas, uno puede hacer un buen Gobierno, dos buenos Gobiernos, tres, pero tarde o temprano el germen del socialismo siempre está ahí. Miren, yo me acuerdo- para entender cómo funciona esto- me acuerdo que una vez un amigo mío había ido de vacaciones a Cuba y entonces había un chico que estaba todo el día pidiéndole plata y, claro, obvio, cuando llega un momento se cansaba y le daba un dólar y otro después le daba otro dólar, claro, lo que uno no se daba cuenta es que eso era más que lo que ganaba estando adentro del sistema comunista. Entonces, en el socialismo o quienes son estos parásitos en realidad tienen el incentivo de todo el tiempo tratar de robar al productivo, y todo es una gran construcción y un gran relato para justamente robarle al sector productivo, y eso siempre van a estar al acecho; y cuanto más fuerte sea el proceso de crecimiento y más prosperidad haya, como ellos son parásitos, más van a redoblar la apuesta, por eso es tan importante la batalla cultural, y por eso uno tiene que trabajar fuertemente en transmitirle los valores a las personas y dejar de manifiesto que lo único que traen esas ideas es… no sólo que traen atraso sino todo lo que implica en términos de valores, las sociedades que son más socialistas son menos felices porque básicamente abrazan la idea de la envidia, el odio el resentimiento, el robo, el trato desigual frente a la ley, nada bueno de eso puede salir. Eso era Sodoma y Sodoma, terminó destruida.</t>
  </si>
  <si>
    <t>a personal anecdote (a friend's begging encounter in Cuba) is used to ground a parasite dehumanization of socialism/leftism generally — not merely inefficient or immoral but biologically predatory, with an incentive structure that intensifies ("redoblan la apuesta") precisely as the productive economy grows. This is a fresh illustrative vehicle for the corpus's established parasite/vermin dehumanization vocabulary (cf. "siete parásitos mentales," 2025-07-22).</t>
  </si>
  <si>
    <t>Corporacion America</t>
  </si>
  <si>
    <t>2025-11-19</t>
  </si>
  <si>
    <t>Entonces, justamente esto es lo que estamos combatiendo día a día en cada paso que damos. Por eso la defensa constante de las ideas es la libertad es tan importante para fortalecer este proceso, porque la credibilidad y el futuro de la Argentina dependen de que esas ideas no vuelvan a conquistar el ideario popular. No podemos permitir de nuevo que el socialismo frene en seco el proceso de acumulación de capital argentino, porque eso es lo único que convierte a las naciones en potencia vía aumento de productividad y calidad de vida. Por esto mismo estamos ingresando ahora en un círculo virtuoso donde crecimiento económico y batalla cultural se retroalimentan. La mejora de la calidad de vida afianza más y más votantes, y esto profundiza aún más el crecimiento económico. En octubre cruzamos el Rubicón de este proceso y ya no hay vuelta atrás: hoy llegó el momento de que la Argentina crezca. Pero no podemos dar esto por sentado, todavía depende de nosotros no descuidarnos ni bajar la guardia. Sabemos lo que está en juego y sabemos que los adversarios buscan cada oportunidad posible para volver a hincar sus dientes sobre el erario público. Ellos van a estar pendientes a cualquier error de nuestra parte y no podemos darles el gusto. No podemos ni vamos a relajarnos, no vamos a bajar los brazos. Vamos a pelear cada batalla como si fuera la última, lo cual le consta que cada batalla me la tomo como si fuera la última. Ya vimos hace pocas semanas lo que sucede cuando trastabillamos y ellos se relamen soñando con volver. Por eso hay que redoblar la apuesta: hoy los incentivos están ordenados por primera vez en décadas y Argentina presenta una oportunidad de inversión única en un país que va camino a ser el país más libre del mundo y volverse un faro global.</t>
  </si>
  <si>
    <t>political adversaries are described predatorily — waiting to "hincar sus dientes" (sink their teeth) into public funds the moment the government falters — a compact predator metaphor for casta-style rent-seeking, continuing the corpus's established animalizing vocabulary for political opponents.</t>
  </si>
  <si>
    <t>Y esa es una verdad que nos ordena tanto en las relaciones internacionales como en la economía y en la política. Porque tenemos que tener claro que entre el bien y el mal no hay término medio, y hoy más que nunca debemos tener esto bien en claro como nación. Porque desde hace tiempo estas categorías morales tan básicas, tan elementales, venían siendo socavadas sistemáticamente desde el poder. Y la consecuencia de este borrar la diferencia entre el bien y el mal, de resignar los valores judeo-cristianos que sirvieron de guía para nuestro país por tanto tiempo, es que empezamos a perder el rumbo. Empezamos como pueblo a confundir la caridad con la redistribución, empezamos a hacer del pobre un esclavo del Estado, empezamos a robarle el fruto de su trabajo al honesto con argumentos grandilocuentes. Y esa retórica nos terminó estancando, porque los valores morales son la fuente genuina del crecimiento económico, y esos valores dictan también la existencia y la defensa de la propiedad de los hombres libres; propiedad que en nuestro país se vio atacada sistemáticamente desde el Estado por el estómago insaciable de los políticos.</t>
  </si>
  <si>
    <t>redistribution is described as conceptually confused with charity and as reducing the poor to "esclavos del Estado" (slaves of the State) — the corpus's recurring redistribution-as-enslavement framing — paired with a fresh predatory-appetite metaphor, "el estómago insaciable de los políticos" (the insatiable stomach of politicians), for systematic property violations.</t>
  </si>
  <si>
    <t>90 Aniversario De La Daia</t>
  </si>
  <si>
    <t>2025-11-26</t>
  </si>
  <si>
    <t>Buenos Aires (Teatro Colon)</t>
  </si>
  <si>
    <t>Esta verdad tan básica, tan evidente, tiene que ser escondida por los adoradores del Estado presente, ellos necesitan que la gente piense que el Estado es el que crea el crecimiento y el bienestar en lugar de su propio esfuerzo y esto para que después la gente no tenga herramientas ni argumentos para evitar que le saquen todo lo que es suyo y reduzcan a esclavos al político de turno. En definitiva, Israel es un ejemplo radical de todos estos valores que hicieron a occidente grande porque en su fundación era poco más que un desierto y en tan solo casi 80 años fue convertido gracias al trabajo incansable de sus ciudadanos en un oasis de prosperidad y crecimiento.</t>
  </si>
  <si>
    <t>"adoradores del Estado presente" (worshippers of the present-state model) are accused of deliberately concealing this "truth" in order to keep citizens dependent and expropriable — a conspiratorial framing of pro-state political actors as intentionally obscuring reality to entrench their own extractive position, distinct from the immediately preceding Anti_State_Anti_Bureaucratic passage in targeting the political class's motives rather than the redistribution mechanism itself.</t>
  </si>
  <si>
    <t>Hay uno que es conocido porque mandó a la quiebra una empresa muy importante con sus errores de tipo de cambio. Entonces, que quieran licuar con el hambre de los argentinos sus errores de pronósticos [...] Hay en uno de los libros de Von Bohm-Bawerk [...] es como el caso de que supongan que ustedes tienen un médico y el médico está empecinado con un diagnóstico y se dedica a buscar la forma de romper ese diagnóstico por todos lados hasta que el diagnóstico sea el que él quiere. Bueno, la pregunta es ¿ustedes irían a atenderse a ese médico? Porque los va a matar, literalmente.</t>
  </si>
  <si>
    <t>FLAGSHIP opening broadside. A named-but-unidentified analyst's prior professional failure ("mandó a la quiebra una empresa") is used to impugn all exchange-rate critics as self-interestedly trying to "cover their losses with the hunger of Argentines," followed by a malpractice-doctor analogy in which economists who cling to a predetermined diagnosis are equated with doctors who will "literalmente" kill their patients — one of the corpus's most explicit life-or-death framings of expert disagreement.</t>
  </si>
  <si>
    <t>Encuentro De Lideres De El Cronista</t>
  </si>
  <si>
    <t>2025-12-03</t>
  </si>
  <si>
    <t>[...] los fatalmente arrogante socialistas, los herederos del racionalismo pero los herederos del racionalismo nos llevaron al comunismo, no funcionó, fue un fracaso en lo económico, lo social, lo cultural y hay un detalle que para mí no es menor [...] mataron a 150 millones de seres humanos [...]</t>
  </si>
  <si>
    <t>invoking Hayek's "fatal conceit," rationalist/socialist epistemological overreach is traced in a direct causal line to communism and an explicit global death toll ("mataron a 150 millones de seres humanos") — deployed here not about Argentine politics specifically but as a general epistemological argument about the limits of economic knowledge, making it a philosophically-grounded variant of the corpus's recurring socialism-equals-mass-death framing.</t>
  </si>
  <si>
    <t>Entonces, vendría acá el conjunto de los piromaníacos fanáticos de devaluar y que, en el fondo, tienen que lavar culpas con sus clientes [...] estos chantas que se ponen a hablar del tipo de cambio real no tienen ni idea [...] las barbaridades que decían los neandertales [...] Tenemos que reportarle a 47,5 millones de argentinos, no a tres o cuatro atorrantes del círculo rojo que han vivido de empobrecer a la Argentina.</t>
  </si>
  <si>
    <t>a cluster of escalating dehumanizing labels for devaluation-advocating analysts across the speech — "piromaníacos fanáticos" (pyromaniac fanatics), "chantas" (frauds/con artists), "neandertales" (Neanderthals), and "atorrantes del círculo rojo" (bums of the elite financial commentariat) — collectively recasting an entire professional community of critics as either fraudulent, primitive, or parasitic on ordinary Argentines rather than as holding a legitimate, if mistaken, technical position.</t>
  </si>
  <si>
    <t>[...] como los consultores son como el Oráculo de Delfos, dan consejos pero no toman decisiones, pueden errar sistemáticamente, cosa que vienen haciendo hace dos años.</t>
  </si>
  <si>
    <t>consultants are compared to the Oracle of Delphi — issuing predictions without ever bearing the consequences of being wrong — a structural accountability-based delegitimization distinct from the vocabulary-based attacks above, framing the entire consulting profession as epistemically unaccountable by design.</t>
  </si>
  <si>
    <t>[...] cuando hablamos de economía de abrir la economía aparecen los parásitos prebendarios exigiendo que los argentinos paguen más caro bienes de peor calidad [...] el empresario prebendario que quiere defender su prebenda y que quiere cazar en el zoológico, ese sí va a estar peor, la pregunta es una pregunta de índole moral ¿salvamos a un prebendario tiracoimas? [...] coimas a los medios de comunicación para que defiendan esa posición inmunda, contra el resto de los argentinos.</t>
  </si>
  <si>
    <t>protectionist business interests are labeled "parásitos prebendarios" (rent-seeking parasites) engaged in "cazar en el zoológico" (hunting in a zoo — i.e., a rigged, effortless game), extended into an accusation that such actors bribe ("tiracoimas") both politicians and media outlets to defend "esa posición inmunda" (that filthy position) — a corruption-network framing linking business rent-seeking directly to media complicity.</t>
  </si>
  <si>
    <t>Por otro lado, su larga trayectoria en el Ejército lo dota de una integridad moral y de una serie de valores que la mayoría de los políticos desconocen. Por eso no sorprende la crítica. Es decir, el Teniente General Presti es una persona dispuesta a hacer lo correcto por la Patria, incluso cuando no le sea personalmente conveniente. Es un hombre de disciplina, entrega y coraje, con toda una vida de servicio. Es un hombre que juró defender con su propia vida la tierra que lo vio nacer. Todo lo contrario, a los políticos que lo critican, que poco entienden de sacrificio y entrega por el país; personajes que siempre buscan hacer lo que les represente beneficios personales, por muy incorrectos que sean.</t>
  </si>
  <si>
    <t>a virtuous, selfless military appointee is contrasted point-by-point against "políticos de estirpe" (career-politician dynasties) who "siempre buscan hacer lo que les represente beneficios personales" — the corpus's established outsider-virtue-versus-casta-self-interest binary, here applied to a defense-ministry appointment rather than an economic-policy context.</t>
  </si>
  <si>
    <t>Presentacion De La Flota F-16</t>
  </si>
  <si>
    <t>2025-12-06</t>
  </si>
  <si>
    <t>Rio Cuarto, Cordoba</t>
  </si>
  <si>
    <t>Dicho de otro modo, no hay soberanía sin prosperidad económica y sin capacidades militares para defender esa prosperidad alcanzada. Todo este razonamiento básico y auto evidente fue repudiado por el kirchnerismo. Durante estos 20 años hicieron diametralmente los opuestos. Se llenaron la boca hablando de soberanía por décadas, pero nos entregaron un país pobre e indefenso, desfinanciaron a nuestras fuerzas armadas e intentaron demonizarlas ante la sociedad para obtener un rédito político. Si nos remitimos a los de ellos, soberanía para ellos significa una gran villa miseria decorada con banderines de Argentina, y eso tan solo porque no tienen una visión económica consistente, productiva y capaz de crear el futuro que todos los argentinos necesitan. Esa incapacidad teórica y moral los induce a creer que la única soberanía posible es la que se encuentra en la pobreza, la aislación y la irrelevancia.</t>
  </si>
  <si>
    <t>NEAR-DUPLICATE of the sovereignty-redefinition move coded at the 2025-11-06 CPAC Mar-a-Lago gala speech (there applied to US-alliance criticism; here applied to kirchnerismo's domestic defense/foreign-policy record) — kirchnerismo's conception of sovereignty is reduced to "una gran villa miseria decorada con banderines," attributing this to a theoretical and moral incapacity rather than a genuine policy disagreement. Coded here as a distinct instance given the fresh imagery ("villa miseria decorada con banderines") despite the shared underlying rhetorical strategy.</t>
  </si>
  <si>
    <t>El virus woke que infectó a Europa y gran parte del mundo libre muchas veces se exige mirar para otro lado o defender lo indefendible con tal de no ofender a los victimarios [...]</t>
  </si>
  <si>
    <t>"el virus woke" — an explicit viral/contagion metaphor for the ideological category the corpus tracks under Woke_Bundling, framing it not merely as a mistaken ideology but as a communicable disease infecting Europe and the free world.</t>
  </si>
  <si>
    <t>Cena De Fin De Año De La Fundacion Faro</t>
  </si>
  <si>
    <t>2025-12-15</t>
  </si>
  <si>
    <t>[...] Occidente se convertirá en el rey Ozymandias, cuyas grandes obras supieron maravillar al mundo, según relata el famoso poema, pero terminaron en el olvido, tragadas por la arena del desierto. Sucede que Occidente había creído encontrar, seducido por el canto de sirenas del estatismo keynesiano, la piedra filosofal de la economía. Se creían tan inteligentes y tan creativos que pensaban que podían ganarle a la realidad misma cegados por su fatal arrogancia. Creyeron que el gasto público desenfrenado [...] era una forma de hackear el sistema, creando una especie de maquinaria de riqueza infinita, como si la vida fuese una partida de sims.</t>
  </si>
  <si>
    <t>FLAGSHIP. A literary (Shelley's "Ozymandias") and pop-culture (The Sims video game) double metaphor for Keynesian statism — Western civilization is cast as a doomed monument seduced by the "philosopher's stone" fantasy that public spending could hack reality itself and generate infinite wealth "como si la vida fuese una partida de sims." One of the corpus's most literarily elaborate anti-statist passages.</t>
  </si>
  <si>
    <t>[...] propongo que lean la teoría general, tiene algunos aspectos, por ejemplo del prólogo de la edición en alemán donde el señor Keynes hace una oda al nazismo o en los capítulos donde trata la inversión de donde directamente se pone a favor de la planificación centralizada [...] algunos hasta lo tratan a Keynes como si fuera liberal [...]</t>
  </si>
  <si>
    <t>HIGH PRIORITY — a striking and specific claim that Keynes's General Theory contains, in its German-edition preface, "una oda al nazismo," used to delegitimize the entire Keynesian economic tradition by association with fascism and to reframe the Overton window ("lo corrido que está el arco") as having shifted so far left that even Keynes now passes for a liberal. This is among the corpus's most extreme instances of discrediting a canonical academic figure via a totalitarianism association rather than substantive economic critique.</t>
  </si>
  <si>
    <t>[...] la sociedad debería evolucionar, claramente entre muchas comillas, hacia un sistema de planificación central donde burócratas expertos, ahora con muchísimas más comillas, debía intentar activamente en la economía, intervenir activamente incentivando esto, descentivando lo otro, quitando recursos de acá, poniéndolos allá, obedeciendo a sus caprichos y a su alquimia económica.</t>
  </si>
  <si>
    <t>interventionist economic planning by "burócratas expertos" (ironically double-scare-quoted) is labeled "alquimia económica" (economic alchemy) — explicitly recasting technocratic economic management as a pre-scientific, superstitious practice rather than legitimate expertise.</t>
  </si>
  <si>
    <t>Como dijo Albert Knock en "Nuestro enemigo el Estado" [...] el Estado ha sabido aprovechar cada contingencia para ganar poder a expensas de la sociedad [...] el Leviatán envalentonado por los sacerdotes del estatismo creyó que podía abalanzarse sobre todo el sector privado [...] dejó de creer que existía un límite jurídico a su apetito fiscal Insaciable [...] Los estatistas [...] creen que Dios es el Estado, creen que el Estado antecede a todo otro derecho y puede pisotear al individuo a su antojo [...] los sacerdotes estatistas creen que todos somos meros inquilinos de nuestros bienes, pero cuyo propietario real es el Estado que benevolentemente nos permite usufructo temporario con derecho a revocarlo cuando le plazca.</t>
  </si>
  <si>
    <t>FLAGSHIP — an extended, sustained theological framing (citing Albert Jay Nock's "Our Enemy, the State") that recasts statism as a false religion complete with its own clergy ("sacerdotes del estatismo"/"sacerdotes estatistas"), its own god (the State itself), and a doctrine reducing private citizens to mere tenants of their own possessions. This is the corpus's most fully developed statism-as-religion argument, running continuously across roughly a third of the speech.</t>
  </si>
  <si>
    <t>Es más, un error común de la izquierda es concebir al Estado como un dios que está por encima de los hombres [...] el Estado se convierte entonces en un botín de dinero y poder a ser conquistado [...] el ejemplo que suelo hacer del ministerio del puente [...] descubren que si comercializan el nivel de vida de las dos sociedades va a mejorar. Entonces se ponen de acuerdo para hacer un puente [...] si ustedes tienen el Estado ¿qué hace entonces? El Ministerio del Puente. Hace ese puente y busca dónde hacer puentes. Y llega un momento donde no puede hacer más puentes porque no hay ciudades que unir. Entonces ¿qué hace? Inventa el Ministerio del Agua y crea mares para hacer más puentes. [...] Te rompe las piernas, digo, te cobra impuestos para después decirte que te regala las muletas, las cuales las compra con sobreprecio y, además, exige que les des las gracias.</t>
  </si>
  <si>
    <t>two connected satirical fables illustrating bureaucratic self-perpetuation — the "Ministerio del Puente" that invents an ocean ("Ministerio del Agua") to justify its continued existence once its original purpose is exhausted, and the state as an assailant who breaks a citizen's legs via taxation and then sells them overpriced crutches while demanding gratitude. Both are original illustrative devices for the corpus's established bureaucratic-self-perpetuation and state-as-predator themes, presented here in unusually developed narrative form.</t>
  </si>
  <si>
    <t>[...] pero esta gente nunca se rinde, porque viven de chuparle la sangre al otro. Son vampiros profesionales.</t>
  </si>
  <si>
    <t>a fresh dehumanizing register for the corpus's recurring parasite/vermin vocabulary — the left as literal "vampiros profesionales" who survive by "chuparle la sangre al otro" (sucking others' blood), distinct from the more common parasite/rat/vulture imagery used elsewhere in the corpus.</t>
  </si>
  <si>
    <t>Los gobiernos anteriores se llenaron la boca hablando de soberanía durante décadas; mientras ejecutaban su pantomima soberanista, dejaron un país empobrecido del cual una gran mayoría buscaba escapar, un país que era tomado de ejemplo a nivel mundial de todo lo que no debía hacerse. Pero no solo nos dejaron un nefasto legado en materia económica, también intentaron fracturar la relación entre la sociedad civil y las fuerzas encargadas de defenderla. Durante mucho tiempo se dedicaron a demonizar a nuestras fuerzas y a desfinanciarlas. Eso nos hizo perder años valiosos en el desarrollo de nuestras capacidades militares, pero por suerte nunca lograron destruir el lazo inquebrantable que existe entre los argentinos y sus Fuerzas Armadas.</t>
  </si>
  <si>
    <t>"Los gobiernos anteriores se llenaron la boca hablando de soberanía... mientras ejecutaban su pantomima soberanista" frames the prior political establishment as performing empty rhetoric ("pantomima," i.e. a self-serving show) while actually impoverishing the country and deliberately weakening a state institution (the armed forces) for their own ends — the hypocrisy/extractive-establishment mechanism the codebook identifies as diagnostic of Anti_Casta, applied here to defense policy rather than economic or environmental governance (per Rule 2b, no climate mention is required). This is a distinct move from the parallel passage in the 2025-12-06 F-16 speech, which explicitly names kirchnerismo and attributes its stance to "intereses ideológicos y partidarios" and a "incapacidad teórica y moral" (coded there as Anti_Socialism_Anti_Collectivism) — here Milei does not name an ideology and instead frames "los gobiernos anteriores" generically as hypocritical political-class actors, which is why Anti_Casta rather than Anti_Socialism_Anti_Collectivism is the better fit for this instance. Coded on its own terms per Rule 4 — its resemblance to the F-16 speech is not grounds to withhold the code.</t>
  </si>
  <si>
    <t>Entrega De Sables Y Medallas (Egreso Ff.Aa.)</t>
  </si>
  <si>
    <t>2025-12-18</t>
  </si>
  <si>
    <t>Hace un año, en Montevideo, les dije que a las instituciones no hay que evaluarlas por sus intenciones, sino por sus resultados. Porque el Mercosur nació con una misión clara de promover el comercio, aumentar la prosperidad, integrar mercados y elevar la competitividad de nuestras sociedades. Y ninguno de esos objetivos centrales se cumplió. No hay mercado común, no hay libre circulación efectiva, no hay coordinación macroeconómica, no hay armonización normativa real, no hay incremento significativo del comercio interno, no hay apertura suficiente al mundo. Sí hay una burocracia sobredimensionada e ineficaz que se expandió sobre sí misma.</t>
  </si>
  <si>
    <t>NEAR-DUPLICATE of the Mercosur-bureaucracy critique coded at 2025-07-03 (same venue, prior pro-tempore presidency speech); the specific self-referential-growth framing — bureaucracy that "se expandió sobre sí misma" (expanded upon itself) rather than in service of its founding trade goals — is coded here as a distinct, if thematically continuous, formulation.</t>
  </si>
  <si>
    <t>Cumbre De Jefes De Estado Del Mercosur</t>
  </si>
  <si>
    <t>2025-12-20</t>
  </si>
  <si>
    <t>Foz De Iguazu, Brasil</t>
  </si>
  <si>
    <t>Un arancel así no protege el empleo, lo destruye. Es por eso que, durante nuestra presidencia pro témpore, impulsamos y logramos una ampliación de las excepciones al arancel externo común, para que nuestras empresas puedan acceder a bienes más competitivos y para que los consumidores paguen precios más razonables. Esto es sólo un primer paso.</t>
  </si>
  <si>
    <t>Mercosur's external tariff regime is reframed via a direct inversion — presented as protective, it is asserted to actually destroy the very employment it claims to protect — applying the corpus's established regulation-inversion logic to a specific multilateral trade-policy target.</t>
  </si>
  <si>
    <t>Su compromiso y apoyo fueron determinantes para que este acuerdo pueda concretarse hoy, pero quiero insistir con algo: es fundamental que en la etapa de implementación se preserve el espíritu de lo negociado. La incorporación de mecanismos que restrinjan ese acceso, como cuotas, salvaguardas o medidas de efecto equivalente, reducirá significativamente el impacto económico del acuerdo y atentará contra el objetivo esencial del mismo. Tenemos que velar en nuestros parlamentos para que esto no ocurra. Los 25 años invertidos nos obligan a estar a la altura en esta última etapa. Como profeta de un futuro distópico, Argentina entiende de primera mano que el encierro y el proteccionismo, amparados por la retórica en lugar de los resultados, son los máximos causantes del estancamiento económico y el crecimiento de la pobreza.</t>
  </si>
  <si>
    <t>NEAR-DUPLICATE of the corpus's extensively established protectionism-causes-poverty argument (2025-07-03, 2025-12-20); coded here as this speech's single clearest instance, framing Argentina's past isolationism as a cautionary "profeta de un futuro distópico" for other Mercosur members.</t>
  </si>
  <si>
    <t>Ceremonia De Firma Del Acuerdo Mercosur–Union Europea</t>
  </si>
  <si>
    <t>2026-01-17</t>
  </si>
  <si>
    <t>Para eso, la prueba que ha desarrollado Hans-Hermann Hoppe, basada en los derechos de propiedad, en línea con el principio de apropiación originaria de Locke, junto al principio de no agresión, no sólo resulta satisfactoria en probar la optimalidad, sino que, además, no deja lugar a duda para que haya intervención. De este modo, Hoppe señala que cualquier desviación de este conjunto de reglas implica - por definición - una redistribución de títulos de propiedad, y, por lo tanto, de los ingresos, desde los usuarios y contratantes de bienes hacia los no usuarios, productores y no contratantes. Por lo tanto, cualquier desviación en tal sentido implica que habrá relativamente menos apropiación originaria de recursos, cuya escasez sea conocida. Y, por ende, habrá menos producción de nuevos bienes, menos mantenimiento de los bienes existentes y menos contratos y comercios que sean mutuamente beneficiosos. Esto, naturalmente, implica un menor estándar de vida en relación con los bienes y servicios, que pasan de mano en mano.</t>
  </si>
  <si>
    <t>FLAGSHIP — HIGH PRIORITY. The corpus's most rigorous and fully elaborated philosophical proof of market primacy, built on Hoppe's property-rights argument: any deviation from strict property/non-aggression rules is defined a priori as illegitimate redistribution that necessarily reduces production, living standards, and voluntary exchange. Unlike the corpus's more colloquial market-primacy assertions elsewhere, this passage constructs an axiomatic, deductive proof structure that forecloses empirical debate about when intervention might be beneficial.</t>
  </si>
  <si>
    <t>Foro Economico Mundial De Davos 2026</t>
  </si>
  <si>
    <t>2026-01-21</t>
  </si>
  <si>
    <t>La visión basada en los valores éticos del capitalismo señala que, si a esa posición se llegó por descubrimiento, intercambios voluntarios y sin violencia, el principio de no agresión, no hay motivo que justifique la intervención. De hecho, la intervención es una violación del derecho de propiedad, por lo que, al castigar los beneficios, el crecimiento potencial de la economía cae. Por ende, la intervención y la regulación son dinámicamente ineficientes por ser violentas y, por ende, injustas. Es por eso que - desde la llegada la administración en 2023 - hemos llevado a cabo, gracias a la ciclópea tarea, del Ministro Federico Sturzenegger, 13.500 reformas estructurales, las cuales hoy nos permite tener una economía más eficiente dinámicamente, lo cual nos permite volver a crecer. Esto es "Make Argentina Great Again". Por ende, esto muestra lo cuestionable del análisis del Óptimo Pareto. En función del mismo, muchos consideran pertinente que se regulen dichas estructuras concentradas, asimilándolas en resultados a un modelo competitivo. Sin embargo, como había señalado, eso implica matar los rendimientos crecientes, cuyo efecto colateral no deseado es el de matar el crecimiento.</t>
  </si>
  <si>
    <t>FLAGSHIP — HIGH PRIORITY. Building on a formal increasing-returns/Pareto-optimality framework, this passage concludes that "la intervención y la regulación son dinámicamente ineficientes por ser violentas y, por ende, injustas" — the corpus's most philosophically load-bearing statement that regulation is not merely economically costly but definitionally violent and unjust, presented as a mathematically/philosophically proven conclusion rather than a political position.</t>
  </si>
  <si>
    <t>Al mismo tiempo, quiero señalar que todos los temores asociados a escenarios distópicos son una tontería. La respuesta es Adam Smith. El límite de los rendimientos crecientes está dado por el tamaño del mercado. Y, finalmente, no debemos olvidar que la puesta en marcha de estos proyectos requiere de insumos y recursos financieros reales, por lo que la expansión estará limitada por las dotaciones iniciales.</t>
  </si>
  <si>
    <t>a second, distinct instance applying the speech's core regulation-as-violation logic specifically to AI governance — regulators are told to "dejar de fastidiar" (stop pestering) AI developers, and dystopian-risk concerns are dismissed as "una tontería" (nonsense). This is a more measured, academic-register variant of the AI-deregulation argument coded at 2025-11-13 (there delivered via the "tirapiedras cavernícolas" caveman metaphor to a domestic audience); here delivered to the Davos international elite in dismissive-but-formal terms.</t>
  </si>
  <si>
    <t>Por último, quiero dejarles una reflexión sobre la Parashá de esta semana. La Parashá Bo escribe, ese momento en que Moisés se enfrenta al faraón, símbolo del poder opresor del Estado, para advertirle que si no liberaba el pueblo hebreo caerían sobre Egipto las últimas tres plagas. Ante la negativa del faraón llegó la plaga de las langostas, la cual significa la hambruna. Luego, llegó la plaga de la oscuridad, la cual significa la pérdida de claridad para la toma de decisiones. Por último, la plaga de la muerte de los primogénitos, lo cual deja de manifiesto el destino de una sociedad que niega la libertad; la analogía con lo que ocurre hoy en Occidente es tremendamente clara.</t>
  </si>
  <si>
    <t>FLAGSHIP theological framing — Pharaoh is explicitly named "símbolo del poder opresor del Estado," and the biblical ten plagues (specifically locusts/famine, darkness, and the death of the firstborn) are reinterpreted as a direct allegorical warning to contemporary Western societies "que niega[n] la libertad." This is the corpus's most apocalyptic state-as-oppressor framing, escalating beyond the "sacerdotes del estatismo" religious metaphor coded at 2025-12-15 into an explicit prophecy-of-punishment structure.</t>
  </si>
  <si>
    <t>Tal cual mencioné durante mi discurso en el Foro de Davos, durante mucho tiempo se nos inculcó la lógica de que el intervencionismo estatal en la economía era necesario para garantizar un justo crecimiento de la economía. Ponele. Cuando digo mucho tiempo, me refiero a más de un siglo, ya a principios del siglo XX el Presidente norteamericano Wilson hablaba de la necesidad de la intervención estatal para garantizar un orden económico más equitativo. Wilson llamaba a esto la nueva libertad. Vieron que es genial, Huerta de Soto dice, cuando ustedes le ponen un adjetivo a algo quiere decir que lo están arruinando. Por ejemplo, la justicia social no es justicia. Obviamente, la nueva libertad no era libertad, sino que era prisión estatal, donde la única prisión debería ser para los chorros como la señora. Y no sólo debería ser para ella, también para los socios que tiene en el sector privado que hacen negocios turbios.</t>
  </si>
  <si>
    <t>FLAGSHIP — a fresh historical case study applying the corpus's established "justicia social no es justicia" adjective-delegitimization heuristic (Huerta de Soto) to US President Woodrow Wilson's "New Freedom" progressivism specifically, generalizing the heuristic into an explicit rule: "cuando ustedes le ponen un adjetivo a algo quiere decir que lo están arruinando." This is the first instance in the corpus of this linguistic-delegitimization principle being stated as an explicit, generalizable rule rather than applied ad hoc to a single term.</t>
  </si>
  <si>
    <t>Derecha Fest</t>
  </si>
  <si>
    <t>2026-01-27</t>
  </si>
  <si>
    <t>Por eso también los socialdemócratas, que no son ni más ni menos que socialistas de buenos modales, buscan constantemente censurar las redes sociales para evitar que el pueblo opine en libertad. Ni les digo si son parte de un medio de comunicación que se dedica a mentir.</t>
  </si>
  <si>
    <t>social democrats are given a fresh, distinct label — "socialistas de buenos modales" (well-mannered socialists) — distinguishing them from more overtly authoritarian socialism only by decorum, not substance, and are accused of pursuing social-media censorship as their characteristic policy instrument.</t>
  </si>
  <si>
    <t>Por eso, no es de extrañar que hoy este mismo sector pone el grito en el cielo por lo que en realidad es un acto de justicia histórica. Pero los argentinos no nos vamos a dejar manipular: ellos nos llaman colonizados y vende patrias, pero hicieron todo lo posible para empobrecernos y perder el respeto del mundo. Nos dicen "cipayo", pero desfinanciaron y desprestigiaron a nuestras Fuerzas Armadas, dejándonos indefensos. Nos acusan de unitarios, pero exprimieron al interior productivo durante décadas para subsidiar al Gran Buenos Aires y a los clientes del Estado.</t>
  </si>
  <si>
    <t>a brief but clear instance of the corpus's established clientelism critique — decades of interior-province productive activity are described as having been "exprimido" (squeezed) to subsidize Greater Buenos Aires and "los clientes del Estado" (the State's clients), within an otherwise historical/commemorative address.</t>
  </si>
  <si>
    <t>213 Aniversario Del Combate De San Lorenzo</t>
  </si>
  <si>
    <t>2026-02-07</t>
  </si>
  <si>
    <t>Santa Fe</t>
  </si>
  <si>
    <t>Es más, en un libro que se llama La doctrina del Fascismo, estos personajes siniestros decían: "Nada fuera del Estado, todo dentro del Estado y nada contra el Estado". ¿Qué tiene que ver eso conmigo? Tiene que ver con ustedes, que estaban inspirados en un fascista. Primero, agarrá los libros, después decime todo lo que quieras.</t>
  </si>
  <si>
    <t>FLAGSHIP — a direct, live equation of Argentine socialism/kirchnerismo with fascism, delivered on the floor of Congress and aimed at named opposition legislators, citing Mussolini's "Dottrina del Fascismo" ("Nada fuera del Estado, todo dentro del Estado y nada contra el Estado") as proof that "los fascistas son socialistas que entendieron que el camino no era la violencia." This collapses the conventional left-right distinction entirely, framing the opposition as ideologically indistinguishable from historical fascism. (Added in the 2026-07-19 reconciliation — not captured in the prior coding pass.)</t>
  </si>
  <si>
    <t>Apertura Del 144 Periodo De Sesiones Ordinarias</t>
  </si>
  <si>
    <t>2026-03-01</t>
  </si>
  <si>
    <t>Segundo: tenemos los impulsores de crecimiento de largo plazo sustentados en tres pilares simultáneos. El primer pilar es la desregulación de la economía. Esta política de exterminar regulaciones no solo es una forma de restaurar el derecho de propiedad, sino que además libera rendimientos crecientes, los cuales son la base del crecimiento económico. Si no asimilamos este punto, todo lo demás será en vano.</t>
  </si>
  <si>
    <t>The framing of deregulation as "exterminar regulaciones" — exterminating rather than reforming regulations — uses maximalist language that positions the regulatory corpus itself as a hostile entity to be eliminated rather than a governance tool to be calibrated. More analytically significant is the positive theoretical claim: deregulation "liberates increasing returns," which is the basis for economic growth. This is a foundational market-primacy argument that forecloses the case for environmental regulation before it can be made: if regulations by definition suppress increasing returns and therefore growth, then environmental regulations are anti-growth by definition, and any empirical case for environmental regulation would be dismissed as theoretically unfounded.</t>
  </si>
  <si>
    <t>El mandato que la sociedad nos dio no puede ser más claro. Nunca el Congreso de la Nación tuvo una composición tan reformista como ésta. Desde hace 100 años nuestro país carga con falsos consensos y fórmulas que nos llevaron de ser un país próspero a uno pobre, y nos dejaron en diciembre de 2023 al borde de la peor crisis de nuestra historia. Dedicaremos este año a examinar la organización jurídica e institucional que nos trajo hasta aquí y construir una arquitectura nueva; la arquitectura que tendrá el Estado argentino los próximos 50 años, teniendo la moral occidental como política de estado.</t>
  </si>
  <si>
    <t>The declaration that "la moral occidental" will be the guiding policy framework for the next 50 years of Argentine statehood is the most expansive civilizational claim in the corpus. By anchoring the 50-year institutional architecture in "Western morality" rather than in constitutional norms or democratic consensus, Milei positions any future climate governance framework that invokes collective obligations, international agreements, or IPCC expert consensus as fundamentally incompatible with this foundational moral architecture. The 50-year horizon is also analytically notable: it explicitly colonizes the future, attempting to make the libertarian-Western framework normatively permanent and thus to exclude any future democratic mandate for a different approach to governance, including climate governance.</t>
  </si>
  <si>
    <t>Y esta relevancia proviene del aprovechamiento de nuestros recursos. Es así que vamos a buscar remover las barreras legales que se interponen entre la sociedad y su riqueza. Vamos a construir un marco legal robusto que permita el desarrollo primario para beneficio de todos los argentinos, con cuidados, pero lejos de prejuicios ambientalistas absurdos. Me refiero a todos los recursos: a los minerales críticos como el cobre y el litio, a la pesca y a la agricultura, a los hidrocarburos convencionales y no convencionales, a las economías regionales y al sector agropecuario.</t>
  </si>
  <si>
    <t>The phrase "lejos de prejuicios ambientalistas absurdos" is the most explicit climate-governance delegitimation passage in the three apertura speeches. By framing environmental concerns as "absurd prejudices" — not as legitimate scientific or policy considerations — in the specific context of announcing legislative removal of legal barriers to resource extraction (hydrocarbon, mining, agro), Milei performs a precise ideological move: he acknowledges the existence of environmental concerns while categorically dismissing their epistemic status. The word "prejuicios" (prejudices) frames environmentalism as pre-rational bias rather than evidence-based concern, and "absurdos" intensifies this by asserting their irrationality is self-evident. This is a stronger dismissal than most previous coded passages, which tended to delegitimize environmental governance indirectly through anti-state or anti-regulation rhetoric.</t>
  </si>
  <si>
    <t>The explicit goal of "remover las barreras legales que se interponen entre la sociedad y su riqueza" — applied to hydrocarbon extraction, mining, fishing, and agriculture — frames environmental and resource-protection regulations as barriers between society and its wealth rather than as legitimate governance of common resources. This is a property-rights argument against environmental regulation: natural resources are society's "wealth," regulations are "barriers," and removing them is restoration of rightful access. The enumeration of all primary sectors (conventional and non-conventional hydrocarbons, critical minerals, fishing, agro) establishes the comprehensive scope of the deregulatory intention.</t>
  </si>
  <si>
    <t>En el fondo, la única forma infalible de evitar los principales costos de la promiscuidad, el amiguismo y la corrupción en el Estado es reducirlo. El Estado presente, que pretende hacerse cargo de todos los órdenes de la vida, fracasó. Por eso necesitamos un Estado ágil, abocado a unas pocas funciones esenciales, sintetizadas en la defensa de la vida, la libertad y la propiedad privada, sin descuidar elementos de la estructura actual, amparado en lo que definimos, como decía Ayn Rand, la ética de la emergencia.</t>
  </si>
  <si>
    <t>The invocation of Ayn Rand's "ethics of emergency" to justify a minimal state, combined with the claim that any state "that pretends to take care of all dimensions of life" has failed, is a direct repudiation of the regulatory state's legitimacy in the domain of climate governance. Climate governance requires precisely the kind of state that "pretends to take care" of long-range collective problems that markets do not spontaneously resolve. By framing state scope as the cause of failure (rather than specific bad policies), Milei pre-emptively delegitimizes any future government's attempt to use state capacity for environmental management.</t>
  </si>
  <si>
    <t>La era de la cooperación global sin brújula moral ha terminado. Entramos a una nueva era de grandes naciones que compiten por asegurarse cadenas de valor verticales. Y en este mundo, cada vez más, partirán las aguas entre las naciones libres y las naciones sometidas.</t>
  </si>
  <si>
    <t>The declaration that "the era of global cooperation without moral compass has ended" is the most direct rejection of multilateral governance in the apertura corpus. Global cooperation without moral compass refers precisely to the multilateral governance architecture — the UN system, the IPCC, the 2030 Agenda, the Paris Agreement — which Milei's framework identifies as lacking the "moral compass" of Western individual-rights values. The "new era" of competing great nations replacing cooperative global governance is structurally incompatible with the climate governance regime, which depends on multilateral cooperation and compliance commitments. This passage explicitly closes the door on Argentina's participation in multilateral climate frameworks by framing the multilateral era itself as over.</t>
  </si>
  <si>
    <t>Quiero ahora leer algunas palabras que me ha enviado, en el día de ayer, otro de los más grandes economistas del planeta, el profesor Jesús Huerta de Soto: "Hay momentos en la historia en los que una Nación debe elegir su futuro. Nos han dicho que el Estado es nuestro protector, que el burócrata es nuestro salvador y que el político sabe más que el hombre libre; que debemos obedecer, que debemos depender. Pero la verdad es otra: el mundo solo tiene dos tipos de personas. Los que viven de lo que otros producen, es decir, los parásitos —o sea, ustedes—, y los que producen todo lo que hace posible la vida moderna. Mientras ustedes redactan regulaciones, nosotros creamos riqueza; mientras ustedes prometen igualdad, nosotros generamos prosperidad; mientras ustedes reparten pobreza, nosotros multiplicamos la abundancia."</t>
  </si>
  <si>
    <t>The Huerta de Soto quote — introduced by the President and applied directly to the congressional opposition — delivers the parasites/producers binary in its most philosophically elaborated form: "Los que viven de lo que otros producen" (parasites, i.e., the political class) versus "los que producen todo lo que hace posible la vida moderna." The casta frame is here given its strongest moral-ontological expression: it is not simply that politicians are corrupt, but that the regulatory state — those who "draft regulations" — is structurally parasitic on the productive sector. Environmental regulators, sustainability agencies, and scientific advisory bodies all "draft regulations" in Huerta de Soto's formulation, making them unambiguously parasites rather than producers in this moral framework.</t>
  </si>
  <si>
    <t>La verdadera batalla de nuestro tiempo es cultural, filosófica y moral. Es elegir el sistema que sacó de la pobreza a millones. Es para dejar de ser una Nación inmadura, que dilapida el futuro para repartir beneficios en el presente; y convertirnos en una nación madura, que planifica las reglas de juego para que haya presente y futuro; y para que cada ciudadano pueda elegir libremente su propio destino. No que se lo quiera determinar un burócrata ignorante, fatalmente arrogante. Gobernar con responsabilidad es gobernar para los argentinos de hoy, pero también gobernar para los argentinos de mañana.</t>
  </si>
  <si>
    <t>the framing of "la verdadera batalla de nuestro tiempo" as cultural, philosophical, and moral — a battle between the "system that lifted millions from poverty" (capitalism/market freedom) and an unnamed adversary — casts the opposition in maximally abstract civilizational terms. The closing formulation — "gobernar para los argentinos de mañana" — appropriates intergenerational-responsibility language (governing for future generations) while attaching it to fiscal/institutional continuity rather than environmental stewardship, framing the opposition's "dilapidating the future to distribute benefits in the present" as the illegitimate intergenerational stance. (Memo revised in the 2026-07-19 reconciliation to remove a reference to the eliminated Temporal_Appropriation inductive category, which is not part of the current v4 codebook.)</t>
  </si>
  <si>
    <t>Y un respeto implacable por la propiedad privada. De hecho, suena como abstracto la propiedad privada, pero cada vez que bajamos impuestos cada vez que bajamos la inflación y cada vez que desregulamos, les estamos devolviendo la propiedad privada, es una forma de restaurar la propiedad privada. Los impuestos es más fácil porque es el robo directo, es como el ladrón estacionario el Estado, por eso lo estamos corriendo.</t>
  </si>
  <si>
    <t>taxation is equated with direct theft via the "ladrón estacionario" (stationary bandit) framing — a political-economy concept (associated with Mancur Olson's theory of predatory rulers) applied here to characterize the Argentine state's basic taxing function as a form of institutionalized banditry rather than a legitimate governance activity.</t>
  </si>
  <si>
    <t>Visita Al Centro De Monitoreo De Visa Argentina</t>
  </si>
  <si>
    <t>2026-03-04</t>
  </si>
  <si>
    <t>Solo en un sistema que talla en la piedra de la ley esos principios morales se puede liberar la función empresarial que produce al final del día la eficiencia económica. Quienes intentan limitar estos principios para alcanzar la frontera presente de producción, buscando un óptimo paretiano, terminan sacrificando el futuro en pos de un presente ilusorio. Como ya explicó el Profesor Huerta de Soto: justicia y eficiencia son dos caras de la misma moneda.</t>
  </si>
  <si>
    <t>Milei asserts that only a system enshrining private-property principles "liberates" the entrepreneurial function that produces economic efficiency, and that anyone seeking to limit those principles to reach a present-oriented Pareto optimum sacrifices the future. This is the Market_Primacy move in its foundational form: the property-rights/market framework is presented as the sole legitimate source of economic efficiency, implicitly foreclosing any redistributive or interventionist optimization as illegitimate by definition — codeable on its own terms per Rule 2b even though no climate or environmental content appears in this passage.</t>
  </si>
  <si>
    <t>Gala Anual J100 De The Algemeiner</t>
  </si>
  <si>
    <t>2026-03-10</t>
  </si>
  <si>
    <t>Recién, en tercer y último lugar viene para nosotros el utilitarismo político, esto es si determinada decisión nos sirve o no políticamente. Una racionalidad guiada por el cálculo, cuya máxima referencia histórica es Maquiavelo. Los políticos tradicionales tomaron siempre el camino inverso en el orden de los factores, aplicaron como primer criterio el utilitarismo político. Eso los llevó a tomar decisiones económicamente ineficientes, hipotecando el futuro de todos para asegurar el presente de su base electoral. En pos de ese fin, tomaron decisiones moralmente injustas, de todo tipo, como expropiar, cobrar impuestos altos, falsificar monedas y tantas otras formas de violar los derechos naturales a la vida, la libertad y la propiedad.</t>
  </si>
  <si>
    <t>Traditional politicians are characterized as inverting the moral-efficiency-utility hierarchy, prioritizing Machiavellian political calculation, which "mortgages the future" to secure their electoral base's present — the same intergenerational-sacrifice mechanism the codebook documents at the 2025-09-24 UN speech ("incendian el futuro para mantener caliente el presente"). The passage then lists concrete state actions (expropriation, high taxation, currency debasement) as the practical output of this inverted heuristic, framing ordinary fiscal and monetary state functions as inherently rights-violating — the organizational-form critique diagnostic of this code, distinct from a specific-elite (Anti_Casta) framing.</t>
  </si>
  <si>
    <t>Pagamos muy caro el precio de ese utilitarismo dirigencial, basado en la supuesta supremacía del cálculo político y lo que nosotros llamamos viveza criolla, por sobre nuestros valores. Pero hoy estamos de vuelta donde pertenecemos, a occidente, donde nos corresponde estar y donde jamás debimos haber salido, porque ese es nuestro origen como Nación.</t>
  </si>
  <si>
    <t>This passage indicts Argentina's political leadership class ("utilitarismo dirigencial") for historically prioritizing cynical political calculation ("viveza criolla") over values, at great national cost — continuous with the preceding sentence's "los dirigentes perdieron el norte, caímos en los brazos de todo tipo de tiranos." This is the producers/extractors logic central to Anti_Casta, applied here to the political establishment's historical conduct as a class rather than to a single named institution or elite.</t>
  </si>
  <si>
    <t>Lo que más frecuentemente hacen los políticos es expandir el gasto, una medida inmoral, económicamente ineficiente, pero que le da más poder al político en el presente porque le permite comprar voluntades al repartir la riqueza ajena a su antojo.</t>
  </si>
  <si>
    <t>Public spending expansion is framed not as a policy choice but as a mechanism by which politicians accumulate power by redistributing "riqueza ajena" (other people's wealth) to buy political loyalty — the producer/extractor binary that is Anti_Casta's diagnostic core, applied here to the generic mechanics of state spending as patronage rather than to a specific named elite.</t>
  </si>
  <si>
    <t>Nosotros invertimos ese esquema, achicamos el Estado, lo cual fue determinante para bajar la inflación; le quitamos las cadenas regulatorias al sector privado y le quitamos a la política las capacidades estatales para oprimir económicamente a sus ciudadanos. En definitiva, tal como nos comprometimos con la sociedad en 2023, les pedimos el voto no para que nos den el poder a nosotros, sino para devolverles el poder a ellos.</t>
  </si>
  <si>
    <t>"Le quitamos a la política las capacidades estatales para oprimir económicamente a sus ciudadanos" frames state capacity itself — independent of any specific policy — as an instrument of economic oppression that legitimately must be reduced ("achicamos el Estado"). This targets the organizational/coercive form of the state as such, the diagnostic feature distinguishing this code from Anti_Casta.</t>
  </si>
  <si>
    <t>"Le quitamos las cadenas regulatorias al sector privado" is the positive deregulation-benefits face of the code: removal of regulatory constraints on the private sector is credited, alongside fiscal contraction, with bringing down inflation. This is a genuinely distinct claim from the accompanying Anti_State_Anti_Bureaucratic code — it names regulation specifically as the mechanism, rather than state capacity generally — so both codes are retained per the Rule 4 stacking test.</t>
  </si>
  <si>
    <t>Hoy, nuestro sentido moral nos dice algo con absoluta claridad: Occidente está en peligro. Los valores que hicieron posible esta era de prosperidad y libertad común están siendo corroídos desde los cimientos.</t>
  </si>
  <si>
    <t>"Occidente está en peligro" is the codebook's own canonical Civilizational_Defense trigger phrase, here opening a rhetorical crescendo (continuing through "último gran custodio de nuestro legado civilizatorio") that positions Western civilization's core values as under existential erosion. Although the speech's occasion is the Iran/Israel conflict rather than a domestic policy debate, Civilizational_Defense explicitly operates at this level of abstraction regardless of the specific battlefront invoked — the master frame recurs verbatim from the Davos/Apertura corpus and is coded on its own terms here rather than withheld as a repeat.</t>
  </si>
  <si>
    <t>Todos saben que, en las últimas semanas, tuve confrontaciones abiertas con Paolo Rocca, con Javier Madanes Quintanilla y con el sector textil. Como nadie me puso una cara visible no puedo atacar de manera directa, pero sí puedo decir que los otros dos son dos empresarios prebendarios.</t>
  </si>
  <si>
    <t>FLAGSHIP — a rare instance of the corpus's "empresarios prebendarios" (rent-seeking businessmen) framing being applied by name to specific, identifiable real-world business figures (Paolo Rocca of Techint/Ternium; Javier Madanes Quintanilla of Aluar) rather than to an abstract or unnamed category, escalating the corpus's established anti-crony-capitalism vocabulary into a direct, publicly attributable accusation delivered on foreign soil at an investor conference.</t>
  </si>
  <si>
    <t>Inauguracion Del Argentina Week 2026</t>
  </si>
  <si>
    <t>Es decir, esto no es un juego de niños. Pero la realidad es que lo que va a ocurrir es que las personas, ahora van a poder ahorrar trescientos y lo van a poder gastar en el resto de los bienes de la economía. Por lo tanto, los empleos que se destruyen en este sector, se van a crear en otro sector, que además está en condiciones de competir internacionalmente. Por ende, ustedes van a tener una mejor asignación de recursos, una mayor eficiencia, van a tener mayores salarios y menores precios. O sea, una mejora sustancial en la calidad de vida. Entonces, si es tan evidente ¿por qué, entonces, hay un político que defiende esto? Es obvio: es corrupción. Si la mejor cuenta es que la eficiencia fluya y que básicamente estén bien 48 millones de argentinos; entonces la pregunta claramente… si no lo hace, siendo que le convendría aun políticamente, ¿por qué sigue sosteniendo ese sistema? Porque sostienen la corrupción. Los Kirchner cuando insultaban a Rocca no lo insultaban porque lo odiaran per se, sino que lo insultaban porque estaban negociando la coima. Por eso se pudo pagar 4.000 dólares la tonelada de tubo de acero, y hoy cuesta 1400. Cuando yo me peleo, peleo por el bienestar de los argentinos. Esa es la diferencia.</t>
  </si>
  <si>
    <t>extends the prior code with a specific corruption allegation — that Kirchnerista public criticism of the same named businessman (Rocca) was itself a negotiating tactic for bribes rather than genuine opposition — reinforcing the "empresarios prebendarios y políticos corruptos son cómplices" (crony businessmen and corrupt politicians are accomplices) framing with a concrete, attributable historical claim.</t>
  </si>
  <si>
    <t>Probablemente el fraude más grande de la historia de la humanidad, sea el socialismo. Supongan que ustedes tienen 5 personas: una persona tiene 500 dólares y los 4 restantes tiene 0; entonces viene el político, les roba esos 400 dólares y les da 100 a cada uno de los restantes, y ahora todos quedan con 100 dólares cada uno; eso se llama justicia social. Evidentemente, si ustedes van a una elección después de hacer eso van a ganar con el 80 por ciento de los votos. Sin embargo, esa política – que desde el punto de vista del utilitarismo político es fabulosa porque les permite ganar una elección- permítanme escapar del protocolo y decir lo que pienso, pero esa política es una mierda. Y digo esto, porque es profundamente injusta; les puede servir para ganar votos, pero es injusta, porque implica tratar desigualmente frente a la ley a cada una de estas 5 personas. Ustedes eligieron quiénes eran los ganadores y quiénes los perdedores por una mera cuestión electoral.</t>
  </si>
  <si>
    <t>a fresh, concrete numerical illustration of the corpus's established justicia-social-as-theft argument — a simple five-person redistribution arithmetic example — used as a pedagogical device not previously seen in this exact form, though the underlying claim is extensively established elsewhere.</t>
  </si>
  <si>
    <t>Yeshiva University</t>
  </si>
  <si>
    <t>Y en ese sentido, cuando nosotros tenemos que plantearnos una política, lo hacemos desde tres dimensiones. Primero, y no negociable de ninguna manera, están los valores éticos y morales que hicieron grande a Occidente. Y entonces la pregunta es, ¿de qué hablamos cuando hablamos de Occidente? Occidente es la filosofía griega. Occidente es el derecho romano. Occidente es la rectitud de los estoicos. Por eso también me gusta recordar aquellos deseos que le pidió el Rey Salomón cuando hereda el trono. Y lo que pide al creador es sabiduría para poder distinguir el bien del mal. Coraje para elegir el bien. Templanza para mantenerse en el camino recto y justicia para actuar de manera justa. Y obviamente, cuando uno habla de lo justo, asociado a ello también están lo que son nuestros valores. Y les guste o no, los valores de Occidente son los valores judeocristianos. En ese sentido, la realidad es que si cumpliéramos con los diez mandamientos, si entendiéramos cuáles son los pecados capitales, y el no hacer del judaísmo, tengo plena seguridad que la basura inmunda del socialismo saldría de la faz de la tierra para que todos podamos prosperar.</t>
  </si>
  <si>
    <t>Milei opens the speech's normative core by grounding "Occidente" explicitly in Greek philosophy, Roman law, and Judeo-Christian values, then frames adherence to that heritage as the precondition for expelling "la basura inmunda del socialismo... de la faz de la tierra." This is the master civilizational frame — not a policy critique but a claim about the survival and moral integrity of Western civilization itself — and it directly sets up the speech's title thesis ("la moral como política de Estado"). This passage recaps the civilizational framing established at Davos 2024/2025, but functions here as this speech's own foundational move and is coded on that basis rather than withheld as a repeat.</t>
  </si>
  <si>
    <t>Madrid Economic Forum 2026</t>
  </si>
  <si>
    <t>2026-03-14</t>
  </si>
  <si>
    <t>A su vez, la segunda línea de análisis, y es la que siempre estuvo en disputa con la política, pero que para nosotros representa algo de segundo orden. De vuelta, el primer orden de mérito lo tiene la ética y la moral. En el segundo lugar es donde aparece la eficiencia económica. Y ahí también es muy interesante la discusión en términos estáticos, la idea de la mano invisible y de la optimalidad, la eficiencia estática. Y es muy interesante, y yo aquí voy a reproducir tal cual una prueba que hace Hans-Hermann Hoppe, en un libro maravilloso, que se llama: "La ética de la propiedad privada". Donde la forma en la cual se encara esa prueba es determinante para bloquearle a los socialistas de todo tipo y pelaje cuando quieren meter la mano adentro del mercado. Naturalmente, cuando entremos en el terreno de la dinámica, demás está decir que creo que voy a mencionar a uno de nuestros grandes líderes interplanetarios, la lucha por la libertad, el gran profesor Jesús Huerta de Soto.</t>
  </si>
  <si>
    <t>The Hoppe property-rights proof is explicitly introduced as a tool "para bloquearle a los socialistas de todo tipo y pelaje cuando quieren meter la mano adentro del mercado" — the theoretical apparatus is framed instrumentally, as a device to foreclose any state claim on market activity a priori. This is the canonical Market_Primacy move: market-based property theory is deployed not merely to describe efficiency but to categorically deny any legitimate space for state intervention.</t>
  </si>
  <si>
    <t>Por eso, nunca debemos olvidar las palabras de Thomas Sowell sobre el socialismo, al cual le reconocía un mérito, y es que suena muy lindo. El problema es que siempre termina mal, horrorosamente mal. Créanme que si ustedes no estuvieran, aún con todos los problemas de montañas regulatorias tremendas que imposibilitan el crecimiento en Europa, créanme que si tuvieran Banco Central de España, no con Banco Central Europeo, con el impresentable que tienen a cargo del poder, tendrían un desastre peor que el que tiene Argentina.</t>
  </si>
  <si>
    <t>Europe is deployed as the cautionary tale of regulatory overreach ("montañas regulatorias tremendas que imposibilitan el crecimiento"), the positive-face deregulation argument named explicitly in the codebook's recognize-by list. The passage doesn't just criticize a specific rule — it frames the EU's entire regulatory architecture as a growth-killing burden Spain is fortunate to be spared a national-level version of.</t>
  </si>
  <si>
    <t>De hecho, son todas sucursales o franquicias de la misma basura inmunda en todos lados, que es el socialismo del siglo XXI, pero que afortunadamente, gracias al coraje y el valor de Donald Trump, se está cayendo a pedazos. Y como dijo recién mi querido gran amigo, hace minutos, Daniel Lacalle: no está lejos soñar con una Cuba libre. Por esto, y más allá de esto, hoy más que nunca, frente a la degradación ética y moral que atraviesa Occidente, fruto de haber abrazado la nueva agenda socialista, es necesario volver a impulsar las ideas de la libertad.</t>
  </si>
  <si>
    <t>"La degradación ética y moral que atraviesa Occidente" restates the civilizational-crisis frame at existential stakes, paired with Trump as civilizational vanguard and a "Cuba libre" aspiration — matching the codebook's Civilizational_Defense recognize-by criteria (Trump-Milei alignment, moral-Occidental-as-political-program). Distinct from the Anti_Socialism_Anti_Collectivism code applied later to specific socialism-critique passages: here the register is explicitly civilizational/existential rather than a discrete ideological critique.</t>
  </si>
  <si>
    <t>En función de eso se reconocen dos derechos naturales; los derechos a la vida y a la libertad. El hombre nace vivo y nace libre y tiene derecho a conservar esos atributos de la naturaleza. Además, tiene derecho que a sus semejantes se lo respete, en orden de buscar su propia felicidad que es el fin al que tiende todo hombre. En paralelo tenemos los derechos adquiridos. Los cuales no son naturales ni tampoco son inherentes al ser humano, sino que los mismos son ganados por merecimiento u obtenido por regalos. De este modo, el derecho fundamental a la libertad se deriva del derecho adquirido que es la propiedad privada. Y eso se manifiesta en que podamos adquirir un bien con el fruto de nuestro trabajo o podemos recibir un bien que libremente nos donen o nos hereden. No que los robe el Estado con la maldita justicia social. Hay algo que deberían entender las ratas socialistas, la caridad no es a punta de pistola, y además como decía Rothbard es increíble toda lo caritativo que se puede ser cuando el bolsillo no es el suyo sino es el bolsillo ajeno.</t>
  </si>
  <si>
    <t>"Que los robe el Estado con la maldita justicia social" and "la caridad no es a punta de pistola" cast redistribution as coercive theft carried out by the state apparatus, with "las ratas socialistas" as the vermin-metaphor personification of the political actors behind it. This targets the organizational/coercive form of state action on redistribution, distinct from the casta-elite critique applied elsewhere in the speech.</t>
  </si>
  <si>
    <t>Así, dado el entramado institucional emergente --el cual además hemos probado que el mismo es justo-- ahora es momento probar que, además, es eficiente. El primer planteo al respecto fue realizado por Adam Smith, quien utilizando el argumento de la mano invisible postulaba que cada individuo persiguiendo su propio interés llevaba al máximo bienestar social. Más tarde, los neoclásicos, guiados por una idea de la mano invisible basada en el óptimo de Pareto, lograron derivar el primer axioma de la economía del bienestar. Esto es, todo equilibrio competitivo es óptimo de Pareto. Sin embargo, esto implica abrazar una estructura matemática que deja abierta las puertas a la intervención estatal, bajo las buenas intenciones de corregir los fallos de mercado; los cuales, desde mi punto de vista, no existen.</t>
  </si>
  <si>
    <t>"Los fallos de mercado... desde mi punto de vista, no existen" is the categorical negative-face move named explicitly in the codebook's recognize-by list ("market failure is an oxymoron"). Neoclassical welfare economics is framed as a mathematical construct whose sole practical function is to open the door to state intervention — the theoretical foundation for any regulatory response (including environmental/externality-based regulation) is denied outright.</t>
  </si>
  <si>
    <t>Esencialmente, el problema de los neoclásicos es que construyen la derivación de la optimalidad utilizando toda una estructura topológica, y que cuando la vida real no mapea con el modelo cometen el error de decir que eso es un fallo de mercado. Cuando ustedes, en la vida real, el modelo no mapea con la realidad, tiran el modelo; no se enojan y revientan a patadas la realidad.</t>
  </si>
  <si>
    <t>This passage attacks neoclassical economics at the institutional-epistemic level — not that specific findings are wrong, but that the entire "market failure" framework is a mathematical artifact mistaken for a description of reality by the economics profession itself. This mirrors the codebook's "amparados en un marco teórico equivocado" pattern (2024-01-17 Davos): the target is the theoretical apparatus underlying expert consensus, not a single empirical claim, which is what distinguishes this from Climate_Skepticism_or_Dismissal.</t>
  </si>
  <si>
    <t>Por eso, la prueba que ha desarrollado Hans-Hermann Hoppe --a pesar de todo lo que me insulta y lo poco que me quiere--, basado en los derechos de propiedad, en línea con el principio de apropiación originaria de Locke, junto al principio de no agresión, no solo resulta satisfactoria en probar la optimalidad, sino que además no deja lugar a la intervención del Estado. Por eso, voy a reproducir tal cual las palabras de Hoppe; son tan brillantes que, si las tocara, las arruinaría. Es decir, hasta es eficiente la definición que utiliza, lo cual es el paroxismo de la eficiencia, y que vale la pena reconocerle el profesor Hans-Hermann Hoppe. Señala que cualquier desviación de este conjunto de reglas implica, por definición, una redistribución de títulos de propiedad, y por lo tanto de los ingresos, desde los usuarios productores y contratantes de bienes hacia los no usuarios productores y no contratantes. Es decir, hablando mal y pronto, desde los que producimos y nos ganamos el pan con el sudor de la frente, y los parásitos del Estado, que se ganan el pan con el sudor de la frente ajena.</t>
  </si>
  <si>
    <t>"Los parásitos del Estado, que se ganan el pan con el sudor de la frente ajena" is the parasite/producer metaphor the codebook names explicitly as a recognize-by criterion for this code. Any deviation from strict property rights is recast, via Hoppe, as a transfer from productive citizens to a parasitic state apparatus — the organizational form of the state itself is the target, not a specific political elite (which would be Anti_Casta).</t>
  </si>
  <si>
    <t>Como si todo esto fuera poco, tengo una crítica adicional al segundo teorema del bienestar. Esta es más divertida. El segundo teorema de la economía del bienestar, inspirado en la obra de John Stuart Mill, en un momento de debilidad del pobre John Stuart, bastante solterón, ya cansado de estar solo, y frente a querer quedar bien con la viuda de un señor, que vió una oportunidad de mercado, porque quedó viuda… Entonces, pobre mujer, no era perfecta, era socialista. Entonces el pobre John Stuart trató de quedar bien con ella y derivó algo que era que la eficiencia era independiente de la distribución. Es decir, que el derecho de propiedad no importaba nada, vendría a ser algo así; y la realidad, si la producción es independiente de la distribución, eso significaría, por ejemplo, que no habría diferencia entre capitalismo y comunismo. Y mal que les duela a los zurdos el muro se cayó en el año 89 y aplastó a los zurdos, y no al capitalismo.</t>
  </si>
  <si>
    <t>The Berlin Wall's fall is invoked as historical vindication that "el muro... aplastó a los zurdos, y no al capitalismo" — collapsing the Mill welfare-theorem critique into a broader triumphalist framing of socialism as historically discredited. This is a discrete rhetorical move (historical-verdict framing) distinct from the abstract property-theory argument in the surrounding paragraphs.</t>
  </si>
  <si>
    <t>¿O acaso nunca vieron la foto aérea de Corea del Norte y Corea del sur? En Corea del Sur hay luz; en Corea del Norte, oscuridad. ¿O acaso ustedes ven gente en Miami subiéndose a tiburones para irse a la isla-cárcel de Cuba?</t>
  </si>
  <si>
    <t>The North/South Korea satellite-image contrast and the inverted Cuba-migration image are a second, visually distinct illustration of the same socialism-fails thesis — a stock rhetorical pairing in Milei's repertoire, coded here as its own discrete instance rather than folded into the preceding Berlin Wall passage.</t>
  </si>
  <si>
    <t>Yo recuerdo el caso de un amigo que se fue de vacaciones a Cuba, y cuando llega a la playa viene una persona y le dice: ¿Me das un dólar? ¿Me das un dólar? ¿Me das un dólar? Y llega un momento en que ¿Qué hace? Le da el dólar. Y va y se pone al lado de otro ¿Me das un dólar? Cuando llega el otro día, pasa lo mismo. ¿Saben por qué? Porque de esa manera terminaba ganando más plata en un día que lo que juntaba en un mes, en la maravilla socialista. Por lo tanto, los zurdos roñosos están todo el tiempo generando retóricas y viendo cómo robarle y comerle el bolsillo a otros. ¿Por qué? Porque ellos no producen nada; y lo único que pueden producir son palabras para que el resto se sientan culposos, y meterle la mano en el bolsillo. Por lo tanto, les dejo una recomendación, que nosotros le decimos a la filial argentina del socialismo del siglo XXI, que es el kirchnerismo, o sea, los kukas: No se dejen psicopatear por los zurdos.</t>
  </si>
  <si>
    <t>The Cuba begging anecdote culminates in an explicit domestic application — "la filial argentina del socialismo del siglo XXI, que es el kirchnerismo" — tying the international socialism-fails narrative directly to Argentina's opposition. Naming kirchnerismo as the local franchise of "socialismo del siglo XXI" is a distinct rhetorical move (domestic political targeting) from the two preceding international illustrations, warranting its own code.</t>
  </si>
  <si>
    <t>Sin embargo, a diferencia de los otros mecanismos de asistencia, que tanto le gustan a socialistas y fascistas --que son también socialistas, pero que descubrieron que la utopía comunista no funcionaba--, en lugar de estar regalándole el pescado a la gente y esclavizarlo, nosotros le estamos enseñando a pescar, para que en algún momento tengan una fábrica de pescados.</t>
  </si>
  <si>
    <t>Welfare/handout mechanisms are recast as a socialist tool of "esclavización" ("regalándole el pescado... y esclavizarlo"), with fascism folded in as a variant of socialism ("que son también socialistas"). This broadens the anti-collectivist target beyond the usual left/kirchnerista frame to include fascism explicitly, a move worth tracking distinctly from the Berlin Wall/Korea/Cuba illustrations above.</t>
  </si>
  <si>
    <t>Además, como señala Roy Cordato, el marco institucional adecuado es el que favorezca el descubrimiento empresarial y la coordinación. Por lo que, en este marco, la política económica debería orientarse a identificar y remover todas las trabas artificiales que dificultan el proceso empresarial y los intercambios voluntarios. De vuelta, podría sonar a lindas palabras, a lindos eslogan; pero nosotros, desde el Ministerio de Desregulación que maneja 'El Coloso' Federico Sturzenegger, en dos años hemos quitado 15.000 regulaciones. 15.000 reformas estructurales. ¡Vaya que sí se puede!</t>
  </si>
  <si>
    <t>The Roy Cordato citation frames "remover todas las trabas artificiales" as the correct institutional orientation, immediately cashed out in the concrete figure of "15.000 regulaciones" removed by the Ministerio de Desregulación — the positive/deregulation-benefits face of the code, explicitly matching the codebook's "exterminar regulaciones" recognize-by criterion, here presented as an accomplished record rather than an aspiration.</t>
  </si>
  <si>
    <t>El segundo caso es: ¿cómo se lleva a cabo el saneamiento del Banco Central? El manejo de la deuda para evitar una hiperinflación. Quiero, digamos, tomarme un segundo, porque el gran titán que ha llevado a cabo esta tarea, junto con el Presidente del Banco Central, es quien fuera mi secretario de Finanzas y hoy Canciller, el gigante de Pablo Quirno, por favor, de pie. Ese señor, junto a Bausili, evitaron la hiperinflación. El tercer elemento analítico es la salida del cepo. El cuarto es la desregulación. Cinco, la apertura. Y seis, la lucha contra la inflación. Son todas políticas que nosotros hemos llevado a cabo y que lo voy a dejar, como no le puedo estar preguntando a todos, no puedo estar haciéndolos gritar, porque puede ser que yo tenga un sesgo del cual quiero hablar. Pero mejor dejémoslo ahí. Traje un dado. ¿Me alcanzan el dado, por favor? El señor que me trajo el dado es mi jefe de protocolo. Le decimos Messi, porque tratar de mantenerme en el protocolo a mí es una tarea titánica. Dicen que un día lo vieron a Darío al trabajar y pasó Cíclope y dijo: "No, dejá, yo paso de largo". Es demasiado interesante, digamos, mi mitología. ¿Alguien quiere venir a tirar el dado? Que pase el que quiera. Dale, dale, vení. Subí como puedas. Sí, claro. Claro, y lo que salga. Y sí, digo. ¿Cómo que no? ¿Si, cuántos dados? Sí que lo dije. ¿Cómo que no? Dije: ajuste fiscal, saneamiento del Banco Central, deuda e inflación, salida del cepo, desregulación, apertura y lucha contra la inflación. ¿Cómo no? Cinco. Cinco. Vaya que el orden espontáneo trabaja y que la vida es caprichosa. Juro que el dado no está cargado, porque nos acaba de tocar apertura. Hace por lo menos un par de semanas que en Argentina venimos discutiendo sobre la apertura. Y eso implica tener que enfrentar a toda la estructura corporativa argentina: desde empresarios, prebendarios, periodistas ensobrados y políticos corruptos. Entonces, no tengo duda: cuanto más socialismo, más corrupción tenés. En primer lugar voy a ir sobre lo evidente, sobre los datos, que derraman los ojos a cualquiera, para que tomen claro que lo que se está defendiendo en Argentina, bajo la pátina de la industria nacional y el nacionalismo berreta de pacotilla, no es ni más ni menos la posibilidad que tienen los empresarios corruptos para seguir cazando en el zoológico.</t>
  </si>
  <si>
    <t>"Empresarios, prebendarios, periodistas ensobrados y políticos corruptos" — an explicit extractive-triad framing — is deployed to delegitimize opposition to trade liberalization as the self-interested defense of a corrupt establishment rather than genuine industrial policy. "Cazando en el zoológico" (canned hunting) is the parasite/producer distinction the codebook identifies as diagnostic of Anti_Casta, applied here to the corporate-political nexus rather than to state bureaucrats specifically.</t>
  </si>
  <si>
    <t>Y además, este señor tiene una empresa de aluminio que se llama Aluard. Y cada vez que negociaba una protección, ya sea para el aluminio, o ya sea para los neumáticos, lo hacía extorsionando gobiernos desde hace más de 20 años, con que iba a tirar 920 trabajadores a la calle. Se imaginan que nosotros no hemos sido un gobierno que haya escapado a recibir esa presión. Pero se imaginarán cuál habrá sido nuestra respuesta, porque el día anterior a tratarse la ley de modernización laboral, este extorsionador prebendario tiró a la calle las 920 personas, familias, para generarnos un desastre en la calle el día que queríamos sacar la ley de modernización laboral. Porque claramente, no aceptamos. Entonces, esto es interesante.</t>
  </si>
  <si>
    <t>The FATE/Madanes Quintanilla passage names a specific businessman and details a two-decade pattern of extracting tariff protection through threats to workers — the flagship Anti_Casta named-businessman attack already coded at 2026-03-10 (Argentina Week), delivered four days earlier. It is coded again here on its own terms (per Rule 4/the corrected recap methodology) because it functions as an independent, self-contained rhetorical unit in this speech, now with additional narrative detail (the specific $100-vs-$400 tire pricing, the Aluar extortion threat) not present in the shorter 2026-03-10 version.</t>
  </si>
  <si>
    <t>Entonces, ya vimos que esta política de abrir es cierto que beneficia a 48 millones y solamente perjudica a 1.000, pero eso no es motivo para avalarla, porque tenemos que determinar, la segunda etapa es si es eficiente. Y la realidad es que la apertura también es eficiente, porque es cierto que el día que ustedes abran la economía y puedan comprar los neumáticos a 100 dólares, esta empresa que lo hacía a 400 va a ir a la quiebra. Sin embargo, eso implica que la persona que estaba pagando 400 ahora paga 100 y le quedan 300 disponibles para gastar en el resto de la economía, en actividades que son más productivas. Por lo tanto, va a haber reasignación de trabajo de sectores menos productivos a más productivos. Por lo tanto, van a tener mayores salarios, van a tener precio más bajo, por ende van a tener más consumo presente, más consumo futuro, por ende más bienestar.</t>
  </si>
  <si>
    <t>The tariff-removal thought experiment — reallocating resources from a protected, inefficient sector to "actividades que son más productivas" — is the applied efficiency argument for market opening: state-granted protection is framed as strictly welfare-reducing relative to the unregulated market outcome, with no space left for a legitimate protective role for the state.</t>
  </si>
  <si>
    <t>Porque cuando el burócrata levanta la pared para que no pueda competir, además, se da cuenta que puede negociar con el empresario para mantener esa restricción. No me vengan a llorar con que ya existían, porque si no, saquemos todas de golpe, a ver qué opinan. Entonces, y tampoco me vengan a decir que no tienen tiempo, porque está claro que desde hace más de 10 años estoy en los medios de comunicación diciendo qué hay que hacer, cómo se hace, y lo estoy haciendo.</t>
  </si>
  <si>
    <t>"El burócrata levanta la pared... y se da cuenta que puede negociar con el empresario para mantener esa restricción" names the collusion mechanism explicitly: a protective barrier isn't a policy error but a rent-generating arrangement between a bureaucrat and a specific business beneficiary. This is the extractive-class mechanism itself (the "how" behind Anti_Casta), distinct from the earlier passage naming the corporate-political triad as a class.</t>
  </si>
  <si>
    <t>Sin embargo, aun cuando pasara todo esto, tenemos que probar que lo que estamos haciendo es justo, porque ya dijimos que, por más que sea eficiente, por más que sea utilitaristamente positivo, en lo político hay que probar que es justo. Y la pregunta es muy simple. ¿Alguien está en contra de la libertad? ¿Alguien está a favor de robar? Por lo tanto, déjenme decirles que esta política además es justa. Porque cuando a ustedes le construyen una barrera para no poder comercializar, no les están permitiendo tener la libertad de hacer fruto de su trabajo. Por lo tanto, le están cercenando la libertad. Y como además lo hacen con el aparato coactivo del Estado para cobrarle algo cuatro veces más caro, además es un robo. Por lo tanto, nuestra política no solo es utilitarista porque favorece a la gran mayoría de los argentinos, no solo es eficiente, sino que además defendemos esta política porque es justa.</t>
  </si>
  <si>
    <t>Tariff enforcement is described as exercised through "el aparato coactivo del Estado" — the coercive apparatus of the state itself — to "cobrarle algo cuatro veces más caro," explicitly equated with theft. This targets the state's enforcement mechanism as inherently coercive, distinct from the collusion-mechanism and named-businessman codes applied to the surrounding passages, which target the political-corporate class rather than the state's coercive form.</t>
  </si>
  <si>
    <t>(Fuera de micrófono) Exactamente. Ese es uno de ellos. Pero es interesante esto porque, por ejemplo, otro empresario al que yo cuestiono es al señor Paolo Rocca. Es interesante porque mientras que los Kirchner lo insultaban, después terminaban pagando la tonelada de tubo de acero cuatro mil dólares cuando hoy valen mil cuatrocientos. Ellos sí hacían eso, nosotros no lo hicimos. Por ende, me estoy bancando toda la carnicería mediática, que responden a esos empresaurios, por luchar por el bienestar de los argentinos. Es decir, aquel que no negocia con la corrupción es atacado y perseguido por los propios corruptos corporativistas del sistema. Ya sea empresaurios, periodistas y políticos ladrones.</t>
  </si>
  <si>
    <t>A second named-businessman attack (Paolo Rocca), distinct from the FATE/Madanes Quintanilla instance — different individual, different industry (steel tubing), different specific price claim ($4,000 vs. $1,400/ton) — closing with the same corrupt-triad formulation ("empresaurios, periodistas y políticos ladrones") used earlier. Coded as its own instance rather than merged with the FATE passage.</t>
  </si>
  <si>
    <t>Por último, quiero darles una reflexión… digamos, voy a pasar porque prefiero… (Fuera de micrófono) ¡Gracias! lo que quiero señalar es que hace tiempo Occidente, por alguna extraña razón, comenzó a darle la espalda a las ideas de la libertad y es por ello que en fue en mi exposición en Davos, en 2024, había afirmado que Occidente está en peligro, fruto de haber abrazado dosis creciente de socialismo en su versión más hipócrita que es el "Wokismo". Creo que la conocen y conocen la dinámica de camino de servidumbre que los pone cada vez más violentos.</t>
  </si>
  <si>
    <t>"Occidente está en peligro" is restated as this speech's own closing diagnosis, not merely reported as a past Davos claim — Milei re-asserts the civilizational-threat frame in the present tense before the Madrid audience, naming "Wokismo" as the vector. Coded as Civilizational_Defense (existential stakes for Western civilization) rather than Woke_Bundling, since no specific adjacent issues (gender, DEI, environmentalism) are enumerated alongside "Wokismo" here — the move is diagnostic/civilizational, not an enumerated bundling.</t>
  </si>
  <si>
    <t>A su vez, en aquel foro, como dije antes, en el 2025 expliqué los parásitos mentales que sembró la izquierda en la humanidad. Sin embargo, y lo dije en Davos y lo repito ahora, 2026 es el año en el que les traigo buenas noticias. El mundo ha comenzado a despertar. La mejor prueba de eso es lo que está pasando en América con el renacer de las ideas de la libertad. Por lo tanto, América será el faro de luz que vuelva a encender a todo Occidente y, con eso, pagará su deuda civilizatoria con nuestra muestra de gratitud hacia sus bases en la filosofía griega, en el derecho romano, en la rectitud de los estoicos y los valores judeocristianos. Tenemos por delante un futuro mejor, pero ese mejor futuro existe solo si volvemos a las raíces de Occidente, solo volviendo a las ideas de la libertad.</t>
  </si>
  <si>
    <t>The "América será el faro de luz que vuelva a encender a todo Occidente" passage is the resolution half of the civilizational arc opened above — matching the codebook's "America-as-beacon framing" recognize-by criterion explicitly — and closes the speech by tying salvation of the West back to the same Greek/Roman/Judeo-Christian triad invoked in the opening (para. 6). Coded separately from the preceding "Occidente está en peligro" passage because it performs the distinct resolution/redemption move rather than the diagnosis.</t>
  </si>
  <si>
    <t>Pero, al margen de eso, ese debate aun así sigue siendo incompleto y por eso la izquierda se pudo arrogar la bandera de la moral y ser ellos los altruistas. A pesar de sus enormes fracasos, lo han hecho. Bueno, mi propuesta es esa bandera, ellos se la llevaron ilegítimamente, así que nosotros estamos acá para robarles esa bandera y volver a traer las banderas a quien corresponde, que es al liberalismo o al capitalismo de libre empresa.</t>
  </si>
  <si>
    <t>the recurring 2026 "steal back the moral flag from the socialists" framing (previously established at Davos and Madrid) — positions socialism/the left as having illegitimately monopolized moral/altruistic language despite its record of failure, and proposes reclaiming that rhetorical ground for market liberalism. Coded once here as the clearest standalone articulation in this batch; the underlying claim is a repeat but this passage is the fullest self-contained statement of it in this speech.</t>
  </si>
  <si>
    <t>2026-03-16</t>
  </si>
  <si>
    <t>Bueno, esto que parece una cuestión estética, ver si las curvas de indiferencia tienen forma parecida a una L o son una herradura, no es trivial en la vida real. Porque cuando ustedes tienen individuos siniestros, nefastos, envidiosos, que es la base de los socialistas, son envidiosos, resentidos, básicamente son personas que prefieren estar mal, con tal de verlos a ustedes peor. Y cuando pasa eso, esos tipos son capaces de destruir el sistema con tal de verlos peor a ustedes. Cuando ustedes pasan eso, el sistema no tiene funciones de exceso de demanda, nos quedamos sin análisis de equilibrio general. No es un chiste tener - del otro lado - a personas que están dispuestos a romper todo con tal de verlos mal. Eso es el kirchnerismo, están dispuestos a romper todo y hacer cualquier tipo de barbaridad con tal de verlos mal a ustedes porque ellos no están en el poder.</t>
  </si>
  <si>
    <t>extends the corpus's established "envy-driven" characterization of Kirchnerismo into an explicit claim that this political faction is willing to destroy the economic system itself out of resentment at not holding power — an escalation from policy critique to a claim of destructive political-psychological motive attributed to the opposing political class.</t>
  </si>
  <si>
    <t>Entonces tenemos sectores: sí, tenemos a la minería. En la minería podemos hacer un montón de cosas, tenemos cobre, tenemos litio, tenemos oro, tenemos minerales raros, tierras raras, cosas fabulosas. Chile - con la misma cordillera - genera 30 veces más que lo que generamos nosotros con la misma cordillera. ¿Todo por qué? Porque estamos abrazados a los ambientalistas idiotas extremos. Por poco - si ustedes les hicieran caso a los ambientalistas - no podrían tocar nada en la tierra, porque seguramente causaría daño. Si ustedes llevan esa hipótesis al extremo ¿saben qué pasa? Se mueren. Porque si ustedes para consumir algo que está en la tierra necesitan la autorización de la generación que viene atrás, la que le sigue, la que le sigue, la que le sigue. Porque no es solo la que sigue, porque la que sigue tiene que recibir la autorización de la que le sigue a esa, y así sucesivamente. Con lo cual tienen que ir hasta la última generación de la historia. Bueno, les voy a decir algo: si siguen con ese patrón pelotudo lo que va a pasar es que cuando ustedes vean algo no se lo van a poder apropiar, porque van a necesitar la autorización del que viene atrás. Con esa idea ustedes no van a poder comer. ¿Saben qué? Se van a morir ustedes y no va a haber generación futura, ni dos, ni tres, ni cuatro. Por favor, pensemos en términos dinámicos, porque si no pensamos en términos dinámicos y nos dejamos llevar por los imbéciles de los socialistas nos vamos a autodestruir como civilización. Entonces, tratemos de pensar con la cabeza.</t>
  </si>
  <si>
    <t>FLAGSHIP, HIGH PRIORITY — the clearest instance in the corpus of environmentalism named explicitly ("ambientalistas idiotas extremos") and blamed directly for Argentina's comparatively low mining output relative to Chile's on the same mountain range. Milei extends Locke's appropriation/Hoppe's intergenerational-consent reductio (previously applied in the abstract at 2026-01-21/03-01) directly onto environmental regulation of resource extraction, concluding that heeding environmentalists would be civilizationally self-destructive ("nos vamos a autodestruir como civilización"). This is a direct application of D1.1's philosophical apparatus to delegitimize environmental governance of a specific extractive sector.</t>
  </si>
  <si>
    <t>El otro sector es petróleo y gas. Argentina está en condiciones de convertirse en una potencia energética. ¿Por qué creen que están pensando y van a hacer inversiones en Datacenters? Porque requiere mucha energía y requieren que sea barata y haga frío, qué mejor que el sur nuestro. Entonces dejemos de pensar de modo precámbrico. Porque no estamos proponiendo negar los impactos ambientales, lo que estamos diciendo es: pero hagamos cosas que tengan sentido, porque no sea cosa que, con esto de cuidar, a la Tierra, con el ambientalismo idiota, entonces no hay que destruir el ser humano porque rompe el planeta. ¿Y para qué está? ¿Para qué nos dio el Creador el planeta?, ¿para qué, para contemplarlo? Ni que hablar lo que podemos aportar en energía nuclear, o lo que es claramente el uranio, lo que es el sector agropecuario argentino. O sea, si no tuviéramos regulaciones idiotas sobre las semillas, podríamos producir por lo menos el doble de lo que producimos. “No, pero acá esta semilla no se puede usar, esto…”, todo es igual. Todas regulaciones cavernícolas.</t>
  </si>
  <si>
    <t>FLAGSHIP, HIGH PRIORITY — a second, distinct instance in the same passage: applied to oil/gas/data-center energy development rather than mining, and escalated with an explicit theological dominion argument (the Creator gave humanity the planet to use, not merely "contemplate"). The disclaimer ("no estamos proponiendo negar los impactos ambientales") functions rhetorically to pre-empt criticism while the surrounding framing ("ambientalismo idiota," "no hay que destruir el ser humano porque rompe el planeta") dismisses environmental-impact concern as an inversion of proper human/nature priority. Stacked as a second code (distinct sector, distinct theological argument) rather than merged with the mining passage above.</t>
  </si>
  <si>
    <t>the "¿para qué nos dio el Creador el planeta? ¿para contemplarlo?" rhetorical question grounds the pro-extraction argument explicitly in a Judeo-Christian dominion-over-nature theology, consistent with the corpus's established Occidente/valores-judeocristianos framework — here applied for the first time directly to environmental/resource-extraction policy rather than to socialism or cultural issues. Stacked with the D1.1 code above as a genuinely distinct rhetorical move (theological justification, not just dismissal of ideological framing).</t>
  </si>
  <si>
    <t>agricultural seed-use regulation is dismissed as "cavernícola" (caveman-like/primitive), extending the established regulation-as-backwardness framing to the agro sector specifically, immediately adjacent to the mining/oil-gas environmentalist passages above.</t>
  </si>
  <si>
    <t>Y Adam Smith, en una crítica que hace justamente, a un autor le dice, bueno, vos les trazo un paralelo entre Mandeville y Rousseau. Y en realidad lo que está en fondo en el sistema de la mano invisible es que cada uno, guiado por su propio interés, conduce al bienestar general. Y eso, cuando uno lo pone en términos del principio de apropiación de Locke, el principio de no agresión, el respeto a la vida, a la libertad y a la propiedad, y ahí cierra todo y el sistema funciona, y genera ese resultado. Es maravilloso, y esa es la idea que tenía de sistema.</t>
  </si>
  <si>
    <t>a distinctive instance in which the corpus's Anti_Socialism_Anti_Collectivism framing is retroactively projected onto an 18th-century philosophical figure (Rousseau) rather than a contemporary political target — Rousseau's "noble savage"/egalitarian critique of civilization is characterized as a proto-socialist position leading to "salvajismo," illustrating how the analytical category is applied ahistorically to construct a continuous ideological lineage between historical collectivism and modern Kirchnerismo/socialism.</t>
  </si>
  <si>
    <t>Homenaje A Adam Smith</t>
  </si>
  <si>
    <t>2026-03-18</t>
  </si>
  <si>
    <t>Entonces, quiere decir que hay un rol importante para el ahorro. Bueno, esto no es trivial, porque del otro lado tenemos a los cavernícolas, tenemos a los mandriles, tenemos a los keynesianos que ¿qué es lo que quieren hacer todo el tiempo? hay que fomentar el consumo, el consumo, el consumo, el consumo, el consumo, el consumo, es multiplicador, es multiplicador, es multiplicador y la realidad es que, si ustedes reducen el ahorro, el ahorro es consumo futuro. O sea, cuando ustedes ahorran, el ahorro financia la inversión y eso es lo que genera que aumente el producto per cápita. Porque aumenta el stock de capital per cápita y, por ende, el producto per cápita. Por lo tanto, fomentar el consumo en detrimento del ahorro lo que hace es reventar el crecimiento económico.</t>
  </si>
  <si>
    <t>an entire recognized school of macroeconomic thought (Keynesian economists) is dismissed via dehumanizing epithets ("cavernícolas," "mandriles"/baboons) rather than substantive engagement with demand-management theory, before pivoting to a savings-primacy counter-argument. This is a rare instance of the corpus's expert-delegitimization framing being aimed at a specific, named academic economic tradition rather than at generic "políticos" or "burócratas."</t>
  </si>
  <si>
    <t>Foro Economico Del Noa 2026</t>
  </si>
  <si>
    <t>2026-03-19</t>
  </si>
  <si>
    <t>Un país que admiro por tantas mentes brillantes, en especial por uno de los más grandes genios de la humanidad, como fue, por ejemplo, John von Neumann, y toda una tradición de grandes matemáticos. Además, un país de una enorme historia, una gran tradición y, sobre todas las cosas, un país emblema de lo que es la lucha contra los colectivistas, ya sea en las versiones asesinas de los colectivistas o en las versiones de buenos modales globalistas, woks, socialistas o zurdos.</t>
  </si>
  <si>
    <t>explicitly bundles "wokes," "globalistas," "socialistas," and "zurdos" together as variants of the same collectivist threat ("colectivistas... en las versiones de buenos modales"), a clean, compact articulation of the corpus's established woke-socialism equivalence delivered in the speech's opening framing.</t>
  </si>
  <si>
    <t>Cpac Budapest</t>
  </si>
  <si>
    <t>2026-03-21</t>
  </si>
  <si>
    <t>Budapest, Hungria</t>
  </si>
  <si>
    <t>Aquí, en Europa, por el contrario, llevan décadas tomando la matriz decisoria opuesta, tal como sucedía en Argentina, aunque a otro ritmo: primero analizan lo que le conviene al político o al burócrata, después lo que es económicamente eficiente y, por último, analizan lo que es moralmente correcto, si es que siquiera esto lo hacen, y lo hacen siempre disfrazado de virtud. En nombre de la compasión atacaron la propiedad, en nombre de la igualdad destruyeron el mérito, en nombre de un universalismo vacío cedieron la soberanía de sus naciones a burócratas que nadie eligió.</t>
  </si>
  <si>
    <t>FLAGSHIP — a direct, explicit delegitimization of European supranational governance, characterizing the transfer of national sovereignty to EU institutions as illegitimate specifically because their bureaucrats are unelected ("burócratas que nadie eligió"), framed as the product of insincere humanitarian rhetoric masking a political power grab.</t>
  </si>
  <si>
    <t>Y cuanto más alejado del individuo se encuentra la cumbre del poder, peores son las consecuencias de este intento de planificación. La sujeción nacional a los dictámenes unilaterales y organismos supranacionales reemplaza la soberanía y a las libertades individuales por los caprichos de los burócratas de turno. Cuando el poder se separa de la responsabilidad que trae la representación, se puede convertir en tiranía muy rápidamente.</t>
  </si>
  <si>
    <t>a second, distinct instance extending the critique from the EU specifically to supranational/international governance bodies in general ("organismos supranacionales"), on the general principle that centralization of power away from the individual is inherently illegitimate — stacked as a separate code given its broader institutional target than the EU-specific passage above.</t>
  </si>
  <si>
    <t>Hoy estamos ante una reconfiguración del orden mundial, y la forma en que nos insertamos en este nuevo mundo, que está naciendo, determinará el destino de nuestras naciones. La era de la cooperación global sin brújula moral ha terminado. Demasiadas instituciones que nacieron para mediar conflictos y garantizar la paz fueron capturadas por burócratas que las convirtieron en instrumentos para imponerle a los pueblos una agenda ideológica. Lo que debía ser un árbitro imparcial se convirtió en un actor con agenda propia, y el resultado está a la vista.</t>
  </si>
  <si>
    <t>a third instance, framing international peace/conflict-mediation institutions (evocative of UN-type bodies) as having been "captured" by bureaucrats pursuing an ideological agenda rather than their stated neutral mandate — echoes the corpus's established UN-critique theme (2025 Davos) but applied here in a European/CPAC context with sharper "capture" language. Given the distinctness of the institutional target (peace/conflict-mediation bodies) from the prior two codes (EU, general supranational bodies), retained as a third stacked instance rather than merged.</t>
  </si>
  <si>
    <t>Ahora Hungría se está acercando a un nuevo punto de inflexión, donde se ponen en juego dos modelos morales opuestos para liderar el país por los próximos años. Ese comunismo que antes aparecía bajo la bandera soviética hoy se muestra bajo otra apariencia: se oculta detrás de múltiples causas nobles y humanitarias, todas en apariencia independientes, pero íntimamente ligadas por una agenda común de guerra contra la tradición y odio hacia todo lo que consideramos bueno, bello y sagrado.</t>
  </si>
  <si>
    <t>extends the corpus's "socialismo de buenos modales" theme with an explicit conspiratorial framing — ostensibly unrelated humanitarian causes are described as secretly unified by a common anti-traditionalist agenda, an escalation from mere disguise-of-socialism to coordinated ideological warfare against tradition.</t>
  </si>
  <si>
    <t>Hoy, además, se sostiene con claridad que cada Nación tiene el derecho de decidir cómo organizarse, cómo gestionar sus fronteras y preservar los rasgos que le definen como comunidad. En efecto. la inmigración descontrolada sin integración desarticula el orden social. Cuando no existen reglas claras, cuando no hay un marco de integración y cuando se desconoce la cultura de la comunidad que recibe se termina generando desgracias evitables.</t>
  </si>
  <si>
    <t>national-sovereignty/immigration-control framing presented as a defense of communal cultural cohesion against "desintegración" — consistent with the corpus's established Civilizational_Defense theme (defense of a bounded national/Western cultural identity against external dissolution), here applied to immigration policy in solidarity with Hungary's restrictive stance rather than to woke ideology or socialism as in prior instances.</t>
  </si>
  <si>
    <t>Doctorado Honoris Causa – Universidad Ludovika</t>
  </si>
  <si>
    <t>Es importante que todos tengamos algo en claro, estos personajes de nuestro pasado nos sumieron en una aventura suicida que nos podría haber costado, todo mucho más de lo que está el país en condiciones de pagar y nos podría haber dejado sin YPF y con un Estado fundido.</t>
  </si>
  <si>
    <t>named blame directed at two specific political figures (Cristina Fernández de Kirchner, Axel Kicillof) for the original 2012 YPF expropriation, characterized as "arrogancia populista" — consistent with the corpus's established pattern of attributing specific historical policy failures to named casta figures rather than treating them as institutional/systemic outcomes.</t>
  </si>
  <si>
    <t>Cadena Nacional – Fallo Favorable Por Ypf</t>
  </si>
  <si>
    <t>2026-03-27</t>
  </si>
  <si>
    <t>Independientemente de la pericia legal de nuestro equipo, hay una verdad irrefutable: expropiar está mal, porque robar está mal. Y quebrar este principio nos costó, aproximadamente, 12 años de falta de inversiones por culpa del juicio en curso. Es decir, menos empresas, menos trabajo, más pobreza y más indigencia.</t>
  </si>
  <si>
    <t>a clean, flagship-level equation of state expropriation with theft ("expropiar está mal, porque robar está mal"), applied to a concrete historical case (YPF) rather than the corpus's more common abstract formulations — grounds the property-rights argument directly in this specific, high-profile instance of state intervention in a private company.</t>
  </si>
  <si>
    <t>La historia de este edificio es interesante: lo que - alguna vez fue un hogar de niño - fue cooptado durante el kirchnerismo por las organizaciones piqueteras, atrincheradas en Desarrollo Social, usaron para actividades militantes y lo dejaron literalmente en ruinas. Eso es lo que el kirchnerismo hace con los recursos del Estado: los convierte en botín de guerra para sus organizaciones, las parasita y las deja en ruinas.</t>
  </si>
  <si>
    <t>extends the corpus's established "curro de la pobreza" (poverty-management racket) theme with a concrete physical narrative — a former children's home occupied and left in ruins by piquetero organizations allied with Kirchnerismo, used as literal evidence that state resources under the prior administration functioned as "botín de guerra" (spoils of war) for allied political organizations rather than public infrastructure.</t>
  </si>
  <si>
    <t>Visita Al Centro De Formacion De Capital Humano</t>
  </si>
  <si>
    <t>Y lo grave de esta perversidad es que ellos no crean que sea algo negativo. Creen que toda una vida - sometida a la voluntad ajena es deseable - sobre todo si son ellos quienes manejan las palancas. Nosotros rechazamos de plano esa máxima. Pero no por eso descuidamos a los más vulnerables; al contrario, comprendemos que décadas de populismo y clientelismo dejaron a la sociedad empobrecida y dependiente y que cortar de entrada con la asistencia social sólo generaría una crisis humanitaria, que sería - en sí misma - injusta.</t>
  </si>
  <si>
    <t>FLAGSHIP — frames the welfare state not merely as inefficient but as a deliberate political strategy of engineered dependency, alleging that the prior political class actively needs citizens to remain subordinate ("sometida a la voluntad ajena") so long as they control the levers of distribution — an escalation from economic critique to an accusation of intentional social control via state dependency.</t>
  </si>
  <si>
    <t>Con lo cual, ahí ya la curva de Philips estaba herida fuertemente y tuvimos que esperar que en el año 1972 apareciera a Robert Lucas Junior con la formulación de las expectativas racionales y los aniquilara en el plano teórico. Y en el año 73 los aniquilaron en el plano empírico. Es más, el propio Robert Lucas Junior cuando hace la estimación empírica, después se focaliza en dos casos: uno es Estados Unidos, el otro es Argentina. O sea, quiere decir que desde el año 73 para acá no aprendimos nada; es decir, nuestros economistas profesionales no aprendieron nada. Falta que sigan repitiendo el modelo Cepaliano de centro y periferia. Bueno, siguen con la de industria Infante y todas esas cosas, ha cambiado de nombre, pero… la vida. Entonces, dicho esto ese debate también está terminado. Y ahí hay una parte que es interesante y es que la única forma que ustedes pueden explotar ese trade off, es engañando a la gente. Es decir, la única forma que ustedes pueden explorar y explotar ese trade off es mintiendo con la política monetaria. Y eso tiene varios problemas: el primer punto es que ustedes le están mintiendo a la gente, eso está mal; y además los están estafando, porque la emisión monetaria es una estafa. Por lo tanto, ustedes si quieren explotar ese trade off tienen que ser unos inmorales, tienen que ser basuras de personas. Imagínense lo peligroso que es tener esas basuras en la cabeza del poder del Estado. ¿Y qué es lo que demuestra el modelo de Robert Lucas Junior? Es que ustedes eso lo pueden hacer, pueden violentar a los agentes mintiéndoles, estafándolos, robándolos, pero los agentes aprenden. Con lo cual automáticamente corrige y vuelve a la situación original. Y la próxima vez que ustedes lo quieren engañar ¿qué es lo que ocurre? El efecto que logran es mucho menor y por mucho menor tiempo. De hecho, en el caso argentino, se abusó tanto de ese mecanismo que ya en el paper del 73 Robert Lucas Junior, es más, no muestra una curva de Philips con pendiente negativa para el caso argentino, la muestra con pendiente positiva. De hecho, la Nobel Nature de Friedman pensaba en una curva de Philips con pendiente positiva, todos inspirados en quién, en el caso argentino. Y no puede ser que los únicos que no hayamos aprendido seamos nosotros, es tremendo. Entonces, dicho esto, además, el círculo rojo, los periodistas, los econochantas y demás plantean un falso dilema. Hay que inflar, hay que estimular y hay que hacer esto y esto va a permitir ganar elecciones. Es falso. Ese brazo del proceso decisorio es falso. Porque si ustedes cambian la política económica, pasan a mentirle a los agentes, pasan engañar a los agentes, pasan a defraudar a los agentes, ustedes van a dinamitar la reputación. Si ustedes dinamitan la reputación, no son creíbles y si ustedes no son creíbles, no solo que no van a lograr expandir, además van a ir para atrás. Con lo cual se les va a venir encima, el resultado va a ser infinitamente peor y obviamente eso nos va a castigar en las urnas. Con lo cual, lo que nos están proponiendo es que nos suicidemos y no lo vamos a hacer. Pero no solo eso. La teoría económica y la evidencia empírica dicen que lo que tenemos que hacer es mantener el equilibrio fiscal, seguir apretando el equilibrio fiscal, seguir con la motosierra. La motosierra no se detiene. En la última reunión de gabinete di la orden espesa de que la motosierra no para.</t>
  </si>
  <si>
    <t>FLAGSHIP — coins/deploys "econochantas" (a portmanteau of "economista" and "chanta"/con-artist) to dismiss professional economists advocating an inflation-growth tradeoff as fundamentally fraudulent rather than merely mistaken, paired with an explicit jab at their credentials ("si se le pudiera decir profesionales").</t>
  </si>
  <si>
    <t>Amcham Summit 2026</t>
  </si>
  <si>
    <t>2026-04-14</t>
  </si>
  <si>
    <t>dismisses CEPAL-derived structuralist/dependency economics (center-periphery model, infant-industry protection) as an outdated, discredited school still being recycled by contemporary economists — a second, distinct instance targeting a specific named academic tradition rather than generic "políticos."</t>
  </si>
  <si>
    <t>Durante décadas nuestra región ha sido arrastrada hacia la decadencia por gobiernos de izquierda y anticapitalistas que hicieron causa común con el terrorismo, el narcotráfico y el antisemitismo, eso tiene que cambiar y hoy, con el respaldo de Estados Unidos, tenemos la oportunidad de producir ese cambio transformador. Esto no es improvisado, desde el inicio de esta administración Argentina ha tomado iniciativas claras y coherentes con los valores que hoy nos congregan, firmamos el memorándum de entendimiento por la democracia y la libertad entre Argentina e Israel, declaramos como organizaciones terroristas a Hamás, a la Guardia Revolucionaria de Irán, en los capítulos del Líbano, de Egipto y de Jordania de la Hermandad Musulmana.</t>
  </si>
  <si>
    <t>an escalated regional application of the corpus's anti-left framing — Latin American leftist/anticapitalist governments broadly are alleged to have made "common cause" with terrorism, narco-trafficking, and antisemitism, moving beyond economic-failure critique into an accusation of active criminal-political alignment.</t>
  </si>
  <si>
    <t>Presentacion Ruta Aerea Ba–Tel Aviv (Conf. Con Netanyahu)</t>
  </si>
  <si>
    <t>2026-04-19</t>
  </si>
  <si>
    <t>Tel Aviv, Israel</t>
  </si>
  <si>
    <t>Y aquí está el punto que quiero subrayar con fuerza: el capitalismo es el sistema que Dios preparó a través de su ley para que después de la caída el trabajo continuara. No lo inventó el hombre. El hombre lo descubrió al obedecer. Está inscripto en los diez mandamientos. No restaura la dotación divina que se perdió, pero es el único sistema que, en consonancia con la ley de Dios, permite que el hombre trabaje, innove y descubra tecnología y genere prosperidad dentro de sus condiciones actuales. Y más aún, es el camino que al alinearse con esa ley permite traer el paraíso a la tierra. No el paraíso de las dotaciones infinitas. Ese lo perdimos. Sino el paraíso posible. Abundancia radical dentro del mundo caído, lograda por la obediencia al orden divino.</t>
  </si>
  <si>
    <t>FLAGSHIP, HIGH PRIORITY — the corpus's most direct and sustained theological legitimation of capitalism to date, moving beyond the established "moral como política de Estado" framework's passing Judeo-Christian references into a full theological claim that capitalism is literally God's post-Fall design for human labor, rather than a human institutional invention. This grounds market primacy in religious authority rather than economic efficiency or property-rights philosophy alone.</t>
  </si>
  <si>
    <t>Doctorado Honoris Causa – Universidad Bar-Ilan</t>
  </si>
  <si>
    <t>2026-04-20</t>
  </si>
  <si>
    <t>Israel</t>
  </si>
  <si>
    <t>Luego, "no matarás", es la defensa absoluta del derecho a la vida. Es el mandamiento que establece el principio de no agresión en su forma más pura. También tenemos el mandamiento que dice 'no robarás'. Sin propiedad privada no hay mercado. La propiedad privada no es una convención humana arbitraria. Es el reconocimiento de que el trabajo del hombre le pertenece porque el creador mismo se lo instruyó así. Otro que también juega un rol fundamental, que es 'no darás falso testimonio'. Bueno, de eso, parece que evidentemente gran parte del periodismo entonces juega para las fuerzas del mal. El mercado libre es, en esencia, un sistema de intercambio voluntario basado en información veraz. La mentira lo corrompe, el fraude lo destruye. Y, después, esto que los pone en un lugar bastante incómodo a los de izquierda 'no codiciarás'. La codicia, el deseo de apropiarse de lo que pertenece al otro, es exactamente el combustible moral del colectivismo y del marxismo.</t>
  </si>
  <si>
    <t>escalates the corpus's established "periodistas ensobrados/pauteros" media-corruption theme into an explicit theological framing — journalism (broadly, not just specific corrupt outlets) is characterized as serving "las fuerzas del mal" (the forces of evil) for allegedly violating the commandment against false testimony.</t>
  </si>
  <si>
    <t>Sin embargo, cuando uno rechaza la ley de Dios, cuando adscribe al marxismo, el resultado no es incierto. El marxismo no es simplemente una teoría económica alternativa con errores técnicos corregibles. Es algo mucho más serio. Se autodeclara como una teoría satánica. Marx era satanista. Sus propios textos de juventud lo revelan. Richard Wurmbrand lo documentó con rigor en su libro Marx y Satanás. Los valores del colectivismo son la envidia, el odio, el resentimiento y el trato desigual ante la ley. No es una posibilidad teórica. Es la historia verificable de todos los regímenes que abrazaron ese programa. 150 millones de muertos y la miseria sistemática de los pueblos que cayeron bajo su dominio. Lo que el marxismo hace en su esencia teológica es ocupar el lugar de creador. Es el intento más ambicioso y más devastador de reemplazar el orden divino por el orden humano. Y el resultado siempre es el mismo: miseria, muerte, infierno en la tierra.</t>
  </si>
  <si>
    <t>FLAGSHIP, HIGH PRIORITY — the most extreme instance of anti-collectivist rhetoric identified anywhere in the corpus: Marxism is not merely characterized as economically or morally wrong but as a literal, self-declared satanic theology, with Marx himself labeled a Satanist and a specific citation (Wurmbrand's "Marx and Satan") invoked as documentary support. This moves the corpus's established socialism-as-moral-failure framing into explicit theological demonization, positioning collectivism as an attempt to "occupy the place of the creator."</t>
  </si>
  <si>
    <t>Hoy, gracias a que el pueblo argentino volvió a elegir las ideas de la libertad, hemos retomado la senda de Occidente, de los valores judeocristianos y de todo aquello que nos hizo grandes como civilización. Y entre todo aquello que recuperamos, pocas cosas son más destacables que el estrecho vínculo de amistad entre nuestras naciones. Una fraternidad que siempre existió de pueblo a pueblo, que ningún gobierno pudo quebrar y que hoy se presenta más fuerte que nunca.</t>
  </si>
  <si>
    <t>this paragraph completes a compact decline-and-recovery arc opened in the previous paragraph ("Argentina supo desviarse de ese camino, renegando de sus valores fundacionales"): Argentina, thanks to the electorate choosing "las ideas de la libertad," has "retomado la senda de Occidente... de todo aquello que nos hizo grandes como civilización." This is the codebook's civilizational-recovery-narrative pattern (cf. the multi-year Davos arc) in condensed, self-contained form: Western/Judeo-Christian civilizational greatness is framed as something lost through ideological deviation and regained through Milei's political victory, explicitly naming "Occidente" and "civilización" rather than a discrete policy or institution. Coded as Civilizational_Defense rather than Anti_Socialism_Anti_Collectivism because the passage frames the stakes as civilizational/existential — reinforced two paragraphs later by "la oscuridad se cierne... sobre todos los pueblos que supieron ser libres," treated as elaboration of this same master frame rather than a second codeable move — rather than naming a specific socialist or collectivist policy or agenda.</t>
  </si>
  <si>
    <t>Palabras Junto A Isaac Herzog</t>
  </si>
  <si>
    <t>Para ellos lo importante es su idea de colectivo y los seres humanos son meros números, son meras fichas o meras piezas en un tablero de ajedrez. Y la realidad es que no tienen ningún problema en matarnos si es necesario. Por eso no podemos abandonar la batalla en ninguno de los tres planos, pero tenemos que dejarlos en evidencia.</t>
  </si>
  <si>
    <t>FLAGSHIP — opens with the recent Trump assassination attempt to attribute a broad, organized pattern of political violence to "la izquierda de todo el mundo libre," then escalates into an explicit dehumanization claim: collectivist ideology treats human beings as fungible units in a political calculus, rendering its adherents willing to kill opponents. This is among the corpus's starkest attributions of violent intent to the political left.</t>
  </si>
  <si>
    <t>Cena Anual 2026 De La Fundacion Libertad</t>
  </si>
  <si>
    <t>2026-04-27</t>
  </si>
  <si>
    <t>Entonces hay que dejar de aceptar a los mentirosos y a los hipócritas. Pero no voy a esquivar hablar de este 33%, porque tiene un sentido. La realidad es que la inflación había empezado a caer y de manera profunda pero luego del resultado de mayo la política decidió jugar. Y vaya que jugó y jugó fuerte. Es interesante, porque además son tan deshonestos intelectualmente que ni siquiera repiten mis frases enteras. La frase entera es “la inflación es siempre y en todo lugar un fenómeno monetario</t>
  </si>
  <si>
    <t>dismisses professional economic consultants/forecasters as a class based on a claimed poor track record, denying them any legitimate standing to critique government policy ("con qué autoridad moral vienen a hablar") — a credentialing attack distinct from the corpus's more common attacks on academic economists or bureaucrats.</t>
  </si>
  <si>
    <t>eficiente? Mire, si cambian los precios relativos, usted va a tener un cambio de asignación de recursos. Entonces ustedes lo que me están proponiendo es que yo tuerza la voluntad del mercado, modificando los precios. O que si alguien ganó y alguien perdió, entonces tengo que compensar al que perdió. Eso sería una aberración. Porque eso va a implicar que ustedes quieren omitir el efecto de reasignación de cambio de precio relativos; por lo tanto el sector que se tiene que expandir, no se expande y el sector que se tiene que contraer, se queda parasitando. Consecuentemente ustedes no progresan. Lo voy a hacer con un ejemplo más violento para que se entienda: muchos de ustedes recordarán la pandemia, un elemento que era… eso está en un libro mío que se llama Pandenomics, están un montón de cosas explicadas pero veamos el caso del barbijo. Frente a la pandemia, hubo una reasignación de demanda. ¿La gente que quería comprar? Barbijos. Consecuentemente, ¿que tendría que haber pasado con el precio relativo en los barbijos? Tendría que subir. ¿Y eso qué haría? Que los recursos se reasignarian desde algún lado de la economía, hacia los barbijos. Ahora, si a ustedes les agarra el ataque de planificador central, que puede ser en distintas escalas, pero querer tocar los precios es, justamente, un rasgo de intervencionismo. En ese contexto, se les ocurre hacer populismo y dicen “el precio de los barbijos no va a subir porque es una situación de emergencia”. Que caro que sería el populismo en ese caso, porque habría menos barbijos y consecuentemente se moriría más gente. De hecho, nosotros durante la pandemia hicimos populismo: hicimos populismo con los barbijos, hicimos populismos con las vacunas, con los test, y la consecuencia fue que si Argentina hubiera sido como un país mediocre hubieran muerto 30.000 personas y perdon el término, pero esos hijos de puta nos hicieron que murieran 130 mil argentinos. O sea, se llevaron la vida de 100 mil argentinos por hacer populismo.</t>
  </si>
  <si>
    <t>FLAGSHIP — an extraordinary causal claim attributing approximately 100,000 excess COVID-19 deaths in Argentina directly to pandemic-era price controls on masks, vaccines, and tests, framed as a textbook illustration of "populismo" price intervention causing mass mortality through supply shortages. This is the corpus's most extreme mortality attribution tied to a regulation/price-control critique, escalating the abstract price-control-causes-shortages argument into a concrete, large-scale death toll claim.</t>
  </si>
  <si>
    <t>Y quiero mencionar, me parece muy divertido que mencionen lo de… (Inentendible) y lo de migrar porque fíjense que el quilombo que tiene Europa hoy es porque tenía quebrado el sistema previsional y lo que hicieron mientras que proponían la Agenda Verde asesinando a los niños inocentes por nacer, al mismo tiempo promovían el ingreso de extranjeros. Entonces, frente a esa cagada que se mandaron, entre mezcla de ecologistas, el hombre contra la tierra y demás, que ahora se ven los problemas claros en Europa, lo quisieron arreglar importando gente. Así está Europa al borde del exterminio.</t>
  </si>
  <si>
    <t>FLAGSHIP, HIGH PRIORITY — explicitly names the "Agenda Verde" (Green Agenda) as one leg of a three-part policy complex (alongside abortion and uncontrolled immigration) blamed for Europe's demographic and pension-system collapse, framed via a "hombre contra la tierra" (man against the earth/nature) characterization of ecologism as fundamentally anti-human. This is a rare instance where the corpus explicitly names "Agenda Verde" (rather than generic "ambientalismo") as a causal driver of civilizational-scale crisis ("Europa al borde del exterminio").</t>
  </si>
  <si>
    <t>Debate "Keynes Y La Teoria General"</t>
  </si>
  <si>
    <t>2026-04-28</t>
  </si>
  <si>
    <t>Con lo cual, también está el problema de que el New Deal se salió sin una base teórica. [...] Entonces vean lo maravilloso de esta obra [...] Aunque esto no necesita excluir cualquier forma, transacción o medio por los cuales la autoridad pública coopere con la iniciativa privada. [...] Vean que la alternativa Keynes es distinta. Es decir, él quiere controlar toda la demanda y deja los bienes de producción en manos de empresarios, que a la postre se terminan convirtiendo en meros gerentes y eso tiene nombre y apellido, se llama Hitler y se llama Mussolini. Es decir, nazismo y fascismo. Por lo tanto, no caigamos en eso.</t>
  </si>
  <si>
    <t>FLAGSHIP — reading Keynes's own Chapter 24 conclusion live, Milei equates the policy system it describes (state control of aggregate demand while leaving nominal private ownership of production, with businessmen reduced to "mere managers") directly with Nazi and fascist economic systems, situating Keynesianism within the same "socialism controversy" debate (Oskar Lange) already used elsewhere in the corpus to frame fascism as a variant of collectivism. This extends the corpus's established fascism-equals-socialism framing (previously applied via the Mussolini "Doctrina del Fascismo" citation at 2026-03-01) to encompass Keynesian macroeconomics itself, describing Keynes as having written a work that is "literalmente siniestro" and calling him "un genio del mal."</t>
  </si>
  <si>
    <t>Lo importante de esa presentación es que quedaron en claro los logros y puestos en perspectiva histórica uno se da cuenta del tamaño de los logros, motivo por el cual recibimos reconocimiento internacionalmente pero como dicen la frase “nadie es profeta en su tierra” así es que tampoco nos preocupa mucho, lo que nos importa es el legado histórico La charla del día de ayer en el Palacio Libertad, la característica fue - si bien tenía un formato académico y estudiamos y discutimos sobre un tema de índole académico -, lo que hicimos fue hablar de probablemente uno de los autores más importantes en economía que es Keynes. Pero no es que solo hablamos de Keynes, en realidad hablamos de una obra particular de Keynes, que es “La teoría general de la ocupación, el interés y el dinero”. Esto no es trivial, Keynes es un autor muy complejo, sus obras completas tienen 30 tomos. Yo confieso: yo no leí los 30 tomos, leí muchos de los libros de Keynes, pero no leí los 30 tomos. Lo que sí estudié de manera intensa la teoría general. La sensación que tengo es que muchas veces se habla de Keynes haciendo referencia a la Teoría General que desde mi punto de vista es un libro literalmente siniestro, entonces básicamente es mala teoría económica y además no solo eso sino que el remate, el capítulo 24 de la Teoría General básicamente lo que está proponiendo como sistema es el sistema económico de los nazis y el sistema económico de los fascistas y además eso también se enmarcaba dentro de un debate que era el debate sobre el socialismo que se llama la controversia sobre el socialismo y es una posición complementaria la que de la que tenía Oskar Lange que decía que el socialismo tenía que tener todo el control de los medios de producción y que básicamente los consumidores determinaran sus gastos como le diera la gana y eso digamos les hacía evitar el problema del cálculo económico y la visión complementaria que es la que propone Keynes, que era básicamente lo que hacían los nazis y lo que hacían los fascistas, en realidad controlaban todo desde el lado de la demanda y los medios de producción se los dejaban al sector privado pero eran meros gerentes porque le decían que producir, cómo producir y cuánto, por lo tanto eran todas variantes de ese debate y que por lo tanto esos que vienen y hablan y proponen volver a Keynes sobre Keynes, hagamos Keynes y no sé qué Keynes, tengamos claro que es la macroeconomía o la economía de un sistema totalitario.</t>
  </si>
  <si>
    <t>Milei equates Keynes's General Theory (via its chapter 24) with the Nazi and fascist economic systems, and situates it within "la controversia sobre el socialismo" alongside Oskar Lange's central-planning model. The core move is definitional: an entire, still-cited school of macroeconomics is collapsed into "la economía de un sistema totalitario," foreclosing the legitimacy of demand-management/state-coordination thinking as such rather than critiquing a specific policy. This is the speech's first and clearest deployment of the collectivism-as-totalitarianism equivalence.</t>
  </si>
  <si>
    <t>Cierre De La Expo Efi 2026</t>
  </si>
  <si>
    <t>2026-04-29</t>
  </si>
  <si>
    <t>Que también es bueno tener claro qué decimos cuando hablamos de las ideas de la libertad. Nosotros, de hecho, lo hice en la primer reunión de gabinete, y es poniendo el marco: el liberalismo es el respeto y restricto del proyecto de vida del prójimo, basado en el principio de no agresión y en defensa del derecho a la vida, a la libertad y a la propiedad. Entonces si uno quiere verdaderamente ver cómo funciona esto, porque también me encanta porque encuentro mucha gente hablando del liberalismo y no es liberal, con lo cual difícilmente alguien que entienda de qué van las ideas la libertad tenga otras ideas. Es decir, esto es como yo no veo gente yendo de Miami a Cuba, veo gente yendo de Cuba a Miami, arriesgando la vida. Esto es igual. La realidad es que cuando ustedes empiezan a leer los autores liberales es un camino de ida. Por eso hay tantos socialistas que se vinieron de este lado y ninguno de los nuestros se fue de aquel lado. De hecho, uno de nuestros máximos exponentes, Hayek, era socialista, hasta que estudió con Mises.</t>
  </si>
  <si>
    <t>The Cuba-to-Miami/Miami-to-Cuba migration asymmetry ("yo no veo gente yendo de Miami a Cuba, veo gente yendo de Cuba a Miami, arriesgando la vida") is deployed as empirical proof that liberalism is a "camino de ida" — a one-way, irreversible conversion — while socialism is something people flee even at risk of death. The Hayek anecdote (a liberal icon who was "socialista, hasta que estudió con Mises") reinforces the same asymmetry: socialism is what one is cured of, never returned to. This is the identical rhetorical device coded at 2026-03-14 (Madrid) via the Korea/Cuba satellite-image and shark-swimming variants.</t>
  </si>
  <si>
    <t>Además, lo hicimos sin subir impuestos lo hicimos bajando impuesto porque además bajamos, somos el único gobierno que bajó dos puntos y medio del PBI en impuestos, entre impuestos que eliminamos o qué bajamos eliminamos más y bajamos 20 impuestos, es decir, eso no lo vieron nunca tampoco pero al margen de eso qué es lo importante para el crecimiento, lo primero es haber evitado la hiperinflación haber, digamos, haber comenzado un descenso sostenido de la inflación pese digamos al ataque especulativo que sufrimos en la segunda parte del año pasado y eso por qué es importante, porque en realidad la inflación es al sistema de precios lo mismo que el ruido de la comunicación si yo en este momento cuando estoy hablando, no sé, a partir de ahí se acaba del escenario para allá aparece una montaña de ruido, una pared de ruido, bueno, yo puedo ser muy bueno explicando y ustedes no me van a entender básicamente porque está el ruido en el medio, consecuentemente eso es la inflación, distorsiona al funcionamiento del sistema de precios y no permite hacer una buena asignación de recursos, con lo cual, es fundamental bajar la inflación para que funcione mejor el sistema de precios y entonces se produce una mejora en la asignación de recursos. Ahora se toman decisiones que tienen más sentido, pero también con la inflación hay una cuestión moral, que es un robo y por ende hay que exterminarla, porque está mal, porque es un robo.</t>
  </si>
  <si>
    <t>Inflation — attributed earlier in the same paragraph to state monetary emission ("cortar con la emisión monetaria") — is recast in explicitly moral-criminal terms as "un robo" that "hay que exterminarla." The extermination language matches the codebook's recognize-by criterion for this code ("calls to 'exterminate' the state apparatus") applied here to the state's monetary practice specifically: the state's inflationary financing is not framed as a policy error but as theft to be annihilated.</t>
  </si>
  <si>
    <t>No solo que sacamos modernización laboral, sacamos déficit cero, sacamos también inocencia fiscal. Argentina, ustedes eran culpables frente al fisco hasta que demostraron lo contrario; yo no sé si toman idea de que hoy son inocentes hasta que se pueda probar lo contrario, volvieron a ser libres. Es un shock de libertad impresionante. Pero no solo eso, sacamos también la baja de la edad de imputabilidad, sacamos también la ley de glaciares, firmamos el acuerdo con la Unión Europea. ¡Ey, vamos! Menos mal que nos falta gestión; si tuviéramos más gestión y tuviéramos más legisladores, les puedo asegurar que voy a convertir a la Argentina sin lugar a dudas en el país más libre del mundo.</t>
  </si>
  <si>
    <t>"Sacamos también la ley de glaciares" is listed in an unbroken enumeration of deregulatory/liberty-expanding measures ("shock de libertad impresionante") alongside fiscal-innocence reform and the age-of-criminal-responsibility change — the positive/deregulation-benefits face of this code, presenting the glacier-law reform as one more constraint removed rather than a distinct policy with its own rationale. This is climate-adjacent D2 territory (the periglacial mining-restriction regime) referenced rhetorically rather than substantively, and pairs thematically with the cordillera/mining-expansion passage later in this speech. FLAGGED FOR FOLLOW-UP: the verb "sacamos" is ambiguous between "we passed/enacted" and "we removed/repealed" a glacier law; given the government's known push to ease periglacial mining restrictions and the pairing with the mining-enthusiasm passage below, "repealed/weakened" is the more likely reading, but the exact legislative referent should be verified against D2 documentation (see the final report's Dimension 2 triangulation notes on the 2025-11-13 periglaciares passage).</t>
  </si>
  <si>
    <t>Ahora qué es lo interesante de todo esto es que esto ya lo había descubierto Adam Smith cuando publicó la investigación sobre la naturaleza y la causa de la riqueza de las Naciones, él ya lo había descubierto que era la idea de la fábrica de alfileres y cómo la división del trabajo llevaba básicamente a un aumento más que proporcional de la productividad. Y no solo eso, también había hecho la descripción de cómo era esta transición: explicaba que había un learning by doing, es decir en la medida que la gente hacía más esa tarea aprendía a hacerla mejor, ya había metido el learning by doing. Entonces ustedes estaban en determinado punto y empezaban a tener un crecimiento de la productividad porque lo aprendían a hacer mejor hasta que en un momento apareció un salto discreto, ese salto discreto que se llama progreso tecnológico y es que con el mismo trabajo pueden producir más o pueden producir lo mismo con menos trabajo. Consecuentemente tienen un salto, el tipo las había visto todas o sea la tenía súper clara. Y esto no es menor porque para la teoría neoclásica los rendimientos crecientes son un indicador de estructuras concentradas y lo que quieren hacer es salir y regular todo. El mejor ejemplo es Europa, está tan hiperregulada que no crece. Te estoy generando más problemas Pablo, no me alcanzó con la de ayer que hoy sigo.</t>
  </si>
  <si>
    <t>Europe is invoked as the cautionary tale of regulatory overreach — "está tan hiperregulada que no crece" — the exact recognize-by pattern the codebook names explicitly ("Europe as cautionary tale of regulatory overreach") and previously coded from the Davos 2025 and Madrid 2026 speeches. Here it caps a theoretical claim (increasing returns read by neoclassical economics as evidence of market concentration requiring regulation) with the empirical Europe example, delegitimizing the regulatory response as growth-destroying rather than engaging its stated rationale.</t>
  </si>
  <si>
    <t>Ahora, qué estamos haciendo entonces para poder crecer. Bueno, el primer punto es el tema de los rendimientos crecientes: nosotros tenemos un ministerio que nunca existió en la Argentina, que es una invención mía, que, con el coloso, con Federico Sturzenegger lo llamamos puertas adentro el Ministerio de los rendimientos crecientes. Pero como tenemos claro que ponerle ese nombre hubiera sido muy nerd, le pusimos Ministerio de Desregulación. Entonces la pregunta es: bueno, ¿qué hicieron? Bueno, hicimos más de 15.000 desregulaciones a lo largo del período que llevamos en el gobierno: somos el gobierno más reformista, no solo de la historia argentina, de la historia de la humanidad. Nunca nadie hizo tanto en tan poco tiempo. Sacamos a un ritmo de 17 regulaciones por día; es decir casi que les diría que, si duermen 7 horas, cuando terminemos esta charla, quizás sacamos una o dos regulaciones. ¿Se dan cuenta? Entonces, dónde se ve. Miren se ve muy fácil: Argentina por ejemplo en el último año saltó 40 puestos en término libertad económicas, estábamos en una situación hiper reprimida, que estábamos con Venezuela y demás situaciones casi innombrables. Bueno, hoy estamos muchísimo mejor, nunca un país hizo un avance tan grande en tan poco tiempo, salvo aquellos países que sufrieron una catástrofe, tipo una guerra o algo y tuvieron que reestructurarse totalmente y eso le permitió pegar un salto de esas magnitudes. Es decir, si ustedes miran la experiencia de bajar 30 puntos el gasto público, hay cinco experiencias en la historia, pero cuatro tienen que ver con salida de la guerra o sea los únicos que lo hicimos sin salir de una guerra fuimos nosotros. Imagínense si además le sumamos el ajuste del Banco Central, la monstruosidad que hicimos. Y a diferencia de todo lo que decían que iba a salir mal, que nos íbamos a hundir en la gran depresión, no, la economía creció casi 10%, cuando una economía que venía creciendo a lo largo del último siglo 1 por ciento por año, nosotros crecimos diez en dos. Sacamos a millones de personas de la pobreza, digo porque parece que el manual a unos cuantos se les quemó y no quieren ver, a veces entiendo que es difícil tomar la pérdida de capital.</t>
  </si>
  <si>
    <t>The "Ministerio de Desregulación" (privately called the "Ministerio de los rendimientos crecientes") and its tally — "más de 15.000 desregulaciones," "17 regulaciones por día," "el gobierno más reformista... de la historia de la humanidad" — is the positive/deregulation-benefits face of this code at its most concrete: regulation removal is quantified and celebrated as the mechanism of the "avance tan grande" reflected in the economic-freedom ranking jump. This is materially the same rhetorical device (ministry name, "15.000" figure) coded at 2026-03-14 (Madrid) via the Roy Cordato citation, delivered here in more triumphalist, statistics-heavy form.</t>
  </si>
  <si>
    <t>Y eso es un tema determinante, por lo tanto, estamos trabajando en liberar rendimientos crecientes, cada vez que Federico saca una regulación libera rendimientos crecientes y genera crecimiento. La segunda parte que no es menor es lo que tiene que ver con la apertura comercial, no solo el acuerdo con la Unión Europea, los que estamos avanzando con Estados Unidos, con EFTA y todas las cosas con las cuales Pablo anda dando vuelta por todo el mundo, tratando de abrir mercados. Fíjense nuestro concepto de embajada que tenemos: la Embajada de Estados Unidos la maneja un empresario exitoso, por ejemplo; la embajada de España la maneja un empresario exitoso. Ese es el concepto, es decir tipos generando negocios. Estamos todo el tiempo pensando a ver qué negocio podemos traer a la Argentina. Entonces no es una apertura para para hacer discursos pelotudos en foros onanistas que no arreglan nada. No, nosotros nos pusieron acá para arreglar problema, ¿a qué nos dedicamos? A arreglar problemas. La apertura genera crecimiento, vamos a abrir. Argentina es el país, dado su ingreso, el país más cerrado del mundo. Argentina tendría que tener una apertura comercial de 93% el coeficiente de apertura. Es 30. Muchachos, ¿de qué apertura indiscriminada estamos hablando? Esto es una fortaleza, que no puede pasar nadie. Bueno, eso no puede ser, porque eso lo pagan los argentinos con una menor calidad de vida.</t>
  </si>
  <si>
    <t>The openness-coefficient statistic (93% expected vs. 30% actual) is deployed to argue that trade liberalization, not state-managed closure, is what raises living standards — "eso lo pagan los argentinos con una menor calidad de vida" frames continued protection as a direct welfare cost imposed by the state's closed-economy stance. The move is the standard Market_Primacy pattern: market coordination (open exchange) is presented as strictly superior to the state-coordinated alternative, with no legitimate protective role left for the state.</t>
  </si>
  <si>
    <t>Si dijimos que tenía tanto peso empírico, digamos que estamos haciendo en Capital Humano, bueno en principio la otra gran invención de este gobierno fue el Ministerio de Capital Humano, es decir, dejamos de tener Desarrollo Social y no sé qué otros nombres patéticos tenían antes. Se podría llamar también el Ministerio Gary Becker, pero se llama Capital Humano, nos pareció que era un poquito fuerte ponerle ministerio Gary Becker. Ahora, qué es lo importante, es el cambio de concepto: antes la asistencia a los sectores más vulnerables era regalarle el pescado o sea que en el fondo era la esclavitud, no se olviden la frase de Friedman que decía “no existe tal cosa como un almuerzo gratis” es decir, es el pescado gratis. El pescado gratis, o sea, para que quienes quieran saber el origen tiene que ver con la salida del pueblo hebreo de Egipto o sea el pescado gratis era en Egipto, eran a cambio, del pescado gratis, eran esclavos. A mí a veces me sorprende la pasión que tienen algunos por ser esclavos. Bueno, nosotros decidimos cambiar eso, no queremos que los argentinos sean esclavos, queremos argentinos libres. Entonces, cambió la lógica de la política de contención social, hoy lo que les damos son las herramientas para que puedan salir de esa situación de vulnerabilidad, queremos que aprendan a pescar y que si es posible tengan barcos pesqueros, todos lo que quieran, por decirlo de alguna manera. Entonces, eso es lo relevante, no queremos argentinos esclavos, entiendo que a la política le encanta tener esclavos para tener votos cautivos, bueno, yo quiero argentinos libres, quiero que Argentina sea el país más libre del mundo y eso implica también empezar a romper los grilletes de los que eran esclavos de la política. Por eso el Ministerio de Capital Humano se focaliza en niñez y familia ¿por qué? Porque es el momento donde se genera la formación del cerebro, por eso es tan importante la salud. Porque básicamente si las personas o no se desarrollan o no tienen buena salud, no pueden rendir en el colegio. Ni que hablar de todas las mejoras que estamos haciendo a niveles de educación y eso se tenía que complementar con el mercado de trabajo y eso tiene dos aristas, que los chicos que salgan del colegio y puedan encontrar trabajo. Para eso es fundamental que el mercado laboral tenga una estructura más flexible porque si no solamente con la estructura que teníamos, bueno, de hecho, el síntoma del fracaso era que casi el 50% de los argentinos estaban en el mercado informal, es obvio que había fracasado el modelo anterior.</t>
  </si>
  <si>
    <t>The "pescado gratis" framing — pre-Milei social assistance recast as "en el fondo... la esclavitud," with the Friedman/Exodus lineage invoked to argue that unconditional aid enslaves recipients — is the same welfare-as-slavery metaphor coded as Anti_Socialism_Anti_Collectivism at 2026-03-14 (Madrid). The added line "entiendo que a la política le encanta tener esclavos para tener votos cautivos" sharpens the framing (clientelist welfare politics deliberately manufactures dependency for electoral capture) but the foundational move — collectivist assistance schemes equated with bondage — is the dominant register, so the political-class angle is treated as elaboration rather than a second code.</t>
  </si>
  <si>
    <t>¿Qué quiere decir que cambie la asignación de recursos? Que hay sectores que le va a ir mejor y hay otros que les va a ir peor, eso quiere decir. Dicho esto, lo voy a hacer con un shock transitorio. Shock transitorio, la pandemia: la gente está hiper asustada, uno de los mecanismos para combatirla era tener barbijos. Entonces, hay algunos productos que se dejaron de mandar y otros que se pasaron a demandar muchos, que eran los barbijos, es decir que hubo un cambio en la composición de demanda, ¿eso está claro? Ahí no hay crecimiento, nada, porque aparte el mundo quedó como frizado en esa situación. Bueno, pero hubo un cambio en la composición de la demanda. Entonces, si hubo un cambio de la composición de la demanda que llevó a que aumentara la demanda de barbijos y cayó la demanda de otras cosas, lo lógico es que suba el precio de los barbijos y que el de los otros bienes caigan ¿no? Eso genera una señal al sistema que dice que hay que sacar los recursos de donde la gente no está demandando eso y llevarlos al otro sector parece bastante evidente. Bueno, esto no es un tema menor porque no faltó el imbécil que quiso poner “no, pero está subiendo el precio de los barbijos en este momento tan difícil, regulemos el precio de los barbijos”. Al hacer eso qué es lo que hizo, mató a muchísima gente, porque si ustedes dejaban que el precio subiera, la economía hubiera llevado los recursos hacia ahí y hubiera habido muchísimos más barbijos. Si había más barbijos, se moría menos gente. Con lo cual esa estupidez de querer controlar ese precio lo que generó es vidas humanas que se perdieron. En ese caso, es bastante… ponerse de espalda al análisis económico, es caro, casi que no es medible porque no lo es, ni aunque esos hijos de puta terminen presos por un delito de lesa humanidad, porque no le van a devolver el ser querido que perdieron ahí.</t>
  </si>
  <si>
    <t>The pandemic mask-price-control anecdote is the negative face of this code at its starkest in the corpus: price regulation is not merely framed as inefficient but as literally lethal ("mató a muchísima gente... se moría menos gente"), with proponents of the control called "hijos de puta" who should face prosecution "por un delito de lesa humanidad." This passage substantially repeats material from 2026-04-27 (Fundación Libertad), delivered two days earlier — the original 2026-07-19 pass withheld it entirely on that basis, which is an invalid application of the recap exemption (see Rule 4/Rule 2b). It is coded here on its own terms: the categorical illegitimacy claim against price regulation is fully self-contained within this speech regardless of its prior appearance elsewhere in the corpus.</t>
  </si>
  <si>
    <t>Ese es un caso, que eso es transitorio. Otro caso puede ser que también… (Inentendible), pero que sea permanente. Eso se lo puede decir por ejemplo una empresa vinculada al tabaco, vinculada al vino, porque están cambiando los hábitos de las personas. Por eso me gustó tanto un ejemplo que hizo Salvador Distéfano que me pareció brillante: dice bueno, ahora se nos dio a todos por comer huevos, entonces comemos huevos revueltos, comemos huevos de no sé qué cosa, huevos pochés, omelettes, lo que fuera, pero le ponemos huevo a todo. Bueno, salvo un imbécil que hace periodismo, porque no le debe ir bien como psicólogo, dijo “no, bueno, pero los americanos son muy tontos en la forma en que comen”. No es el que están creyendo que yo estoy hablando, no estoy hablando el de la televisión, estoy hablando el de la radio, uno más boludo todavía por decirlo de alguna manera, y mucho más zurdo. Entonces, pero no entiende la naturaleza del ejemplo, esto es lo que lo que Hayek que era genial, dice: si los socialistas supieran de economía no serían socialistas; o como decía Mises, el conocimiento en economía lleva el liberalismo. Por eso es zurdo, porque dice… y además ser zurdo tiene que ver con toda una serie de cuestiones humanas horribles, que implica ser envidioso, resentido, eso es un zurdo, o sea básicamente un tipo resentido.</t>
  </si>
  <si>
    <t>The Hayek/Mises quotes ("si los socialistas supieran de economía no serían socialistas"; "el conocimiento en economía lleva el liberalismo") are used to dismiss a specific journalist's economic argument, then generalized into a psychological indictment of "ser zurdo" as inherently "envidioso, resentido" — collapsing a policy disagreement into a claim that leftist/collectivist politics is a pathology of resentment rather than a coherent position. The framing denies socialism intellectual legitimacy at the root (ignorance of economics) and moral legitimacy (envy/resentment) simultaneously.</t>
  </si>
  <si>
    <t>Otro punto que tiene que ver es con los temas de la destrucción creativa. Esto también es un tema no menor. Y es que si ustedes son una empresa competitiva. Estamos pensando en un caso perfectamente competitivo ¿podría haber progreso tecnológico ahí? No, no puede haber progreso tecnológico porque significa que ustedes están sacando recursos de la empresa y lo están poniendo en investigación, desarrollo, desarrollos de nuevas tecnologías. ¿Cuál es el problema? En los términos del producto existente estarían teniendo desperdicio, es decir estarían ganando menos, por lo tanto, tendrían que ir a la quiebra. Solamente ustedes harían todo ese proceso de inversión si a cambio de ellos podrían conseguir una cuasi renta. Si ustedes consiguen una cuasi renta, entonces quiere decir que van a tener un monopolio. Por lo tanto, si ustedes matan los monopolios con las regulaciones, el resultado ¿cuál va a ser? que van a matar el progreso tecnológico, van a matar todo lo que tiene que ver con investigación y desarrollo porque ya no habría incentivos. Un ejemplo claro es Argentina. Argentina reventado, atestado de regulaciones no crecía, obvio. Ahora el proceso de destrucción creativa o destrucción creadora dice que cuando ustedes hicieron un invento y se quedaron con el mercado y desplazaron a otro, hay alguien que está quebrando y se tiene que reconfigurar. Ustedes tienen que saber que el crecimiento, el progreso tecnológico no es una mejora…porque gana uno y pierde otro. El tema es que al final ganan todos. Entonces no me vengan con la estupidez que hacen los kukas psicópatas y los imbéciles de los periodistas, que dicen “no, bueno, pero la economía crece desigual” Sí, boludo, crece desigual. Tenés un progreso tecnológico enorme, tenés un cambio de precio relativo enorme, tenés una liberación enorme, entonces va a haber sectores que se van a expandir y hay sectores que se van a contraer. Ahora, cuando yo miro el índice de difusión es de 75%, Es decir de los 16 sectores crecen 12. Entonces si después vienen y agarran y hacen cherry picking y agarran los cuatro sectores que le van mal, del que le va mal agarran al que le va peor, hacen la falacia del todo por la parte, de tomar el peor de todos y generalizarlo y bueno. El problema ya no es ni la ignorancia ni lo malo que puede ser el que lo comunica, es un problema el que se lo cree.</t>
  </si>
  <si>
    <t>"Si ustedes matan los monopolios con las regulaciones, el resultado ¿cuál va a ser? que van a matar el progreso tecnológico" argues regulation categorically destroys innovation incentives, with "Argentina reventado, atestado de regulaciones no crecía, obvio" as the empirical clincher — regulatory density is presented as self-evidently (obvio) the cause of stagnation, requiring no further argument. This is the negative face of the code: regulation is not weighed against its stated purpose (limiting monopoly power) but dismissed as structurally growth-destroying.</t>
  </si>
  <si>
    <t>tubitos. Mientras que se puteaban con la condenada, después pagaban tres veces más caro. Una cosa interesante. Ahora miro cuánto ganan, cuánto pierden, hago utilitarismo político es: no, yo tengo que promover el crecimiento, tengo que promover la apertura, tengo que promover la destrucción creativa, tengo que hacer eso porque en términos de cálculo electoral me conviene. Pero se imaginarán que no puedo traicionar mi corazón de economista, es parte de mi vieja vida que la llevo conmigo y no pienso sacármela de encima, voy a seguir siendo economista.</t>
  </si>
  <si>
    <t>Milei explicitly invokes "la casta política" language ("Supongamos ahora que soy un hijo de remil puta, igual que toda la casta política") to frame a hypothetical of pure electoral self-interest, then illustrates the establishment's extractive dynamic with the "Don Chatarrín"/"Gomita Lumínica" tire- and tube-pricing example — protected businesses charging three to four times the competitive price. The mechanism matches the codebook's Anti_Casta definition precisely: protected insiders "viven de lo que otros producen" at 48 million Argentines' expense, functionally the same crony-protectionism attack coded as Anti_Casta for the FATE/Madanes Quintanilla passage at 2026-03-14 (Madrid), here delivered pseudonymously and folded into the explicit "casta" self-identification frame.</t>
  </si>
  <si>
    <t>Entonces, en ese en ese concepto hay una pérdida de eficiencia enorme. Porque además alguien lo tiene que financiar. Es decir, cuando dicen “no, bueno, pobre sector”. La pregunta es ¿cómo carajo lo vas a resolver? “No, bueno a bajar impuestos”. Nosotros bajamos los impuestos, ¿se te ocurrió pedirle a un gobernador que baje los impuestos o que baje Ingresos Brutos, pedirles a los intendentes que bajen los municipios? Nosotros bajamos. También hay que saber a quién le tienen que pedir cada cosa. Miren en Tres de Febrero cómo Valenzuela bajó un montón de tasas y tienen un montón de inversiones, el modelo funciona. Las provincias que tienen RIGI, funcionan. Pueden elegir ser la Unión Soviética, después no se quejen. Es un problema de qué elegimos y reclamarle al que le corresponde.</t>
  </si>
  <si>
    <t>Provincial tax-cutting and subsidy policy are framed as a binary choice against the Soviet Union itself ("pueden elegir ser la Unión Soviética") — a maximal equivalence collapsing ordinary provincial fiscal policy into a fully collectivized command economy. The move forecloses any middle-ground policy space: provinces that decline the deregulatory model are not merely making a different economic choice but choosing Soviet-style collectivism.</t>
  </si>
  <si>
    <t>los votos. La pregunta es ¿está bien hacer eso? ¿Cuántos están a favor del robo? ¿Cuántos están a favor del trato desigual frente a la ley? Esa es la clave. Si una política que ustedes implementan es injusta, van a tener problemas en la sociedad, porque se dan cuenta que son injustas, van a pegar negativamente en la eficiencia y además van a ir para atrás en términos de utilitarismo político. Cuando ustedes la ética y moral está alineado con la eficiencia, y está alineado con el utilitarismo político, la sociedad va a progresar. Cuando ustedes se preocupen por recolectar votos, eso va a terminar para el culo. La justicia social termina mal. Sí, la justicia social es mágica en términos de voto. Porque yo tengo cinco tipos, uno tiene 500, los otros tienen cero, le saco 400 al que tiene 500, queda todos y los reparto igualitariamente y no hay filtraciones, entonces todos quedan con 100. ¿Saben qué? Voy a una elección gano, gano con el 80%. Ahora alguien que va a invertir no invierte. ¿Por qué? Porque dice “no, porque si yo gano plata entonces me van a castigar y me van a sacar lo que gané”. Y el que va a laburar dice “no, yo no laburo porque básicamente me van a robar el fruto de mi trabajo, y se lo van a dar al que no labura”. Entonces nadie labura, nadie invierte, nadie hace nada, la economía se derrumba. Pero esa política se cae por sobre todas las cosas porque es injusta. Y es por eso que nosotros hacemos tanto foco en la moral como política de estado.</t>
  </si>
  <si>
    <t>"La justicia social termina mal" is asserted as a general law via the five-person redistribution thought experiment (taking 400 from the person with 500 and splitting it equally), concluding that redistributive "justicia social" is "mágica en términos de voto" but structurally destroys work and investment incentives. This frames collectivist redistribution as inherently self-destructive economic policy — a discrete general-collectivism claim (about "justicia social" as such) distinct from the earlier Keynes/USSR passages, which targeted specific doctrines or historical regimes rather than the redistributive mechanism itself.</t>
  </si>
  <si>
    <t>La transición, ustedes están teniendo cambio tecnológico, están teniendo liberación de rendimientos crecientes, tienen cambio de precio relativo, va a haber reasignación de recursos. Va a haber sectores que les va a ir mejor y hay sectores que les va a ir peor. Los que se les va peor si no se adaptan, quiebran. Gomita lumínica dijo “no, si no cazo en el zoológico, me voy”. Lumilagro dijo “No, yo voy y la peleo” y le está yendo bárbaro. Va a depender mucho de los empresarios. Qué es la realidad, siempre depende de los empresarios. Ustedes miran el crecimiento, sí, capital, trabajo, progreso tecnológico, pero sin empresario no hay nada. El héroe de esta película es el empresario. Y nosotros, como hacedores de política, tenemos que hacer políticas que sean justas. Me tienen las pelotas por el piso, fui a una reunión y dicen “¿en qué sectores tenemos que invertir?”. Le dije “¿pero sos boludo o te hacés?” Vos sos el empresario, vos sos el que dice dónde tiene que invertir. Nosotros lo que tenemos que hacer es nivelar la cancha, tenemos que sacarle todos los parásitos del medio, todo el estorbo fiscal, el estorbo regulatorio, el estorbo monetario, el estorbo cambiario, y nivelar la cancha. Don’t pick the winner. No elegimos ganadores nosotros. Van a tener que sacar su espíritu empresarial y esto lo van a dar vuelta los empresarios, los que crean valor, no los parásitos que destruyen valor. Por eso nosotros sacamos al Estado del medio y le devolvemos libertad a la gente.</t>
  </si>
  <si>
    <t>"Tenemos que sacarle todos los parásitos del medio, todo el estorbo fiscal, el estorbo regulatorio, el estorbo monetario, el estorbo cambiario" enumerates the fiscal, regulatory, monetary, and exchange-rate apparatus of the state as a unified "estorbo"/parasite to be cleared away — the canonical bureaucratic-bloat-as-parasite framing the codebook names as diagnostic of this code, culminating in "sacamos al Estado del medio." The entrepreneur is cast as the sole legitimate value-creator, with the state apparatus positioned as the value-destroying parasite opposite it.</t>
  </si>
  <si>
    <t>No esperen que nosotros les digamos “hay que hacer esto, no hay que hacer”. Todo lo que no está prohibido, está permitido. No soy como los otros políticos que está todo prohibido, salvo lo que yo te permito, no. Está todo permitido, mientras que no esté prohibido. Y está claro lo que no se puede: no se puede violar la vida, la libertad y la propiedad, y obviamente todo basado en el principio de no agresión. Eso lleva a la eficiencia económica, eso lleva a la prosperidad. Entonces fíjense qué preguntas están haciendo, porque puede ser que la pregunta sea tonta, no tenga sentido. Entonces qué hacemos ¿protegemos? Ya tuvimos industria Infante durante 70, 80 años ¿y cómo nos fue? Tenemos un Infante de 80 años. no avanzamos nada.</t>
  </si>
  <si>
    <t>"Todo lo que no está prohibido, está permitido... no soy como los otros políticos que está todo prohibido, salvo lo que yo te permito" states a default-permission regulatory philosophy explicitly against a default-prohibition characterization of "los otros políticos," delegitimizing conventional regulatory practice as such rather than any specific rule. The paragraph closes with the infant-industry argument ("industria Infante durante 70, 80 años... no avanzamos nada"), reinforcing that protective regulation is presented as categorically failed policy rather than weighed against its stated aims.</t>
  </si>
  <si>
    <t>Todas esas políticas fracasaron todas, ninguna funcionó. Por lo tanto, entendamos que estamos en una situación de mucho progreso tecnológico, en cambio de precios relativos, en gran desregulación, en que se corre el Estado del medio. Los precios relativos van a cambiar y los recursos se van a reasignar. Lo que necesitamos es que haya la mayor flexibilidad posible, para que las reasignaciones de recursos sean lo más rápido posible. Si aceptamos este desafío, que es el desafío del cambio, volveremos a ser grandes nuevamente. Si no tenemos los cojones para enfrentar el cambio, nos vamos a convertir en la mierda que nos llevaba el kirchnerismo.</t>
  </si>
  <si>
    <t>The speech's closing warning names "kirchnerismo" — Milei's standing label for domestic "socialismo del siglo XXI" (cf. the 2026-03-14 Madrid coding) — as the default fate awaiting Argentina should it fail to embrace the deregulatory transition just described. This is a discrete rhetorical move (the concluding stakes-setting device) rather than elaboration of the growth-theory content preceding it.</t>
  </si>
  <si>
    <t>Dimension Totals  —  values update automatically from 'Coded Passages'</t>
  </si>
  <si>
    <t>Total</t>
  </si>
  <si>
    <t>% of Corpus</t>
  </si>
  <si>
    <t>IND</t>
  </si>
  <si>
    <t>Inductive</t>
  </si>
  <si>
    <t>TOTAL</t>
  </si>
  <si>
    <t>All Dimensions</t>
  </si>
  <si>
    <t>Code Frequency by Sub-code × Speech  —  values update automatically from 'Coded Passages'</t>
  </si>
  <si>
    <t>Dim</t>
  </si>
  <si>
    <t>Sub-code</t>
  </si>
  <si>
    <t>All Sub-codes</t>
  </si>
  <si>
    <t>Debate Presidencial</t>
  </si>
  <si>
    <t>Acto Institucional</t>
  </si>
  <si>
    <t>Cadena Nacional</t>
  </si>
  <si>
    <t>Foro Economico</t>
  </si>
  <si>
    <t>Evento Ideologico/Politico</t>
  </si>
  <si>
    <t>Acto Conmemorativo/Patrio</t>
  </si>
  <si>
    <t>Bilateral / Diplomatico</t>
  </si>
  <si>
    <t>Fundacion / Think Tank</t>
  </si>
  <si>
    <t>Consejo Empresarial</t>
  </si>
  <si>
    <t>Clase Magistral / Universidad</t>
  </si>
  <si>
    <t>Sectorial</t>
  </si>
  <si>
    <t>Premio / Reconocimiento</t>
  </si>
  <si>
    <t>Bolsa / Camara De Comercio</t>
  </si>
  <si>
    <t>Empresa</t>
  </si>
  <si>
    <t>Cumbre Internacional</t>
  </si>
  <si>
    <t>Organismo Internacional</t>
  </si>
  <si>
    <t>Comunitario / Religioso</t>
  </si>
  <si>
    <t>Evento Empresarial</t>
  </si>
  <si>
    <t>Foro Economico / Empresarial</t>
  </si>
  <si>
    <t>Evento Economico / Cultural</t>
  </si>
  <si>
    <t>Foro Economico / Financiero</t>
  </si>
  <si>
    <t>Code Frequency by Scope  —  values update automatically from 'Coded Passages'</t>
  </si>
  <si>
    <t>Sub-code Frequency Ranking — National vs. International</t>
  </si>
  <si>
    <t>Count</t>
  </si>
  <si>
    <t>Code Frequency by Venue Group  —  values update automatically from 'Coded Passages'</t>
  </si>
  <si>
    <t>Sub-code Detail × Venue Group</t>
  </si>
  <si>
    <t>Sub-code Detail by Scope</t>
  </si>
  <si>
    <t>to manually check</t>
  </si>
  <si>
    <t>juani</t>
  </si>
  <si>
    <t>eli</t>
  </si>
  <si>
    <t>german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</si>
</sst>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1"/>
      <color theme="1"/>
      <name val="Calibri"/>
      <family val="2"/>
      <scheme val="minor"/>
    </font>
    <font>
      <b/>
      <sz val="12"/>
      <color rgb="FF111827"/>
      <name val="Calibri"/>
    </font>
    <font>
      <b/>
      <sz val="10"/>
      <color rgb="FFFFFFFF"/>
      <name val="Calibri"/>
    </font>
    <font>
      <sz val="10"/>
      <name val="Calibri"/>
    </font>
    <font>
      <b/>
      <sz val="11"/>
      <color rgb="FFFFFFFF"/>
      <name val="Calibri"/>
    </font>
    <font>
      <b/>
      <sz val="11"/>
      <name val="Calibri"/>
    </font>
    <font>
      <b/>
      <sz val="11"/>
      <name val="Calibri"/>
    </font>
    <font>
      <b/>
      <sz val="10"/>
      <name val="Calibri"/>
    </font>
    <font>
      <sz val="11"/>
      <color theme="1"/>
      <name val="Calibri"/>
      <family val="2"/>
      <scheme val="minor"/>
    </font>
    <font>
      <b/>
      <sz val="11"/>
      <color theme="1"/>
      <name val="Calibri"/>
      <family val="2"/>
      <scheme val="minor"/>
    </font>
  </fonts>
  <fills count="12">
    <fill>
      <patternFill patternType="none"/>
    </fill>
    <fill>
      <patternFill patternType="gray125"/>
    </fill>
    <fill>
      <patternFill patternType="solid">
        <fgColor rgb="FFE0F2FE"/>
      </patternFill>
    </fill>
    <fill>
      <patternFill patternType="solid">
        <fgColor rgb="FF1E3A5F"/>
      </patternFill>
    </fill>
    <fill>
      <patternFill patternType="solid">
        <fgColor rgb="FFF59E0B"/>
      </patternFill>
    </fill>
    <fill>
      <patternFill patternType="solid">
        <fgColor rgb="FF3B82F6"/>
      </patternFill>
    </fill>
    <fill>
      <patternFill patternType="solid">
        <fgColor rgb="FFEF4444"/>
      </patternFill>
    </fill>
    <fill>
      <patternFill patternType="solid">
        <fgColor rgb="FF9CA3AF"/>
      </patternFill>
    </fill>
    <fill>
      <patternFill patternType="solid">
        <fgColor rgb="FFF0FDF4"/>
      </patternFill>
    </fill>
    <fill>
      <patternFill patternType="solid">
        <fgColor rgb="FF374151"/>
      </patternFill>
    </fill>
    <fill>
      <patternFill patternType="solid">
        <fgColor rgb="FFF59E0B"/>
        <bgColor indexed="64"/>
      </patternFill>
    </fill>
    <fill>
      <patternFill patternType="solid">
        <fgColor rgb="FFFFFF00"/>
        <bgColor indexed="64"/>
      </patternFill>
    </fill>
  </fills>
  <borders count="1">
    <border>
      <left/>
      <right/>
      <top/>
      <bottom/>
      <diagonal/>
    </border>
  </borders>
  <cellStyleXfs count="2">
    <xf numFmtId="0" fontId="0" fillId="0" borderId="0"/>
    <xf numFmtId="9" fontId="8" fillId="0" borderId="0" applyFont="0" applyFill="0" applyBorder="0" applyAlignment="0" applyProtection="0"/>
  </cellStyleXfs>
  <cellXfs count="27">
    <xf numFmtId="0" fontId="0" fillId="0" borderId="0" xfId="0"/>
    <xf numFmtId="0" fontId="2" fillId="3" borderId="0" xfId="0" applyFont="1" applyFill="1" applyAlignment="1">
      <alignment horizontal="center" vertical="center"/>
    </xf>
    <xf numFmtId="0" fontId="4" fillId="4" borderId="0" xfId="0" applyFont="1" applyFill="1" applyAlignment="1">
      <alignment horizontal="center" vertical="top"/>
    </xf>
    <xf numFmtId="0" fontId="4" fillId="4" borderId="0" xfId="0" applyFont="1" applyFill="1" applyAlignment="1">
      <alignment horizontal="center" vertical="top" wrapText="1"/>
    </xf>
    <xf numFmtId="0" fontId="3" fillId="0" borderId="0" xfId="0" applyFont="1" applyAlignment="1">
      <alignment vertical="top" wrapText="1"/>
    </xf>
    <xf numFmtId="0" fontId="4" fillId="5" borderId="0" xfId="0" applyFont="1" applyFill="1" applyAlignment="1">
      <alignment horizontal="center" vertical="top"/>
    </xf>
    <xf numFmtId="0" fontId="4" fillId="5" borderId="0" xfId="0" applyFont="1" applyFill="1" applyAlignment="1">
      <alignment horizontal="center" vertical="top" wrapText="1"/>
    </xf>
    <xf numFmtId="0" fontId="4" fillId="6" borderId="0" xfId="0" applyFont="1" applyFill="1" applyAlignment="1">
      <alignment horizontal="center" vertical="top"/>
    </xf>
    <xf numFmtId="0" fontId="4" fillId="6" borderId="0" xfId="0" applyFont="1" applyFill="1" applyAlignment="1">
      <alignment horizontal="center" vertical="top" wrapText="1"/>
    </xf>
    <xf numFmtId="0" fontId="4" fillId="5" borderId="0" xfId="0" applyFont="1" applyFill="1" applyAlignment="1">
      <alignment horizontal="center" vertical="center"/>
    </xf>
    <xf numFmtId="164" fontId="0" fillId="0" borderId="0" xfId="0" applyNumberFormat="1"/>
    <xf numFmtId="0" fontId="4" fillId="4" borderId="0" xfId="0" applyFont="1" applyFill="1" applyAlignment="1">
      <alignment horizontal="center" vertical="center"/>
    </xf>
    <xf numFmtId="0" fontId="4" fillId="6" borderId="0" xfId="0" applyFont="1" applyFill="1" applyAlignment="1">
      <alignment horizontal="center" vertical="center"/>
    </xf>
    <xf numFmtId="0" fontId="4" fillId="7" borderId="0" xfId="0" applyFont="1" applyFill="1" applyAlignment="1">
      <alignment horizontal="center" vertical="center"/>
    </xf>
    <xf numFmtId="0" fontId="6" fillId="0" borderId="0" xfId="0" applyFont="1"/>
    <xf numFmtId="164" fontId="6" fillId="0" borderId="0" xfId="0" applyNumberFormat="1" applyFont="1"/>
    <xf numFmtId="0" fontId="3" fillId="0" borderId="0" xfId="0" applyFont="1"/>
    <xf numFmtId="0" fontId="2" fillId="9" borderId="0" xfId="0" applyFont="1" applyFill="1" applyAlignment="1">
      <alignment horizontal="center" vertical="center"/>
    </xf>
    <xf numFmtId="0" fontId="7" fillId="0" borderId="0" xfId="0" applyFont="1"/>
    <xf numFmtId="0" fontId="1" fillId="2" borderId="0" xfId="0" applyFont="1" applyFill="1" applyAlignment="1">
      <alignment horizontal="left" vertical="center"/>
    </xf>
    <xf numFmtId="0" fontId="0" fillId="0" borderId="0" xfId="0"/>
    <xf numFmtId="0" fontId="5" fillId="2" borderId="0" xfId="0" applyFont="1" applyFill="1"/>
    <xf numFmtId="0" fontId="5" fillId="8" borderId="0" xfId="0" applyFont="1" applyFill="1"/>
    <xf numFmtId="0" fontId="4" fillId="10" borderId="0" xfId="0" applyFont="1" applyFill="1" applyAlignment="1">
      <alignment horizontal="center" vertical="center"/>
    </xf>
    <xf numFmtId="9" fontId="0" fillId="0" borderId="0" xfId="1" applyFont="1"/>
    <xf numFmtId="0" fontId="0" fillId="11" borderId="0" xfId="0" applyFill="1"/>
    <xf numFmtId="0" fontId="9" fillId="0" borderId="0" xfId="0" applyFont="1"/>
  </cellXfs>
  <cellStyles count="2">
    <cellStyle name="Normal" xfId="0" builtinId="0"/>
    <cellStyle name="Percent" xfId="1" builtinId="5"/>
  </cellStyles>
  <dxfs count="0"/>
  <tableStyles count="0" defaultTableStyle="TableStyleMedium9" defaultPivotStyle="PivotStyleLight16"/>
  <colors>
    <mruColors>
      <color rgb="FF3B82F6"/>
      <color rgb="FFEF4444"/>
      <color rgb="FFF59E0B"/>
      <color rgb="FF4F81B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3.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4.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5.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6.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7.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8.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GB"/>
              <a:t>Dimension Share of Total Annotations</a:t>
            </a:r>
          </a:p>
        </c:rich>
      </c:tx>
      <c:overlay val="0"/>
    </c:title>
    <c:autoTitleDeleted val="0"/>
    <c:plotArea>
      <c:layout/>
      <c:pieChart>
        <c:varyColors val="1"/>
        <c:ser>
          <c:idx val="0"/>
          <c:order val="0"/>
          <c:spPr>
            <a:ln>
              <a:prstDash val="solid"/>
            </a:ln>
          </c:spPr>
          <c:dPt>
            <c:idx val="0"/>
            <c:bubble3D val="0"/>
            <c:spPr>
              <a:solidFill>
                <a:srgbClr val="3B82F6"/>
              </a:solidFill>
              <a:ln>
                <a:prstDash val="solid"/>
              </a:ln>
            </c:spPr>
            <c:extLst>
              <c:ext xmlns:c16="http://schemas.microsoft.com/office/drawing/2014/chart" uri="{C3380CC4-5D6E-409C-BE32-E72D297353CC}">
                <c16:uniqueId val="{00000003-779A-41A2-9D37-959610874789}"/>
              </c:ext>
            </c:extLst>
          </c:dPt>
          <c:dPt>
            <c:idx val="1"/>
            <c:bubble3D val="0"/>
            <c:spPr>
              <a:solidFill>
                <a:srgbClr val="F59E0B"/>
              </a:solidFill>
              <a:ln>
                <a:prstDash val="solid"/>
              </a:ln>
            </c:spPr>
            <c:extLst>
              <c:ext xmlns:c16="http://schemas.microsoft.com/office/drawing/2014/chart" uri="{C3380CC4-5D6E-409C-BE32-E72D297353CC}">
                <c16:uniqueId val="{00000001-779A-41A2-9D37-959610874789}"/>
              </c:ext>
            </c:extLst>
          </c:dPt>
          <c:dPt>
            <c:idx val="2"/>
            <c:bubble3D val="0"/>
            <c:spPr>
              <a:solidFill>
                <a:srgbClr val="EF4444"/>
              </a:solidFill>
              <a:ln>
                <a:prstDash val="solid"/>
              </a:ln>
            </c:spPr>
            <c:extLst>
              <c:ext xmlns:c16="http://schemas.microsoft.com/office/drawing/2014/chart" uri="{C3380CC4-5D6E-409C-BE32-E72D297353CC}">
                <c16:uniqueId val="{00000002-779A-41A2-9D37-959610874789}"/>
              </c:ext>
            </c:extLst>
          </c:dPt>
          <c:dLbls>
            <c:spPr>
              <a:noFill/>
              <a:ln>
                <a:noFill/>
              </a:ln>
              <a:effectLst/>
            </c:spPr>
            <c:dLblPos val="ctr"/>
            <c:showLegendKey val="0"/>
            <c:showVal val="1"/>
            <c:showCatName val="0"/>
            <c:showSerName val="0"/>
            <c:showPercent val="0"/>
            <c:showBubbleSize val="0"/>
            <c:showLeaderLines val="1"/>
            <c:extLst>
              <c:ext xmlns:c15="http://schemas.microsoft.com/office/drawing/2012/chart" uri="{CE6537A1-D6FC-4f65-9D91-7224C49458BB}"/>
            </c:extLst>
          </c:dLbls>
          <c:cat>
            <c:strRef>
              <c:extLst>
                <c:ext xmlns:c15="http://schemas.microsoft.com/office/drawing/2012/chart" uri="{02D57815-91ED-43cb-92C2-25804820EDAC}">
                  <c15:fullRef>
                    <c15:sqref>'Freq — By Dimension'!$A$3:$A$6</c15:sqref>
                  </c15:fullRef>
                </c:ext>
              </c:extLst>
              <c:f>'Freq — By Dimension'!$A$3:$A$5</c:f>
              <c:strCache>
                <c:ptCount val="3"/>
                <c:pt idx="0">
                  <c:v>D1.1</c:v>
                </c:pt>
                <c:pt idx="1">
                  <c:v>D1.2</c:v>
                </c:pt>
                <c:pt idx="2">
                  <c:v>D1.3</c:v>
                </c:pt>
              </c:strCache>
            </c:strRef>
          </c:cat>
          <c:val>
            <c:numRef>
              <c:extLst>
                <c:ext xmlns:c15="http://schemas.microsoft.com/office/drawing/2012/chart" uri="{02D57815-91ED-43cb-92C2-25804820EDAC}">
                  <c15:fullRef>
                    <c15:sqref>'Freq — By Dimension'!$C$3:$C$6</c15:sqref>
                  </c15:fullRef>
                </c:ext>
              </c:extLst>
              <c:f>'Freq — By Dimension'!$C$3:$C$5</c:f>
              <c:numCache>
                <c:formatCode>General</c:formatCode>
                <c:ptCount val="3"/>
                <c:pt idx="0">
                  <c:v>377</c:v>
                </c:pt>
                <c:pt idx="1">
                  <c:v>66</c:v>
                </c:pt>
                <c:pt idx="2">
                  <c:v>170</c:v>
                </c:pt>
              </c:numCache>
            </c:numRef>
          </c:val>
          <c:extLst>
            <c:ext xmlns:c16="http://schemas.microsoft.com/office/drawing/2014/chart" uri="{C3380CC4-5D6E-409C-BE32-E72D297353CC}">
              <c16:uniqueId val="{00000000-779A-41A2-9D37-959610874789}"/>
            </c:ext>
          </c:extLst>
        </c:ser>
        <c:dLbls>
          <c:dLblPos val="ctr"/>
          <c:showLegendKey val="0"/>
          <c:showVal val="1"/>
          <c:showCatName val="0"/>
          <c:showSerName val="0"/>
          <c:showPercent val="0"/>
          <c:showBubbleSize val="0"/>
          <c:showLeaderLines val="1"/>
        </c:dLbls>
        <c:firstSliceAng val="0"/>
      </c:pieChart>
    </c:plotArea>
    <c:legend>
      <c:legendPos val="r"/>
      <c:overlay val="1"/>
    </c:legend>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GB"/>
              <a:t>Dimension Totals</a:t>
            </a:r>
          </a:p>
        </c:rich>
      </c:tx>
      <c:overlay val="1"/>
    </c:title>
    <c:autoTitleDeleted val="0"/>
    <c:plotArea>
      <c:layout/>
      <c:barChart>
        <c:barDir val="col"/>
        <c:grouping val="clustered"/>
        <c:varyColors val="1"/>
        <c:ser>
          <c:idx val="0"/>
          <c:order val="0"/>
          <c:spPr>
            <a:solidFill>
              <a:srgbClr val="3B82F6"/>
            </a:solidFill>
            <a:ln>
              <a:prstDash val="solid"/>
            </a:ln>
          </c:spPr>
          <c:invertIfNegative val="1"/>
          <c:dPt>
            <c:idx val="1"/>
            <c:invertIfNegative val="1"/>
            <c:bubble3D val="0"/>
            <c:spPr>
              <a:solidFill>
                <a:srgbClr val="F59E0B"/>
              </a:solidFill>
              <a:ln>
                <a:prstDash val="solid"/>
              </a:ln>
            </c:spPr>
            <c:extLst>
              <c:ext xmlns:c16="http://schemas.microsoft.com/office/drawing/2014/chart" uri="{C3380CC4-5D6E-409C-BE32-E72D297353CC}">
                <c16:uniqueId val="{00000002-34C8-453E-A586-F90AB736EF85}"/>
              </c:ext>
            </c:extLst>
          </c:dPt>
          <c:dPt>
            <c:idx val="2"/>
            <c:invertIfNegative val="1"/>
            <c:bubble3D val="0"/>
            <c:spPr>
              <a:solidFill>
                <a:srgbClr val="EF4444"/>
              </a:solidFill>
              <a:ln>
                <a:prstDash val="solid"/>
              </a:ln>
            </c:spPr>
            <c:extLst>
              <c:ext xmlns:c16="http://schemas.microsoft.com/office/drawing/2014/chart" uri="{C3380CC4-5D6E-409C-BE32-E72D297353CC}">
                <c16:uniqueId val="{00000001-34C8-453E-A586-F90AB736EF85}"/>
              </c:ext>
            </c:extLst>
          </c:dPt>
          <c:cat>
            <c:strRef>
              <c:extLst>
                <c:ext xmlns:c15="http://schemas.microsoft.com/office/drawing/2012/chart" uri="{02D57815-91ED-43cb-92C2-25804820EDAC}">
                  <c15:fullRef>
                    <c15:sqref>'Freq — By Dimension'!$A$3:$A$6</c15:sqref>
                  </c15:fullRef>
                </c:ext>
              </c:extLst>
              <c:f>'Freq — By Dimension'!$A$3:$A$5</c:f>
              <c:strCache>
                <c:ptCount val="3"/>
                <c:pt idx="0">
                  <c:v>D1.1</c:v>
                </c:pt>
                <c:pt idx="1">
                  <c:v>D1.2</c:v>
                </c:pt>
                <c:pt idx="2">
                  <c:v>D1.3</c:v>
                </c:pt>
              </c:strCache>
            </c:strRef>
          </c:cat>
          <c:val>
            <c:numRef>
              <c:extLst>
                <c:ext xmlns:c15="http://schemas.microsoft.com/office/drawing/2012/chart" uri="{02D57815-91ED-43cb-92C2-25804820EDAC}">
                  <c15:fullRef>
                    <c15:sqref>'Freq — By Dimension'!$C$3:$C$6</c15:sqref>
                  </c15:fullRef>
                </c:ext>
              </c:extLst>
              <c:f>'Freq — By Dimension'!$C$3:$C$5</c:f>
              <c:numCache>
                <c:formatCode>General</c:formatCode>
                <c:ptCount val="3"/>
                <c:pt idx="0">
                  <c:v>377</c:v>
                </c:pt>
                <c:pt idx="1">
                  <c:v>66</c:v>
                </c:pt>
                <c:pt idx="2">
                  <c:v>170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34C8-453E-A586-F90AB736EF85}"/>
            </c:ext>
          </c:extLst>
        </c:ser>
        <c:dLbls>
          <c:showLegendKey val="0"/>
          <c:showVal val="0"/>
          <c:showCatName val="0"/>
          <c:showSerName val="0"/>
          <c:showPercent val="0"/>
          <c:showBubbleSize val="0"/>
        </c:dLbls>
        <c:gapWidth val="57"/>
        <c:overlap val="2"/>
        <c:axId val="10"/>
        <c:axId val="100"/>
      </c:barChart>
      <c:catAx>
        <c:axId val="10"/>
        <c:scaling>
          <c:orientation val="minMax"/>
        </c:scaling>
        <c:delete val="0"/>
        <c:axPos val="b"/>
        <c:numFmt formatCode="General" sourceLinked="1"/>
        <c:majorTickMark val="out"/>
        <c:minorTickMark val="none"/>
        <c:tickLblPos val="nextTo"/>
        <c:crossAx val="100"/>
        <c:crosses val="autoZero"/>
        <c:auto val="1"/>
        <c:lblAlgn val="ctr"/>
        <c:lblOffset val="100"/>
        <c:noMultiLvlLbl val="1"/>
      </c:catAx>
      <c:valAx>
        <c:axId val="100"/>
        <c:scaling>
          <c:orientation val="minMax"/>
        </c:scaling>
        <c:delete val="0"/>
        <c:axPos val="l"/>
        <c:majorGridlines/>
        <c:title>
          <c:tx>
            <c:rich>
              <a:bodyPr/>
              <a:lstStyle/>
              <a:p>
                <a:pPr>
                  <a:defRPr/>
                </a:pPr>
                <a:r>
                  <a:rPr lang="en-GB"/>
                  <a:t>Annotations</a:t>
                </a:r>
              </a:p>
            </c:rich>
          </c:tx>
          <c:overlay val="0"/>
        </c:title>
        <c:numFmt formatCode="General" sourceLinked="1"/>
        <c:majorTickMark val="out"/>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Frequency ranking by sub-code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dPt>
            <c:idx val="0"/>
            <c:invertIfNegative val="0"/>
            <c:bubble3D val="0"/>
            <c:spPr>
              <a:solidFill>
                <a:srgbClr val="3B82F6"/>
              </a:solidFill>
              <a:ln>
                <a:noFill/>
              </a:ln>
              <a:effectLst/>
            </c:spPr>
            <c:extLst>
              <c:ext xmlns:c16="http://schemas.microsoft.com/office/drawing/2014/chart" uri="{C3380CC4-5D6E-409C-BE32-E72D297353CC}">
                <c16:uniqueId val="{00000001-D39C-48A7-85D1-E0EAF7F3DB98}"/>
              </c:ext>
            </c:extLst>
          </c:dPt>
          <c:dPt>
            <c:idx val="1"/>
            <c:invertIfNegative val="0"/>
            <c:bubble3D val="0"/>
            <c:spPr>
              <a:solidFill>
                <a:srgbClr val="EF4444"/>
              </a:solidFill>
              <a:ln>
                <a:noFill/>
              </a:ln>
              <a:effectLst/>
            </c:spPr>
            <c:extLst>
              <c:ext xmlns:c16="http://schemas.microsoft.com/office/drawing/2014/chart" uri="{C3380CC4-5D6E-409C-BE32-E72D297353CC}">
                <c16:uniqueId val="{00000002-D39C-48A7-85D1-E0EAF7F3DB98}"/>
              </c:ext>
            </c:extLst>
          </c:dPt>
          <c:dPt>
            <c:idx val="2"/>
            <c:invertIfNegative val="0"/>
            <c:bubble3D val="0"/>
            <c:spPr>
              <a:solidFill>
                <a:srgbClr val="3B82F6"/>
              </a:solidFill>
              <a:ln>
                <a:noFill/>
              </a:ln>
              <a:effectLst/>
            </c:spPr>
            <c:extLst>
              <c:ext xmlns:c16="http://schemas.microsoft.com/office/drawing/2014/chart" uri="{C3380CC4-5D6E-409C-BE32-E72D297353CC}">
                <c16:uniqueId val="{00000003-D39C-48A7-85D1-E0EAF7F3DB98}"/>
              </c:ext>
            </c:extLst>
          </c:dPt>
          <c:dPt>
            <c:idx val="3"/>
            <c:invertIfNegative val="0"/>
            <c:bubble3D val="0"/>
            <c:spPr>
              <a:solidFill>
                <a:srgbClr val="3B82F6"/>
              </a:solidFill>
              <a:ln>
                <a:noFill/>
              </a:ln>
              <a:effectLst/>
            </c:spPr>
            <c:extLst>
              <c:ext xmlns:c16="http://schemas.microsoft.com/office/drawing/2014/chart" uri="{C3380CC4-5D6E-409C-BE32-E72D297353CC}">
                <c16:uniqueId val="{00000004-D39C-48A7-85D1-E0EAF7F3DB98}"/>
              </c:ext>
            </c:extLst>
          </c:dPt>
          <c:dPt>
            <c:idx val="4"/>
            <c:invertIfNegative val="0"/>
            <c:bubble3D val="0"/>
            <c:spPr>
              <a:solidFill>
                <a:srgbClr val="EF4444"/>
              </a:solidFill>
              <a:ln>
                <a:noFill/>
              </a:ln>
              <a:effectLst/>
            </c:spPr>
            <c:extLst>
              <c:ext xmlns:c16="http://schemas.microsoft.com/office/drawing/2014/chart" uri="{C3380CC4-5D6E-409C-BE32-E72D297353CC}">
                <c16:uniqueId val="{00000005-D39C-48A7-85D1-E0EAF7F3DB98}"/>
              </c:ext>
            </c:extLst>
          </c:dPt>
          <c:dPt>
            <c:idx val="5"/>
            <c:invertIfNegative val="0"/>
            <c:bubble3D val="0"/>
            <c:spPr>
              <a:solidFill>
                <a:srgbClr val="3B82F6"/>
              </a:solidFill>
              <a:ln>
                <a:noFill/>
              </a:ln>
              <a:effectLst/>
            </c:spPr>
            <c:extLst>
              <c:ext xmlns:c16="http://schemas.microsoft.com/office/drawing/2014/chart" uri="{C3380CC4-5D6E-409C-BE32-E72D297353CC}">
                <c16:uniqueId val="{00000006-D39C-48A7-85D1-E0EAF7F3DB98}"/>
              </c:ext>
            </c:extLst>
          </c:dPt>
          <c:dPt>
            <c:idx val="6"/>
            <c:invertIfNegative val="0"/>
            <c:bubble3D val="0"/>
            <c:spPr>
              <a:solidFill>
                <a:srgbClr val="F59E0B"/>
              </a:solidFill>
              <a:ln>
                <a:noFill/>
              </a:ln>
              <a:effectLst/>
            </c:spPr>
            <c:extLst>
              <c:ext xmlns:c16="http://schemas.microsoft.com/office/drawing/2014/chart" uri="{C3380CC4-5D6E-409C-BE32-E72D297353CC}">
                <c16:uniqueId val="{00000007-D39C-48A7-85D1-E0EAF7F3DB98}"/>
              </c:ext>
            </c:extLst>
          </c:dPt>
          <c:dPt>
            <c:idx val="7"/>
            <c:invertIfNegative val="0"/>
            <c:bubble3D val="0"/>
            <c:spPr>
              <a:solidFill>
                <a:srgbClr val="EF4444"/>
              </a:solidFill>
              <a:ln>
                <a:noFill/>
              </a:ln>
              <a:effectLst/>
            </c:spPr>
            <c:extLst>
              <c:ext xmlns:c16="http://schemas.microsoft.com/office/drawing/2014/chart" uri="{C3380CC4-5D6E-409C-BE32-E72D297353CC}">
                <c16:uniqueId val="{00000008-D39C-48A7-85D1-E0EAF7F3DB98}"/>
              </c:ext>
            </c:extLst>
          </c:dPt>
          <c:dPt>
            <c:idx val="8"/>
            <c:invertIfNegative val="0"/>
            <c:bubble3D val="0"/>
            <c:spPr>
              <a:solidFill>
                <a:srgbClr val="3B82F6"/>
              </a:solidFill>
              <a:ln>
                <a:noFill/>
              </a:ln>
              <a:effectLst/>
            </c:spPr>
            <c:extLst>
              <c:ext xmlns:c16="http://schemas.microsoft.com/office/drawing/2014/chart" uri="{C3380CC4-5D6E-409C-BE32-E72D297353CC}">
                <c16:uniqueId val="{00000009-D39C-48A7-85D1-E0EAF7F3DB98}"/>
              </c:ext>
            </c:extLst>
          </c:dPt>
          <c:dPt>
            <c:idx val="9"/>
            <c:invertIfNegative val="0"/>
            <c:bubble3D val="0"/>
            <c:spPr>
              <a:solidFill>
                <a:srgbClr val="3B82F6"/>
              </a:solidFill>
              <a:ln>
                <a:noFill/>
              </a:ln>
              <a:effectLst/>
            </c:spPr>
            <c:extLst>
              <c:ext xmlns:c16="http://schemas.microsoft.com/office/drawing/2014/chart" uri="{C3380CC4-5D6E-409C-BE32-E72D297353CC}">
                <c16:uniqueId val="{0000000A-D39C-48A7-85D1-E0EAF7F3DB98}"/>
              </c:ext>
            </c:extLst>
          </c:dPt>
          <c:dPt>
            <c:idx val="10"/>
            <c:invertIfNegative val="0"/>
            <c:bubble3D val="0"/>
            <c:spPr>
              <a:solidFill>
                <a:srgbClr val="F59E0B"/>
              </a:solidFill>
              <a:ln>
                <a:noFill/>
              </a:ln>
              <a:effectLst/>
            </c:spPr>
            <c:extLst>
              <c:ext xmlns:c16="http://schemas.microsoft.com/office/drawing/2014/chart" uri="{C3380CC4-5D6E-409C-BE32-E72D297353CC}">
                <c16:uniqueId val="{0000000B-D39C-48A7-85D1-E0EAF7F3DB98}"/>
              </c:ext>
            </c:extLst>
          </c:dPt>
          <c:dPt>
            <c:idx val="11"/>
            <c:invertIfNegative val="0"/>
            <c:bubble3D val="0"/>
            <c:spPr>
              <a:solidFill>
                <a:srgbClr val="F59E0B"/>
              </a:solidFill>
              <a:ln>
                <a:noFill/>
              </a:ln>
              <a:effectLst/>
            </c:spPr>
            <c:extLst>
              <c:ext xmlns:c16="http://schemas.microsoft.com/office/drawing/2014/chart" uri="{C3380CC4-5D6E-409C-BE32-E72D297353CC}">
                <c16:uniqueId val="{0000000C-D39C-48A7-85D1-E0EAF7F3DB98}"/>
              </c:ext>
            </c:extLst>
          </c:dPt>
          <c:dPt>
            <c:idx val="12"/>
            <c:invertIfNegative val="0"/>
            <c:bubble3D val="0"/>
            <c:spPr>
              <a:solidFill>
                <a:srgbClr val="F59E0B"/>
              </a:solidFill>
              <a:ln>
                <a:noFill/>
              </a:ln>
              <a:effectLst/>
            </c:spPr>
            <c:extLst>
              <c:ext xmlns:c16="http://schemas.microsoft.com/office/drawing/2014/chart" uri="{C3380CC4-5D6E-409C-BE32-E72D297353CC}">
                <c16:uniqueId val="{0000000D-D39C-48A7-85D1-E0EAF7F3DB98}"/>
              </c:ext>
            </c:extLst>
          </c:dPt>
          <c:dPt>
            <c:idx val="13"/>
            <c:invertIfNegative val="0"/>
            <c:bubble3D val="0"/>
            <c:spPr>
              <a:solidFill>
                <a:srgbClr val="F59E0B"/>
              </a:solidFill>
              <a:ln>
                <a:noFill/>
              </a:ln>
              <a:effectLst/>
            </c:spPr>
            <c:extLst>
              <c:ext xmlns:c16="http://schemas.microsoft.com/office/drawing/2014/chart" uri="{C3380CC4-5D6E-409C-BE32-E72D297353CC}">
                <c16:uniqueId val="{0000000E-D39C-48A7-85D1-E0EAF7F3DB98}"/>
              </c:ext>
            </c:extLst>
          </c:dPt>
          <c:cat>
            <c:strRef>
              <c:f>'Freq — By Sub-code'!$B$3:$B$16</c:f>
              <c:strCache>
                <c:ptCount val="14"/>
                <c:pt idx="0">
                  <c:v>Anti-Casta (Elite Frame)</c:v>
                </c:pt>
                <c:pt idx="1">
                  <c:v>Anti-Socialism / Anti-Collectivism</c:v>
                </c:pt>
                <c:pt idx="2">
                  <c:v>Anti-State / Anti-Bureaucratic</c:v>
                </c:pt>
                <c:pt idx="3">
                  <c:v>Delegitimization of Regulation</c:v>
                </c:pt>
                <c:pt idx="4">
                  <c:v>Woke Bundling</c:v>
                </c:pt>
                <c:pt idx="5">
                  <c:v>Market Primacy</c:v>
                </c:pt>
                <c:pt idx="6">
                  <c:v>Attack on Experts &amp; Technocrats</c:v>
                </c:pt>
                <c:pt idx="7">
                  <c:v>Civilizational Defense</c:v>
                </c:pt>
                <c:pt idx="8">
                  <c:v>Sustainability as Ideological or Harmful</c:v>
                </c:pt>
                <c:pt idx="9">
                  <c:v>Rejection of Multilateral Governance</c:v>
                </c:pt>
                <c:pt idx="10">
                  <c:v>Attack on Universities &amp; Research Institutions</c:v>
                </c:pt>
                <c:pt idx="11">
                  <c:v>Pseudo-Science / Ideological Science</c:v>
                </c:pt>
                <c:pt idx="12">
                  <c:v>Climate Skepticism or Dismissal</c:v>
                </c:pt>
                <c:pt idx="13">
                  <c:v>Selective Empiricism</c:v>
                </c:pt>
              </c:strCache>
            </c:strRef>
          </c:cat>
          <c:val>
            <c:numRef>
              <c:f>'Freq — By Sub-code'!$FP$3:$FP$16</c:f>
              <c:numCache>
                <c:formatCode>General</c:formatCode>
                <c:ptCount val="14"/>
                <c:pt idx="0">
                  <c:v>116</c:v>
                </c:pt>
                <c:pt idx="1">
                  <c:v>102</c:v>
                </c:pt>
                <c:pt idx="2">
                  <c:v>93</c:v>
                </c:pt>
                <c:pt idx="3">
                  <c:v>85</c:v>
                </c:pt>
                <c:pt idx="4">
                  <c:v>41</c:v>
                </c:pt>
                <c:pt idx="5">
                  <c:v>35</c:v>
                </c:pt>
                <c:pt idx="6">
                  <c:v>32</c:v>
                </c:pt>
                <c:pt idx="7">
                  <c:v>27</c:v>
                </c:pt>
                <c:pt idx="8">
                  <c:v>24</c:v>
                </c:pt>
                <c:pt idx="9">
                  <c:v>24</c:v>
                </c:pt>
                <c:pt idx="10">
                  <c:v>14</c:v>
                </c:pt>
                <c:pt idx="11">
                  <c:v>10</c:v>
                </c:pt>
                <c:pt idx="12">
                  <c:v>7</c:v>
                </c:pt>
                <c:pt idx="13">
                  <c:v>3</c:v>
                </c:pt>
              </c:numCache>
            </c:numRef>
          </c:val>
          <c:extLst>
            <c:ext xmlns:c16="http://schemas.microsoft.com/office/drawing/2014/chart" uri="{C3380CC4-5D6E-409C-BE32-E72D297353CC}">
              <c16:uniqueId val="{00000000-D39C-48A7-85D1-E0EAF7F3DB98}"/>
            </c:ext>
          </c:extLst>
        </c:ser>
        <c:dLbls>
          <c:showLegendKey val="0"/>
          <c:showVal val="0"/>
          <c:showCatName val="0"/>
          <c:showSerName val="0"/>
          <c:showPercent val="0"/>
          <c:showBubbleSize val="0"/>
        </c:dLbls>
        <c:gapWidth val="68"/>
        <c:axId val="172165232"/>
        <c:axId val="2056982448"/>
      </c:barChart>
      <c:catAx>
        <c:axId val="1721652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6982448"/>
        <c:crosses val="autoZero"/>
        <c:auto val="1"/>
        <c:lblAlgn val="ctr"/>
        <c:lblOffset val="100"/>
        <c:noMultiLvlLbl val="0"/>
      </c:catAx>
      <c:valAx>
        <c:axId val="20569824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1652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kern="1200" spc="0" baseline="0">
                <a:solidFill>
                  <a:sysClr val="windowText" lastClr="000000">
                    <a:lumMod val="65000"/>
                    <a:lumOff val="35000"/>
                  </a:sysClr>
                </a:solidFill>
              </a:rPr>
              <a:t>Sub-code frequency ranking: National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dPt>
            <c:idx val="0"/>
            <c:invertIfNegative val="0"/>
            <c:bubble3D val="0"/>
            <c:spPr>
              <a:solidFill>
                <a:srgbClr val="3B82F6"/>
              </a:solidFill>
              <a:ln>
                <a:noFill/>
              </a:ln>
              <a:effectLst/>
            </c:spPr>
            <c:extLst>
              <c:ext xmlns:c16="http://schemas.microsoft.com/office/drawing/2014/chart" uri="{C3380CC4-5D6E-409C-BE32-E72D297353CC}">
                <c16:uniqueId val="{00000001-3437-424C-97A7-13004E0C4912}"/>
              </c:ext>
            </c:extLst>
          </c:dPt>
          <c:dPt>
            <c:idx val="1"/>
            <c:invertIfNegative val="0"/>
            <c:bubble3D val="0"/>
            <c:spPr>
              <a:solidFill>
                <a:srgbClr val="EF4444"/>
              </a:solidFill>
              <a:ln>
                <a:noFill/>
              </a:ln>
              <a:effectLst/>
            </c:spPr>
            <c:extLst>
              <c:ext xmlns:c16="http://schemas.microsoft.com/office/drawing/2014/chart" uri="{C3380CC4-5D6E-409C-BE32-E72D297353CC}">
                <c16:uniqueId val="{00000002-3437-424C-97A7-13004E0C4912}"/>
              </c:ext>
            </c:extLst>
          </c:dPt>
          <c:dPt>
            <c:idx val="2"/>
            <c:invertIfNegative val="0"/>
            <c:bubble3D val="0"/>
            <c:spPr>
              <a:solidFill>
                <a:srgbClr val="3B82F6"/>
              </a:solidFill>
              <a:ln>
                <a:noFill/>
              </a:ln>
              <a:effectLst/>
            </c:spPr>
            <c:extLst>
              <c:ext xmlns:c16="http://schemas.microsoft.com/office/drawing/2014/chart" uri="{C3380CC4-5D6E-409C-BE32-E72D297353CC}">
                <c16:uniqueId val="{00000003-3437-424C-97A7-13004E0C4912}"/>
              </c:ext>
            </c:extLst>
          </c:dPt>
          <c:dPt>
            <c:idx val="3"/>
            <c:invertIfNegative val="0"/>
            <c:bubble3D val="0"/>
            <c:spPr>
              <a:solidFill>
                <a:srgbClr val="3B82F6"/>
              </a:solidFill>
              <a:ln>
                <a:noFill/>
              </a:ln>
              <a:effectLst/>
            </c:spPr>
            <c:extLst>
              <c:ext xmlns:c16="http://schemas.microsoft.com/office/drawing/2014/chart" uri="{C3380CC4-5D6E-409C-BE32-E72D297353CC}">
                <c16:uniqueId val="{00000004-3437-424C-97A7-13004E0C4912}"/>
              </c:ext>
            </c:extLst>
          </c:dPt>
          <c:dPt>
            <c:idx val="4"/>
            <c:invertIfNegative val="0"/>
            <c:bubble3D val="0"/>
            <c:spPr>
              <a:solidFill>
                <a:srgbClr val="F59E0B"/>
              </a:solidFill>
              <a:ln>
                <a:noFill/>
              </a:ln>
              <a:effectLst/>
            </c:spPr>
            <c:extLst>
              <c:ext xmlns:c16="http://schemas.microsoft.com/office/drawing/2014/chart" uri="{C3380CC4-5D6E-409C-BE32-E72D297353CC}">
                <c16:uniqueId val="{00000005-3437-424C-97A7-13004E0C4912}"/>
              </c:ext>
            </c:extLst>
          </c:dPt>
          <c:dPt>
            <c:idx val="5"/>
            <c:invertIfNegative val="0"/>
            <c:bubble3D val="0"/>
            <c:spPr>
              <a:solidFill>
                <a:srgbClr val="EF4444"/>
              </a:solidFill>
              <a:ln>
                <a:noFill/>
              </a:ln>
              <a:effectLst/>
            </c:spPr>
            <c:extLst>
              <c:ext xmlns:c16="http://schemas.microsoft.com/office/drawing/2014/chart" uri="{C3380CC4-5D6E-409C-BE32-E72D297353CC}">
                <c16:uniqueId val="{00000006-3437-424C-97A7-13004E0C4912}"/>
              </c:ext>
            </c:extLst>
          </c:dPt>
          <c:dPt>
            <c:idx val="6"/>
            <c:invertIfNegative val="0"/>
            <c:bubble3D val="0"/>
            <c:spPr>
              <a:solidFill>
                <a:srgbClr val="3B82F6"/>
              </a:solidFill>
              <a:ln>
                <a:noFill/>
              </a:ln>
              <a:effectLst/>
            </c:spPr>
            <c:extLst>
              <c:ext xmlns:c16="http://schemas.microsoft.com/office/drawing/2014/chart" uri="{C3380CC4-5D6E-409C-BE32-E72D297353CC}">
                <c16:uniqueId val="{00000007-3437-424C-97A7-13004E0C4912}"/>
              </c:ext>
            </c:extLst>
          </c:dPt>
          <c:dPt>
            <c:idx val="7"/>
            <c:invertIfNegative val="0"/>
            <c:bubble3D val="0"/>
            <c:spPr>
              <a:solidFill>
                <a:srgbClr val="3B82F6"/>
              </a:solidFill>
              <a:ln>
                <a:noFill/>
              </a:ln>
              <a:effectLst/>
            </c:spPr>
            <c:extLst>
              <c:ext xmlns:c16="http://schemas.microsoft.com/office/drawing/2014/chart" uri="{C3380CC4-5D6E-409C-BE32-E72D297353CC}">
                <c16:uniqueId val="{00000008-3437-424C-97A7-13004E0C4912}"/>
              </c:ext>
            </c:extLst>
          </c:dPt>
          <c:dPt>
            <c:idx val="8"/>
            <c:invertIfNegative val="0"/>
            <c:bubble3D val="0"/>
            <c:spPr>
              <a:solidFill>
                <a:srgbClr val="F59E0B"/>
              </a:solidFill>
              <a:ln>
                <a:noFill/>
              </a:ln>
              <a:effectLst/>
            </c:spPr>
            <c:extLst>
              <c:ext xmlns:c16="http://schemas.microsoft.com/office/drawing/2014/chart" uri="{C3380CC4-5D6E-409C-BE32-E72D297353CC}">
                <c16:uniqueId val="{00000009-3437-424C-97A7-13004E0C4912}"/>
              </c:ext>
            </c:extLst>
          </c:dPt>
          <c:dPt>
            <c:idx val="9"/>
            <c:invertIfNegative val="0"/>
            <c:bubble3D val="0"/>
            <c:spPr>
              <a:solidFill>
                <a:srgbClr val="F59E0B"/>
              </a:solidFill>
              <a:ln>
                <a:noFill/>
              </a:ln>
              <a:effectLst/>
            </c:spPr>
            <c:extLst>
              <c:ext xmlns:c16="http://schemas.microsoft.com/office/drawing/2014/chart" uri="{C3380CC4-5D6E-409C-BE32-E72D297353CC}">
                <c16:uniqueId val="{0000000A-3437-424C-97A7-13004E0C4912}"/>
              </c:ext>
            </c:extLst>
          </c:dPt>
          <c:dPt>
            <c:idx val="10"/>
            <c:invertIfNegative val="0"/>
            <c:bubble3D val="0"/>
            <c:spPr>
              <a:solidFill>
                <a:srgbClr val="EF4444"/>
              </a:solidFill>
              <a:ln>
                <a:noFill/>
              </a:ln>
              <a:effectLst/>
            </c:spPr>
            <c:extLst>
              <c:ext xmlns:c16="http://schemas.microsoft.com/office/drawing/2014/chart" uri="{C3380CC4-5D6E-409C-BE32-E72D297353CC}">
                <c16:uniqueId val="{0000000B-3437-424C-97A7-13004E0C4912}"/>
              </c:ext>
            </c:extLst>
          </c:dPt>
          <c:dPt>
            <c:idx val="11"/>
            <c:invertIfNegative val="0"/>
            <c:bubble3D val="0"/>
            <c:spPr>
              <a:solidFill>
                <a:srgbClr val="3B82F6"/>
              </a:solidFill>
              <a:ln>
                <a:noFill/>
              </a:ln>
              <a:effectLst/>
            </c:spPr>
            <c:extLst>
              <c:ext xmlns:c16="http://schemas.microsoft.com/office/drawing/2014/chart" uri="{C3380CC4-5D6E-409C-BE32-E72D297353CC}">
                <c16:uniqueId val="{0000000C-3437-424C-97A7-13004E0C4912}"/>
              </c:ext>
            </c:extLst>
          </c:dPt>
          <c:dPt>
            <c:idx val="12"/>
            <c:invertIfNegative val="0"/>
            <c:bubble3D val="0"/>
            <c:spPr>
              <a:solidFill>
                <a:srgbClr val="F59E0B"/>
              </a:solidFill>
              <a:ln>
                <a:noFill/>
              </a:ln>
              <a:effectLst/>
            </c:spPr>
            <c:extLst>
              <c:ext xmlns:c16="http://schemas.microsoft.com/office/drawing/2014/chart" uri="{C3380CC4-5D6E-409C-BE32-E72D297353CC}">
                <c16:uniqueId val="{0000000D-3437-424C-97A7-13004E0C4912}"/>
              </c:ext>
            </c:extLst>
          </c:dPt>
          <c:dPt>
            <c:idx val="13"/>
            <c:invertIfNegative val="0"/>
            <c:bubble3D val="0"/>
            <c:spPr>
              <a:solidFill>
                <a:srgbClr val="F59E0B"/>
              </a:solidFill>
              <a:ln>
                <a:noFill/>
              </a:ln>
              <a:effectLst/>
            </c:spPr>
            <c:extLst>
              <c:ext xmlns:c16="http://schemas.microsoft.com/office/drawing/2014/chart" uri="{C3380CC4-5D6E-409C-BE32-E72D297353CC}">
                <c16:uniqueId val="{0000000E-3437-424C-97A7-13004E0C4912}"/>
              </c:ext>
            </c:extLst>
          </c:dPt>
          <c:cat>
            <c:strRef>
              <c:f>'Freq — By Scope'!$B$48:$B$61</c:f>
              <c:strCache>
                <c:ptCount val="14"/>
                <c:pt idx="0">
                  <c:v>Anti-Casta (Elite Frame)</c:v>
                </c:pt>
                <c:pt idx="1">
                  <c:v>Anti-Socialism / Anti-Collectivism</c:v>
                </c:pt>
                <c:pt idx="2">
                  <c:v>Anti-State / Anti-Bureaucratic</c:v>
                </c:pt>
                <c:pt idx="3">
                  <c:v>Delegitimization of Regulation</c:v>
                </c:pt>
                <c:pt idx="4">
                  <c:v>Attack on Experts &amp; Technocrats</c:v>
                </c:pt>
                <c:pt idx="5">
                  <c:v>Woke Bundling</c:v>
                </c:pt>
                <c:pt idx="6">
                  <c:v>Market Primacy</c:v>
                </c:pt>
                <c:pt idx="7">
                  <c:v>Sustainability as Ideological or Harmful</c:v>
                </c:pt>
                <c:pt idx="8">
                  <c:v>Attack on Universities &amp; Research Institutions</c:v>
                </c:pt>
                <c:pt idx="9">
                  <c:v>Pseudo-Science / Ideological Science</c:v>
                </c:pt>
                <c:pt idx="10">
                  <c:v>Civilizational Defense</c:v>
                </c:pt>
                <c:pt idx="11">
                  <c:v>Rejection of Multilateral Governance</c:v>
                </c:pt>
                <c:pt idx="12">
                  <c:v>Climate Skepticism or Dismissal</c:v>
                </c:pt>
                <c:pt idx="13">
                  <c:v>Selective Empiricism</c:v>
                </c:pt>
              </c:strCache>
            </c:strRef>
          </c:cat>
          <c:val>
            <c:numRef>
              <c:f>'Freq — By Scope'!$C$48:$C$61</c:f>
              <c:numCache>
                <c:formatCode>General</c:formatCode>
                <c:ptCount val="14"/>
                <c:pt idx="0">
                  <c:v>87</c:v>
                </c:pt>
                <c:pt idx="1">
                  <c:v>65</c:v>
                </c:pt>
                <c:pt idx="2">
                  <c:v>63</c:v>
                </c:pt>
                <c:pt idx="3">
                  <c:v>53</c:v>
                </c:pt>
                <c:pt idx="4">
                  <c:v>28</c:v>
                </c:pt>
                <c:pt idx="5">
                  <c:v>22</c:v>
                </c:pt>
                <c:pt idx="6">
                  <c:v>17</c:v>
                </c:pt>
                <c:pt idx="7">
                  <c:v>16</c:v>
                </c:pt>
                <c:pt idx="8">
                  <c:v>11</c:v>
                </c:pt>
                <c:pt idx="9">
                  <c:v>5</c:v>
                </c:pt>
                <c:pt idx="10">
                  <c:v>5</c:v>
                </c:pt>
                <c:pt idx="11">
                  <c:v>4</c:v>
                </c:pt>
                <c:pt idx="12">
                  <c:v>4</c:v>
                </c:pt>
                <c:pt idx="13">
                  <c:v>2</c:v>
                </c:pt>
              </c:numCache>
            </c:numRef>
          </c:val>
          <c:extLst>
            <c:ext xmlns:c16="http://schemas.microsoft.com/office/drawing/2014/chart" uri="{C3380CC4-5D6E-409C-BE32-E72D297353CC}">
              <c16:uniqueId val="{00000000-3437-424C-97A7-13004E0C4912}"/>
            </c:ext>
          </c:extLst>
        </c:ser>
        <c:dLbls>
          <c:showLegendKey val="0"/>
          <c:showVal val="0"/>
          <c:showCatName val="0"/>
          <c:showSerName val="0"/>
          <c:showPercent val="0"/>
          <c:showBubbleSize val="0"/>
        </c:dLbls>
        <c:gapWidth val="83"/>
        <c:axId val="615796304"/>
        <c:axId val="1542877392"/>
      </c:barChart>
      <c:catAx>
        <c:axId val="6157963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2877392"/>
        <c:crosses val="autoZero"/>
        <c:auto val="1"/>
        <c:lblAlgn val="ctr"/>
        <c:lblOffset val="100"/>
        <c:noMultiLvlLbl val="0"/>
      </c:catAx>
      <c:valAx>
        <c:axId val="15428773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57963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Sub-code frequency ranking:</a:t>
            </a:r>
            <a:r>
              <a:rPr lang="en-GB" baseline="0"/>
              <a:t> </a:t>
            </a:r>
            <a:r>
              <a:rPr lang="en-GB"/>
              <a:t>International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dPt>
            <c:idx val="0"/>
            <c:invertIfNegative val="0"/>
            <c:bubble3D val="0"/>
            <c:spPr>
              <a:solidFill>
                <a:srgbClr val="EF4444"/>
              </a:solidFill>
              <a:ln>
                <a:noFill/>
              </a:ln>
              <a:effectLst/>
            </c:spPr>
            <c:extLst>
              <c:ext xmlns:c16="http://schemas.microsoft.com/office/drawing/2014/chart" uri="{C3380CC4-5D6E-409C-BE32-E72D297353CC}">
                <c16:uniqueId val="{00000001-729C-41FF-A3A1-C8DA7AF9F2BE}"/>
              </c:ext>
            </c:extLst>
          </c:dPt>
          <c:dPt>
            <c:idx val="1"/>
            <c:invertIfNegative val="0"/>
            <c:bubble3D val="0"/>
            <c:spPr>
              <a:solidFill>
                <a:srgbClr val="3B82F6"/>
              </a:solidFill>
              <a:ln>
                <a:noFill/>
              </a:ln>
              <a:effectLst/>
            </c:spPr>
            <c:extLst>
              <c:ext xmlns:c16="http://schemas.microsoft.com/office/drawing/2014/chart" uri="{C3380CC4-5D6E-409C-BE32-E72D297353CC}">
                <c16:uniqueId val="{00000002-729C-41FF-A3A1-C8DA7AF9F2BE}"/>
              </c:ext>
            </c:extLst>
          </c:dPt>
          <c:dPt>
            <c:idx val="2"/>
            <c:invertIfNegative val="0"/>
            <c:bubble3D val="0"/>
            <c:spPr>
              <a:solidFill>
                <a:srgbClr val="3B82F6"/>
              </a:solidFill>
              <a:ln>
                <a:noFill/>
              </a:ln>
              <a:effectLst/>
            </c:spPr>
            <c:extLst>
              <c:ext xmlns:c16="http://schemas.microsoft.com/office/drawing/2014/chart" uri="{C3380CC4-5D6E-409C-BE32-E72D297353CC}">
                <c16:uniqueId val="{00000003-729C-41FF-A3A1-C8DA7AF9F2BE}"/>
              </c:ext>
            </c:extLst>
          </c:dPt>
          <c:dPt>
            <c:idx val="3"/>
            <c:invertIfNegative val="0"/>
            <c:bubble3D val="0"/>
            <c:spPr>
              <a:solidFill>
                <a:srgbClr val="3B82F6"/>
              </a:solidFill>
              <a:ln>
                <a:noFill/>
              </a:ln>
              <a:effectLst/>
            </c:spPr>
            <c:extLst>
              <c:ext xmlns:c16="http://schemas.microsoft.com/office/drawing/2014/chart" uri="{C3380CC4-5D6E-409C-BE32-E72D297353CC}">
                <c16:uniqueId val="{00000004-729C-41FF-A3A1-C8DA7AF9F2BE}"/>
              </c:ext>
            </c:extLst>
          </c:dPt>
          <c:dPt>
            <c:idx val="4"/>
            <c:invertIfNegative val="0"/>
            <c:bubble3D val="0"/>
            <c:spPr>
              <a:solidFill>
                <a:srgbClr val="EF4444"/>
              </a:solidFill>
              <a:ln>
                <a:noFill/>
              </a:ln>
              <a:effectLst/>
            </c:spPr>
            <c:extLst>
              <c:ext xmlns:c16="http://schemas.microsoft.com/office/drawing/2014/chart" uri="{C3380CC4-5D6E-409C-BE32-E72D297353CC}">
                <c16:uniqueId val="{00000005-729C-41FF-A3A1-C8DA7AF9F2BE}"/>
              </c:ext>
            </c:extLst>
          </c:dPt>
          <c:dPt>
            <c:idx val="5"/>
            <c:invertIfNegative val="0"/>
            <c:bubble3D val="0"/>
            <c:spPr>
              <a:solidFill>
                <a:srgbClr val="3B82F6"/>
              </a:solidFill>
              <a:ln>
                <a:noFill/>
              </a:ln>
              <a:effectLst/>
            </c:spPr>
            <c:extLst>
              <c:ext xmlns:c16="http://schemas.microsoft.com/office/drawing/2014/chart" uri="{C3380CC4-5D6E-409C-BE32-E72D297353CC}">
                <c16:uniqueId val="{00000006-729C-41FF-A3A1-C8DA7AF9F2BE}"/>
              </c:ext>
            </c:extLst>
          </c:dPt>
          <c:dPt>
            <c:idx val="6"/>
            <c:invertIfNegative val="0"/>
            <c:bubble3D val="0"/>
            <c:spPr>
              <a:solidFill>
                <a:srgbClr val="EF4444"/>
              </a:solidFill>
              <a:ln>
                <a:noFill/>
              </a:ln>
              <a:effectLst/>
            </c:spPr>
            <c:extLst>
              <c:ext xmlns:c16="http://schemas.microsoft.com/office/drawing/2014/chart" uri="{C3380CC4-5D6E-409C-BE32-E72D297353CC}">
                <c16:uniqueId val="{00000007-729C-41FF-A3A1-C8DA7AF9F2BE}"/>
              </c:ext>
            </c:extLst>
          </c:dPt>
          <c:dPt>
            <c:idx val="7"/>
            <c:invertIfNegative val="0"/>
            <c:bubble3D val="0"/>
            <c:spPr>
              <a:solidFill>
                <a:srgbClr val="3B82F6"/>
              </a:solidFill>
              <a:ln>
                <a:noFill/>
              </a:ln>
              <a:effectLst/>
            </c:spPr>
            <c:extLst>
              <c:ext xmlns:c16="http://schemas.microsoft.com/office/drawing/2014/chart" uri="{C3380CC4-5D6E-409C-BE32-E72D297353CC}">
                <c16:uniqueId val="{00000008-729C-41FF-A3A1-C8DA7AF9F2BE}"/>
              </c:ext>
            </c:extLst>
          </c:dPt>
          <c:dPt>
            <c:idx val="8"/>
            <c:invertIfNegative val="0"/>
            <c:bubble3D val="0"/>
            <c:spPr>
              <a:solidFill>
                <a:srgbClr val="3B82F6"/>
              </a:solidFill>
              <a:ln>
                <a:noFill/>
              </a:ln>
              <a:effectLst/>
            </c:spPr>
            <c:extLst>
              <c:ext xmlns:c16="http://schemas.microsoft.com/office/drawing/2014/chart" uri="{C3380CC4-5D6E-409C-BE32-E72D297353CC}">
                <c16:uniqueId val="{00000009-729C-41FF-A3A1-C8DA7AF9F2BE}"/>
              </c:ext>
            </c:extLst>
          </c:dPt>
          <c:dPt>
            <c:idx val="9"/>
            <c:invertIfNegative val="0"/>
            <c:bubble3D val="0"/>
            <c:spPr>
              <a:solidFill>
                <a:srgbClr val="F59E0B"/>
              </a:solidFill>
              <a:ln>
                <a:noFill/>
              </a:ln>
              <a:effectLst/>
            </c:spPr>
            <c:extLst>
              <c:ext xmlns:c16="http://schemas.microsoft.com/office/drawing/2014/chart" uri="{C3380CC4-5D6E-409C-BE32-E72D297353CC}">
                <c16:uniqueId val="{0000000A-729C-41FF-A3A1-C8DA7AF9F2BE}"/>
              </c:ext>
            </c:extLst>
          </c:dPt>
          <c:dPt>
            <c:idx val="10"/>
            <c:invertIfNegative val="0"/>
            <c:bubble3D val="0"/>
            <c:spPr>
              <a:solidFill>
                <a:srgbClr val="F59E0B"/>
              </a:solidFill>
              <a:ln>
                <a:noFill/>
              </a:ln>
              <a:effectLst/>
            </c:spPr>
            <c:extLst>
              <c:ext xmlns:c16="http://schemas.microsoft.com/office/drawing/2014/chart" uri="{C3380CC4-5D6E-409C-BE32-E72D297353CC}">
                <c16:uniqueId val="{0000000B-729C-41FF-A3A1-C8DA7AF9F2BE}"/>
              </c:ext>
            </c:extLst>
          </c:dPt>
          <c:dPt>
            <c:idx val="11"/>
            <c:invertIfNegative val="0"/>
            <c:bubble3D val="0"/>
            <c:spPr>
              <a:solidFill>
                <a:srgbClr val="F59E0B"/>
              </a:solidFill>
              <a:ln>
                <a:noFill/>
              </a:ln>
              <a:effectLst/>
            </c:spPr>
            <c:extLst>
              <c:ext xmlns:c16="http://schemas.microsoft.com/office/drawing/2014/chart" uri="{C3380CC4-5D6E-409C-BE32-E72D297353CC}">
                <c16:uniqueId val="{0000000C-729C-41FF-A3A1-C8DA7AF9F2BE}"/>
              </c:ext>
            </c:extLst>
          </c:dPt>
          <c:dPt>
            <c:idx val="12"/>
            <c:invertIfNegative val="0"/>
            <c:bubble3D val="0"/>
            <c:spPr>
              <a:solidFill>
                <a:srgbClr val="F59E0B"/>
              </a:solidFill>
              <a:ln>
                <a:noFill/>
              </a:ln>
              <a:effectLst/>
            </c:spPr>
            <c:extLst>
              <c:ext xmlns:c16="http://schemas.microsoft.com/office/drawing/2014/chart" uri="{C3380CC4-5D6E-409C-BE32-E72D297353CC}">
                <c16:uniqueId val="{0000000D-729C-41FF-A3A1-C8DA7AF9F2BE}"/>
              </c:ext>
            </c:extLst>
          </c:dPt>
          <c:dPt>
            <c:idx val="13"/>
            <c:invertIfNegative val="0"/>
            <c:bubble3D val="0"/>
            <c:spPr>
              <a:solidFill>
                <a:srgbClr val="F59E0B"/>
              </a:solidFill>
              <a:ln>
                <a:noFill/>
              </a:ln>
              <a:effectLst/>
            </c:spPr>
            <c:extLst>
              <c:ext xmlns:c16="http://schemas.microsoft.com/office/drawing/2014/chart" uri="{C3380CC4-5D6E-409C-BE32-E72D297353CC}">
                <c16:uniqueId val="{0000000E-729C-41FF-A3A1-C8DA7AF9F2BE}"/>
              </c:ext>
            </c:extLst>
          </c:dPt>
          <c:cat>
            <c:strRef>
              <c:f>'Freq — By Scope'!$F$48:$F$61</c:f>
              <c:strCache>
                <c:ptCount val="14"/>
                <c:pt idx="0">
                  <c:v>Anti-Socialism / Anti-Collectivism</c:v>
                </c:pt>
                <c:pt idx="1">
                  <c:v>Delegitimization of Regulation</c:v>
                </c:pt>
                <c:pt idx="2">
                  <c:v>Anti-State / Anti-Bureaucratic</c:v>
                </c:pt>
                <c:pt idx="3">
                  <c:v>Anti-Casta (Elite Frame)</c:v>
                </c:pt>
                <c:pt idx="4">
                  <c:v>Civilizational Defense</c:v>
                </c:pt>
                <c:pt idx="5">
                  <c:v>Rejection of Multilateral Governance</c:v>
                </c:pt>
                <c:pt idx="6">
                  <c:v>Woke Bundling</c:v>
                </c:pt>
                <c:pt idx="7">
                  <c:v>Market Primacy</c:v>
                </c:pt>
                <c:pt idx="8">
                  <c:v>Sustainability as Ideological or Harmful</c:v>
                </c:pt>
                <c:pt idx="9">
                  <c:v>Pseudo-Science / Ideological Science</c:v>
                </c:pt>
                <c:pt idx="10">
                  <c:v>Attack on Experts &amp; Technocrats</c:v>
                </c:pt>
                <c:pt idx="11">
                  <c:v>Attack on Universities &amp; Research Institutions</c:v>
                </c:pt>
                <c:pt idx="12">
                  <c:v>Climate Skepticism or Dismissal</c:v>
                </c:pt>
                <c:pt idx="13">
                  <c:v>Selective Empiricism</c:v>
                </c:pt>
              </c:strCache>
            </c:strRef>
          </c:cat>
          <c:val>
            <c:numRef>
              <c:f>'Freq — By Scope'!$G$48:$G$61</c:f>
              <c:numCache>
                <c:formatCode>General</c:formatCode>
                <c:ptCount val="14"/>
                <c:pt idx="0">
                  <c:v>37</c:v>
                </c:pt>
                <c:pt idx="1">
                  <c:v>32</c:v>
                </c:pt>
                <c:pt idx="2">
                  <c:v>30</c:v>
                </c:pt>
                <c:pt idx="3">
                  <c:v>29</c:v>
                </c:pt>
                <c:pt idx="4">
                  <c:v>22</c:v>
                </c:pt>
                <c:pt idx="5">
                  <c:v>20</c:v>
                </c:pt>
                <c:pt idx="6">
                  <c:v>19</c:v>
                </c:pt>
                <c:pt idx="7">
                  <c:v>18</c:v>
                </c:pt>
                <c:pt idx="8">
                  <c:v>8</c:v>
                </c:pt>
                <c:pt idx="9">
                  <c:v>5</c:v>
                </c:pt>
                <c:pt idx="10">
                  <c:v>4</c:v>
                </c:pt>
                <c:pt idx="11">
                  <c:v>3</c:v>
                </c:pt>
                <c:pt idx="12">
                  <c:v>3</c:v>
                </c:pt>
                <c:pt idx="13">
                  <c:v>1</c:v>
                </c:pt>
              </c:numCache>
            </c:numRef>
          </c:val>
          <c:extLst>
            <c:ext xmlns:c16="http://schemas.microsoft.com/office/drawing/2014/chart" uri="{C3380CC4-5D6E-409C-BE32-E72D297353CC}">
              <c16:uniqueId val="{00000000-729C-41FF-A3A1-C8DA7AF9F2BE}"/>
            </c:ext>
          </c:extLst>
        </c:ser>
        <c:dLbls>
          <c:showLegendKey val="0"/>
          <c:showVal val="0"/>
          <c:showCatName val="0"/>
          <c:showSerName val="0"/>
          <c:showPercent val="0"/>
          <c:showBubbleSize val="0"/>
        </c:dLbls>
        <c:gapWidth val="83"/>
        <c:axId val="615803264"/>
        <c:axId val="2056995888"/>
      </c:barChart>
      <c:catAx>
        <c:axId val="61580326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6995888"/>
        <c:crosses val="autoZero"/>
        <c:auto val="1"/>
        <c:lblAlgn val="ctr"/>
        <c:lblOffset val="100"/>
        <c:noMultiLvlLbl val="0"/>
      </c:catAx>
      <c:valAx>
        <c:axId val="20569958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58032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Appearances</a:t>
            </a:r>
            <a:r>
              <a:rPr lang="en-GB" baseline="0"/>
              <a:t> d</a:t>
            </a:r>
            <a:r>
              <a:rPr lang="en-GB"/>
              <a:t>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bg1">
                  <a:lumMod val="50000"/>
                </a:schemeClr>
              </a:solidFill>
              <a:ln w="19050">
                <a:solidFill>
                  <a:schemeClr val="lt1"/>
                </a:solidFill>
              </a:ln>
              <a:effectLst/>
            </c:spPr>
            <c:extLst>
              <c:ext xmlns:c16="http://schemas.microsoft.com/office/drawing/2014/chart" uri="{C3380CC4-5D6E-409C-BE32-E72D297353CC}">
                <c16:uniqueId val="{00000001-6CE8-44D5-9B88-D3378079B038}"/>
              </c:ext>
            </c:extLst>
          </c:dPt>
          <c:dPt>
            <c:idx val="1"/>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2-6CE8-44D5-9B88-D3378079B038}"/>
              </c:ext>
            </c:extLst>
          </c:dPt>
          <c:dLbls>
            <c:dLbl>
              <c:idx val="0"/>
              <c:dLblPos val="ct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6CE8-44D5-9B88-D3378079B038}"/>
                </c:ext>
              </c:extLst>
            </c:dLbl>
            <c:dLbl>
              <c:idx val="1"/>
              <c:dLblPos val="ct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6CE8-44D5-9B88-D3378079B03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s>
          <c:cat>
            <c:strRef>
              <c:f>'Freq — By Scope'!$C$2:$D$2</c:f>
              <c:strCache>
                <c:ptCount val="2"/>
                <c:pt idx="0">
                  <c:v>National</c:v>
                </c:pt>
                <c:pt idx="1">
                  <c:v>International</c:v>
                </c:pt>
              </c:strCache>
            </c:strRef>
          </c:cat>
          <c:val>
            <c:numRef>
              <c:f>'Freq — By Scope'!$C$6:$D$6</c:f>
              <c:numCache>
                <c:formatCode>General</c:formatCode>
                <c:ptCount val="2"/>
                <c:pt idx="0">
                  <c:v>382</c:v>
                </c:pt>
                <c:pt idx="1">
                  <c:v>231</c:v>
                </c:pt>
              </c:numCache>
            </c:numRef>
          </c:val>
          <c:extLst>
            <c:ext xmlns:c16="http://schemas.microsoft.com/office/drawing/2014/chart" uri="{C3380CC4-5D6E-409C-BE32-E72D297353CC}">
              <c16:uniqueId val="{00000000-6CE8-44D5-9B88-D3378079B038}"/>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'Freq — By Scope'!$C$2</c:f>
              <c:strCache>
                <c:ptCount val="1"/>
                <c:pt idx="0">
                  <c:v>National</c:v>
                </c:pt>
              </c:strCache>
            </c:strRef>
          </c:tx>
          <c:dPt>
            <c:idx val="0"/>
            <c:bubble3D val="0"/>
            <c:spPr>
              <a:solidFill>
                <a:srgbClr val="3B82F6"/>
              </a:solidFill>
              <a:ln w="19050">
                <a:solidFill>
                  <a:schemeClr val="lt1"/>
                </a:solidFill>
              </a:ln>
              <a:effectLst/>
            </c:spPr>
            <c:extLst>
              <c:ext xmlns:c16="http://schemas.microsoft.com/office/drawing/2014/chart" uri="{C3380CC4-5D6E-409C-BE32-E72D297353CC}">
                <c16:uniqueId val="{00000001-7D12-4636-AC67-F49F0145E4AC}"/>
              </c:ext>
            </c:extLst>
          </c:dPt>
          <c:dPt>
            <c:idx val="1"/>
            <c:bubble3D val="0"/>
            <c:spPr>
              <a:solidFill>
                <a:srgbClr val="F59E0B"/>
              </a:solidFill>
              <a:ln w="19050">
                <a:solidFill>
                  <a:schemeClr val="lt1"/>
                </a:solidFill>
              </a:ln>
              <a:effectLst/>
            </c:spPr>
            <c:extLst>
              <c:ext xmlns:c16="http://schemas.microsoft.com/office/drawing/2014/chart" uri="{C3380CC4-5D6E-409C-BE32-E72D297353CC}">
                <c16:uniqueId val="{00000003-7D12-4636-AC67-F49F0145E4AC}"/>
              </c:ext>
            </c:extLst>
          </c:dPt>
          <c:dPt>
            <c:idx val="2"/>
            <c:bubble3D val="0"/>
            <c:spPr>
              <a:solidFill>
                <a:srgbClr val="EF4444"/>
              </a:solidFill>
              <a:ln w="19050">
                <a:solidFill>
                  <a:schemeClr val="lt1"/>
                </a:solidFill>
              </a:ln>
              <a:effectLst/>
            </c:spPr>
            <c:extLst>
              <c:ext xmlns:c16="http://schemas.microsoft.com/office/drawing/2014/chart" uri="{C3380CC4-5D6E-409C-BE32-E72D297353CC}">
                <c16:uniqueId val="{00000002-7D12-4636-AC67-F49F0145E4A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'Freq — By Scope'!$B$3:$B$5</c:f>
              <c:strCache>
                <c:ptCount val="3"/>
                <c:pt idx="0">
                  <c:v>D1.1 — State Intervention &amp; Governance</c:v>
                </c:pt>
                <c:pt idx="1">
                  <c:v>D1.2 — Public Science &amp; Expertise</c:v>
                </c:pt>
                <c:pt idx="2">
                  <c:v>D1.3 — Cultural Backlash</c:v>
                </c:pt>
              </c:strCache>
            </c:strRef>
          </c:cat>
          <c:val>
            <c:numRef>
              <c:f>'Freq — By Scope'!$C$3:$C$5</c:f>
              <c:numCache>
                <c:formatCode>General</c:formatCode>
                <c:ptCount val="3"/>
                <c:pt idx="0">
                  <c:v>240</c:v>
                </c:pt>
                <c:pt idx="1">
                  <c:v>50</c:v>
                </c:pt>
                <c:pt idx="2">
                  <c:v>92</c:v>
                </c:pt>
              </c:numCache>
            </c:numRef>
          </c:val>
          <c:extLst>
            <c:ext xmlns:c16="http://schemas.microsoft.com/office/drawing/2014/chart" uri="{C3380CC4-5D6E-409C-BE32-E72D297353CC}">
              <c16:uniqueId val="{00000000-7D12-4636-AC67-F49F0145E4AC}"/>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'Freq — By Scope'!$D$2</c:f>
              <c:strCache>
                <c:ptCount val="1"/>
                <c:pt idx="0">
                  <c:v>International</c:v>
                </c:pt>
              </c:strCache>
            </c:strRef>
          </c:tx>
          <c:dPt>
            <c:idx val="0"/>
            <c:bubble3D val="0"/>
            <c:spPr>
              <a:solidFill>
                <a:srgbClr val="3B82F6"/>
              </a:solidFill>
              <a:ln w="19050">
                <a:solidFill>
                  <a:schemeClr val="lt1"/>
                </a:solidFill>
              </a:ln>
              <a:effectLst/>
            </c:spPr>
            <c:extLst>
              <c:ext xmlns:c16="http://schemas.microsoft.com/office/drawing/2014/chart" uri="{C3380CC4-5D6E-409C-BE32-E72D297353CC}">
                <c16:uniqueId val="{00000003-B735-4184-B067-4B3184362CBF}"/>
              </c:ext>
            </c:extLst>
          </c:dPt>
          <c:dPt>
            <c:idx val="1"/>
            <c:bubble3D val="0"/>
            <c:spPr>
              <a:solidFill>
                <a:srgbClr val="F59E0B"/>
              </a:solidFill>
              <a:ln w="19050">
                <a:solidFill>
                  <a:schemeClr val="lt1"/>
                </a:solidFill>
              </a:ln>
              <a:effectLst/>
            </c:spPr>
            <c:extLst>
              <c:ext xmlns:c16="http://schemas.microsoft.com/office/drawing/2014/chart" uri="{C3380CC4-5D6E-409C-BE32-E72D297353CC}">
                <c16:uniqueId val="{00000001-B735-4184-B067-4B3184362CBF}"/>
              </c:ext>
            </c:extLst>
          </c:dPt>
          <c:dPt>
            <c:idx val="2"/>
            <c:bubble3D val="0"/>
            <c:spPr>
              <a:solidFill>
                <a:srgbClr val="EF4444"/>
              </a:solidFill>
              <a:ln w="19050">
                <a:solidFill>
                  <a:schemeClr val="lt1"/>
                </a:solidFill>
              </a:ln>
              <a:effectLst/>
            </c:spPr>
            <c:extLst>
              <c:ext xmlns:c16="http://schemas.microsoft.com/office/drawing/2014/chart" uri="{C3380CC4-5D6E-409C-BE32-E72D297353CC}">
                <c16:uniqueId val="{00000002-B735-4184-B067-4B3184362CB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'Freq — By Scope'!$B$3:$B$5</c:f>
              <c:strCache>
                <c:ptCount val="3"/>
                <c:pt idx="0">
                  <c:v>D1.1 — State Intervention &amp; Governance</c:v>
                </c:pt>
                <c:pt idx="1">
                  <c:v>D1.2 — Public Science &amp; Expertise</c:v>
                </c:pt>
                <c:pt idx="2">
                  <c:v>D1.3 — Cultural Backlash</c:v>
                </c:pt>
              </c:strCache>
            </c:strRef>
          </c:cat>
          <c:val>
            <c:numRef>
              <c:f>'Freq — By Scope'!$D$3:$D$5</c:f>
              <c:numCache>
                <c:formatCode>General</c:formatCode>
                <c:ptCount val="3"/>
                <c:pt idx="0">
                  <c:v>137</c:v>
                </c:pt>
                <c:pt idx="1">
                  <c:v>16</c:v>
                </c:pt>
                <c:pt idx="2">
                  <c:v>78</c:v>
                </c:pt>
              </c:numCache>
            </c:numRef>
          </c:val>
          <c:extLst>
            <c:ext xmlns:c16="http://schemas.microsoft.com/office/drawing/2014/chart" uri="{C3380CC4-5D6E-409C-BE32-E72D297353CC}">
              <c16:uniqueId val="{00000000-B735-4184-B067-4B3184362CBF}"/>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GB"/>
              <a:t>Dimension Distribution by Venue Group</a:t>
            </a:r>
          </a:p>
        </c:rich>
      </c:tx>
      <c:overlay val="1"/>
    </c:title>
    <c:autoTitleDeleted val="0"/>
    <c:plotArea>
      <c:layout/>
      <c:barChart>
        <c:barDir val="col"/>
        <c:grouping val="clustered"/>
        <c:varyColors val="1"/>
        <c:ser>
          <c:idx val="0"/>
          <c:order val="0"/>
          <c:tx>
            <c:v>D1.1 — State/Gov.</c:v>
          </c:tx>
          <c:spPr>
            <a:solidFill>
              <a:srgbClr val="3B82F6"/>
            </a:solidFill>
            <a:ln>
              <a:prstDash val="solid"/>
            </a:ln>
          </c:spPr>
          <c:invertIfNegative val="1"/>
          <c:cat>
            <c:strRef>
              <c:f>'Freq — By Venue Type'!$C$2:$H$2</c:f>
              <c:strCache>
                <c:ptCount val="6"/>
                <c:pt idx="0">
                  <c:v>Economic &amp; Business Forums</c:v>
                </c:pt>
                <c:pt idx="1">
                  <c:v>State &amp; Institutional Acts</c:v>
                </c:pt>
                <c:pt idx="2">
                  <c:v>Awards, Academic &amp; Think Tanks</c:v>
                </c:pt>
                <c:pt idx="3">
                  <c:v>International &amp; Diplomatic</c:v>
                </c:pt>
                <c:pt idx="4">
                  <c:v>Ideological &amp; Political Events</c:v>
                </c:pt>
                <c:pt idx="5">
                  <c:v>Commemorative &amp; Community</c:v>
                </c:pt>
              </c:strCache>
            </c:strRef>
          </c:cat>
          <c:val>
            <c:numRef>
              <c:f>'Freq — By Venue Type'!$C$3:$H$3</c:f>
              <c:numCache>
                <c:formatCode>General</c:formatCode>
                <c:ptCount val="6"/>
                <c:pt idx="0">
                  <c:v>153</c:v>
                </c:pt>
                <c:pt idx="1">
                  <c:v>64</c:v>
                </c:pt>
                <c:pt idx="2">
                  <c:v>60</c:v>
                </c:pt>
                <c:pt idx="3">
                  <c:v>43</c:v>
                </c:pt>
                <c:pt idx="4">
                  <c:v>39</c:v>
                </c:pt>
                <c:pt idx="5">
                  <c:v>18</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E46D-4982-8A32-F70FE2184A8E}"/>
            </c:ext>
          </c:extLst>
        </c:ser>
        <c:ser>
          <c:idx val="1"/>
          <c:order val="1"/>
          <c:tx>
            <c:v>D1.2 — Science/Expertise</c:v>
          </c:tx>
          <c:spPr>
            <a:solidFill>
              <a:srgbClr val="F59E0B"/>
            </a:solidFill>
            <a:ln>
              <a:prstDash val="solid"/>
            </a:ln>
          </c:spPr>
          <c:invertIfNegative val="1"/>
          <c:cat>
            <c:strRef>
              <c:f>'Freq — By Venue Type'!$C$2:$H$2</c:f>
              <c:strCache>
                <c:ptCount val="6"/>
                <c:pt idx="0">
                  <c:v>Economic &amp; Business Forums</c:v>
                </c:pt>
                <c:pt idx="1">
                  <c:v>State &amp; Institutional Acts</c:v>
                </c:pt>
                <c:pt idx="2">
                  <c:v>Awards, Academic &amp; Think Tanks</c:v>
                </c:pt>
                <c:pt idx="3">
                  <c:v>International &amp; Diplomatic</c:v>
                </c:pt>
                <c:pt idx="4">
                  <c:v>Ideological &amp; Political Events</c:v>
                </c:pt>
                <c:pt idx="5">
                  <c:v>Commemorative &amp; Community</c:v>
                </c:pt>
              </c:strCache>
            </c:strRef>
          </c:cat>
          <c:val>
            <c:numRef>
              <c:f>'Freq — By Venue Type'!$C$4:$H$4</c:f>
              <c:numCache>
                <c:formatCode>General</c:formatCode>
                <c:ptCount val="6"/>
                <c:pt idx="0">
                  <c:v>34</c:v>
                </c:pt>
                <c:pt idx="1">
                  <c:v>7</c:v>
                </c:pt>
                <c:pt idx="2">
                  <c:v>13</c:v>
                </c:pt>
                <c:pt idx="3">
                  <c:v>2</c:v>
                </c:pt>
                <c:pt idx="4">
                  <c:v>10</c:v>
                </c:pt>
                <c:pt idx="5">
                  <c:v>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1-E46D-4982-8A32-F70FE2184A8E}"/>
            </c:ext>
          </c:extLst>
        </c:ser>
        <c:ser>
          <c:idx val="2"/>
          <c:order val="2"/>
          <c:tx>
            <c:v>D1.3 — Cultural Backlash</c:v>
          </c:tx>
          <c:spPr>
            <a:solidFill>
              <a:srgbClr val="EF4444"/>
            </a:solidFill>
            <a:ln>
              <a:prstDash val="solid"/>
            </a:ln>
          </c:spPr>
          <c:invertIfNegative val="1"/>
          <c:cat>
            <c:strRef>
              <c:f>'Freq — By Venue Type'!$C$2:$H$2</c:f>
              <c:strCache>
                <c:ptCount val="6"/>
                <c:pt idx="0">
                  <c:v>Economic &amp; Business Forums</c:v>
                </c:pt>
                <c:pt idx="1">
                  <c:v>State &amp; Institutional Acts</c:v>
                </c:pt>
                <c:pt idx="2">
                  <c:v>Awards, Academic &amp; Think Tanks</c:v>
                </c:pt>
                <c:pt idx="3">
                  <c:v>International &amp; Diplomatic</c:v>
                </c:pt>
                <c:pt idx="4">
                  <c:v>Ideological &amp; Political Events</c:v>
                </c:pt>
                <c:pt idx="5">
                  <c:v>Commemorative &amp; Community</c:v>
                </c:pt>
              </c:strCache>
            </c:strRef>
          </c:cat>
          <c:val>
            <c:numRef>
              <c:f>'Freq — By Venue Type'!$C$5:$H$5</c:f>
              <c:numCache>
                <c:formatCode>General</c:formatCode>
                <c:ptCount val="6"/>
                <c:pt idx="0">
                  <c:v>58</c:v>
                </c:pt>
                <c:pt idx="1">
                  <c:v>19</c:v>
                </c:pt>
                <c:pt idx="2">
                  <c:v>29</c:v>
                </c:pt>
                <c:pt idx="3">
                  <c:v>17</c:v>
                </c:pt>
                <c:pt idx="4">
                  <c:v>43</c:v>
                </c:pt>
                <c:pt idx="5">
                  <c:v>4</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2-E46D-4982-8A32-F70FE2184A8E}"/>
            </c:ext>
          </c:extLst>
        </c:ser>
        <c:dLbls>
          <c:dLblPos val="outEnd"/>
          <c:showLegendKey val="0"/>
          <c:showVal val="0"/>
          <c:showCatName val="0"/>
          <c:showSerName val="0"/>
          <c:showPercent val="0"/>
          <c:showBubbleSize val="0"/>
        </c:dLbls>
        <c:gapWidth val="150"/>
        <c:axId val="10"/>
        <c:axId val="100"/>
        <c:extLst>
          <c:ext xmlns:c15="http://schemas.microsoft.com/office/drawing/2012/chart" uri="{02D57815-91ED-43cb-92C2-25804820EDAC}">
            <c15:filteredBarSeries>
              <c15:ser>
                <c:idx val="3"/>
                <c:order val="3"/>
                <c:tx>
                  <c:v>Inductive</c:v>
                </c:tx>
                <c:spPr>
                  <a:solidFill>
                    <a:srgbClr val="9CA3AF"/>
                  </a:solidFill>
                  <a:ln>
                    <a:prstDash val="solid"/>
                  </a:ln>
                </c:spPr>
                <c:invertIfNegative val="1"/>
                <c:cat>
                  <c:strRef>
                    <c:extLst>
                      <c:ext uri="{02D57815-91ED-43cb-92C2-25804820EDAC}">
                        <c15:formulaRef>
                          <c15:sqref>'Freq — By Venue Type'!$C$2:$H$2</c15:sqref>
                        </c15:formulaRef>
                      </c:ext>
                    </c:extLst>
                    <c:strCache>
                      <c:ptCount val="6"/>
                      <c:pt idx="0">
                        <c:v>Economic &amp; Business Forums</c:v>
                      </c:pt>
                      <c:pt idx="1">
                        <c:v>State &amp; Institutional Acts</c:v>
                      </c:pt>
                      <c:pt idx="2">
                        <c:v>Awards, Academic &amp; Think Tanks</c:v>
                      </c:pt>
                      <c:pt idx="3">
                        <c:v>International &amp; Diplomatic</c:v>
                      </c:pt>
                      <c:pt idx="4">
                        <c:v>Ideological &amp; Political Events</c:v>
                      </c:pt>
                      <c:pt idx="5">
                        <c:v>Commemorative &amp; Community</c:v>
                      </c:pt>
                    </c:strCache>
                  </c:strRef>
                </c:cat>
                <c:val>
                  <c:numRef>
                    <c:extLst>
                      <c:ext uri="{02D57815-91ED-43cb-92C2-25804820EDAC}">
                        <c15:formulaRef>
                          <c15:sqref>'Freq — By Venue Type'!#REF!</c15:sqref>
                        </c15:formulaRef>
                      </c:ext>
                    </c:extLst>
                    <c:numCache>
                      <c:formatCode>General</c:formatCode>
                      <c:ptCount val="1"/>
                      <c:pt idx="0">
                        <c:v>1</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3-E46D-4982-8A32-F70FE2184A8E}"/>
                  </c:ext>
                </c:extLst>
              </c15:ser>
            </c15:filteredBarSeries>
          </c:ext>
        </c:extLst>
      </c:barChart>
      <c:catAx>
        <c:axId val="10"/>
        <c:scaling>
          <c:orientation val="minMax"/>
        </c:scaling>
        <c:delete val="0"/>
        <c:axPos val="b"/>
        <c:numFmt formatCode="General" sourceLinked="1"/>
        <c:majorTickMark val="out"/>
        <c:minorTickMark val="none"/>
        <c:tickLblPos val="nextTo"/>
        <c:crossAx val="100"/>
        <c:crosses val="autoZero"/>
        <c:auto val="1"/>
        <c:lblAlgn val="ctr"/>
        <c:lblOffset val="100"/>
        <c:noMultiLvlLbl val="1"/>
      </c:catAx>
      <c:valAx>
        <c:axId val="100"/>
        <c:scaling>
          <c:orientation val="minMax"/>
        </c:scaling>
        <c:delete val="0"/>
        <c:axPos val="l"/>
        <c:majorGridlines/>
        <c:numFmt formatCode="General" sourceLinked="1"/>
        <c:majorTickMark val="out"/>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5" Type="http://schemas.openxmlformats.org/officeDocument/2006/relationships/chart" Target="../charts/chart8.xml"/><Relationship Id="rId4"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oneCellAnchor>
    <xdr:from>
      <xdr:col>0</xdr:col>
      <xdr:colOff>114300</xdr:colOff>
      <xdr:row>9</xdr:row>
      <xdr:rowOff>33338</xdr:rowOff>
    </xdr:from>
    <xdr:ext cx="4029075" cy="3448462"/>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2</xdr:col>
      <xdr:colOff>509588</xdr:colOff>
      <xdr:row>9</xdr:row>
      <xdr:rowOff>14287</xdr:rowOff>
    </xdr:from>
    <xdr:ext cx="4266524" cy="3486151"/>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drawings/drawing2.xml><?xml version="1.0" encoding="utf-8"?>
<xdr:wsDr xmlns:xdr="http://schemas.openxmlformats.org/drawingml/2006/spreadsheetDrawing" xmlns:a="http://schemas.openxmlformats.org/drawingml/2006/main">
  <xdr:twoCellAnchor>
    <xdr:from>
      <xdr:col>1</xdr:col>
      <xdr:colOff>42861</xdr:colOff>
      <xdr:row>18</xdr:row>
      <xdr:rowOff>23811</xdr:rowOff>
    </xdr:from>
    <xdr:to>
      <xdr:col>4</xdr:col>
      <xdr:colOff>300037</xdr:colOff>
      <xdr:row>38</xdr:row>
      <xdr:rowOff>152400</xdr:rowOff>
    </xdr:to>
    <xdr:graphicFrame macro="">
      <xdr:nvGraphicFramePr>
        <xdr:cNvPr id="4" name="Chart 3">
          <a:extLst>
            <a:ext uri="{FF2B5EF4-FFF2-40B4-BE49-F238E27FC236}">
              <a16:creationId xmlns:a16="http://schemas.microsoft.com/office/drawing/2014/main" id="{24A7AF5D-3F12-4013-9C13-EC04CF9BC7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64293</xdr:colOff>
      <xdr:row>61</xdr:row>
      <xdr:rowOff>95249</xdr:rowOff>
    </xdr:from>
    <xdr:to>
      <xdr:col>3</xdr:col>
      <xdr:colOff>1347788</xdr:colOff>
      <xdr:row>79</xdr:row>
      <xdr:rowOff>176212</xdr:rowOff>
    </xdr:to>
    <xdr:graphicFrame macro="">
      <xdr:nvGraphicFramePr>
        <xdr:cNvPr id="5" name="Chart 4">
          <a:extLst>
            <a:ext uri="{FF2B5EF4-FFF2-40B4-BE49-F238E27FC236}">
              <a16:creationId xmlns:a16="http://schemas.microsoft.com/office/drawing/2014/main" id="{3FD6DADA-A675-269F-F471-71455F19B1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16669</xdr:colOff>
      <xdr:row>61</xdr:row>
      <xdr:rowOff>90486</xdr:rowOff>
    </xdr:from>
    <xdr:to>
      <xdr:col>7</xdr:col>
      <xdr:colOff>557213</xdr:colOff>
      <xdr:row>79</xdr:row>
      <xdr:rowOff>166687</xdr:rowOff>
    </xdr:to>
    <xdr:graphicFrame macro="">
      <xdr:nvGraphicFramePr>
        <xdr:cNvPr id="6" name="Chart 5">
          <a:extLst>
            <a:ext uri="{FF2B5EF4-FFF2-40B4-BE49-F238E27FC236}">
              <a16:creationId xmlns:a16="http://schemas.microsoft.com/office/drawing/2014/main" id="{F5266FC5-AEE2-5843-FD27-54134EEBBC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73818</xdr:colOff>
      <xdr:row>7</xdr:row>
      <xdr:rowOff>33337</xdr:rowOff>
    </xdr:from>
    <xdr:to>
      <xdr:col>2</xdr:col>
      <xdr:colOff>95250</xdr:colOff>
      <xdr:row>23</xdr:row>
      <xdr:rowOff>123825</xdr:rowOff>
    </xdr:to>
    <xdr:graphicFrame macro="">
      <xdr:nvGraphicFramePr>
        <xdr:cNvPr id="7" name="Chart 6">
          <a:extLst>
            <a:ext uri="{FF2B5EF4-FFF2-40B4-BE49-F238E27FC236}">
              <a16:creationId xmlns:a16="http://schemas.microsoft.com/office/drawing/2014/main" id="{CEF08486-1E33-E24C-96ED-ACE89E0488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150018</xdr:colOff>
      <xdr:row>7</xdr:row>
      <xdr:rowOff>57149</xdr:rowOff>
    </xdr:from>
    <xdr:to>
      <xdr:col>5</xdr:col>
      <xdr:colOff>923925</xdr:colOff>
      <xdr:row>23</xdr:row>
      <xdr:rowOff>180974</xdr:rowOff>
    </xdr:to>
    <xdr:graphicFrame macro="">
      <xdr:nvGraphicFramePr>
        <xdr:cNvPr id="8" name="Chart 7">
          <a:extLst>
            <a:ext uri="{FF2B5EF4-FFF2-40B4-BE49-F238E27FC236}">
              <a16:creationId xmlns:a16="http://schemas.microsoft.com/office/drawing/2014/main" id="{901AC2C2-C789-BFFC-0426-546EB006E6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926306</xdr:colOff>
      <xdr:row>7</xdr:row>
      <xdr:rowOff>57149</xdr:rowOff>
    </xdr:from>
    <xdr:to>
      <xdr:col>8</xdr:col>
      <xdr:colOff>523875</xdr:colOff>
      <xdr:row>23</xdr:row>
      <xdr:rowOff>176212</xdr:rowOff>
    </xdr:to>
    <xdr:graphicFrame macro="">
      <xdr:nvGraphicFramePr>
        <xdr:cNvPr id="9" name="Chart 8">
          <a:extLst>
            <a:ext uri="{FF2B5EF4-FFF2-40B4-BE49-F238E27FC236}">
              <a16:creationId xmlns:a16="http://schemas.microsoft.com/office/drawing/2014/main" id="{27B9FD71-D62E-215F-AE7D-47758B8129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4.xml><?xml version="1.0" encoding="utf-8"?>
<xdr:wsDr xmlns:xdr="http://schemas.openxmlformats.org/drawingml/2006/spreadsheetDrawing" xmlns:a="http://schemas.openxmlformats.org/drawingml/2006/main">
  <xdr:oneCellAnchor>
    <xdr:from>
      <xdr:col>0</xdr:col>
      <xdr:colOff>0</xdr:colOff>
      <xdr:row>7</xdr:row>
      <xdr:rowOff>0</xdr:rowOff>
    </xdr:from>
    <xdr:ext cx="9310688" cy="3548063"/>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615"/>
  <sheetViews>
    <sheetView topLeftCell="H1" workbookViewId="0">
      <pane ySplit="2" topLeftCell="A19" activePane="bottomLeft" state="frozen"/>
      <selection pane="bottomLeft" activeCell="L4" sqref="L4"/>
    </sheetView>
  </sheetViews>
  <sheetFormatPr defaultRowHeight="14.25" x14ac:dyDescent="0.45"/>
  <cols>
    <col min="1" max="1" width="5" customWidth="1"/>
    <col min="2" max="2" width="8" customWidth="1"/>
    <col min="3" max="3" width="30" customWidth="1"/>
    <col min="4" max="5" width="34" customWidth="1"/>
    <col min="6" max="6" width="55" customWidth="1"/>
    <col min="7" max="7" width="60" customWidth="1"/>
    <col min="8" max="8" width="25" customWidth="1"/>
    <col min="9" max="9" width="12" customWidth="1"/>
    <col min="10" max="10" width="22" customWidth="1"/>
    <col min="11" max="11" width="18" customWidth="1"/>
    <col min="12" max="12" width="28" customWidth="1"/>
    <col min="13" max="13" width="14" customWidth="1"/>
  </cols>
  <sheetData>
    <row r="1" spans="1:13" ht="22.05" customHeight="1" x14ac:dyDescent="0.45">
      <c r="A1" s="19" t="s">
        <v>0</v>
      </c>
      <c r="B1" s="20"/>
      <c r="C1" s="20"/>
      <c r="D1" s="20"/>
      <c r="E1" s="20"/>
      <c r="F1" s="20"/>
      <c r="G1" s="20"/>
      <c r="H1" s="20"/>
      <c r="I1" s="20"/>
      <c r="J1" s="20"/>
      <c r="K1" s="20"/>
      <c r="L1" s="20"/>
      <c r="M1" s="20"/>
    </row>
    <row r="2" spans="1:13" ht="16.05" customHeight="1" x14ac:dyDescent="0.45">
      <c r="A2" s="1" t="s">
        <v>1</v>
      </c>
      <c r="B2" s="1" t="s">
        <v>2</v>
      </c>
      <c r="C2" s="1" t="s">
        <v>3</v>
      </c>
      <c r="D2" s="1" t="s">
        <v>4</v>
      </c>
      <c r="E2" s="1" t="s">
        <v>5</v>
      </c>
      <c r="F2" s="1" t="s">
        <v>6</v>
      </c>
      <c r="G2" s="1" t="s">
        <v>7</v>
      </c>
      <c r="H2" s="1" t="s">
        <v>8</v>
      </c>
      <c r="I2" s="1" t="s">
        <v>9</v>
      </c>
      <c r="J2" s="1" t="s">
        <v>10</v>
      </c>
      <c r="K2" s="1" t="s">
        <v>11</v>
      </c>
      <c r="L2" s="1" t="s">
        <v>12</v>
      </c>
      <c r="M2" s="1" t="s">
        <v>13</v>
      </c>
    </row>
    <row r="3" spans="1:13" ht="60" customHeight="1" x14ac:dyDescent="0.45">
      <c r="A3" s="2">
        <v>1</v>
      </c>
      <c r="B3" s="3" t="s">
        <v>14</v>
      </c>
      <c r="C3" s="4" t="s">
        <v>15</v>
      </c>
      <c r="D3" s="4" t="s">
        <v>16</v>
      </c>
      <c r="E3" s="4" t="s">
        <v>15</v>
      </c>
      <c r="F3" s="4" t="s">
        <v>17</v>
      </c>
      <c r="G3" s="4" t="s">
        <v>18</v>
      </c>
      <c r="H3" s="4" t="s">
        <v>19</v>
      </c>
      <c r="I3" s="4" t="s">
        <v>20</v>
      </c>
      <c r="J3" s="4" t="s">
        <v>21</v>
      </c>
      <c r="K3" s="4" t="s">
        <v>22</v>
      </c>
      <c r="L3" s="4" t="s">
        <v>23</v>
      </c>
      <c r="M3" s="4" t="s">
        <v>24</v>
      </c>
    </row>
    <row r="4" spans="1:13" ht="60" customHeight="1" x14ac:dyDescent="0.45">
      <c r="A4" s="5">
        <v>2</v>
      </c>
      <c r="B4" s="6" t="s">
        <v>25</v>
      </c>
      <c r="C4" s="4" t="s">
        <v>26</v>
      </c>
      <c r="D4" s="4" t="s">
        <v>27</v>
      </c>
      <c r="E4" s="4" t="s">
        <v>26</v>
      </c>
      <c r="F4" s="4" t="s">
        <v>17</v>
      </c>
      <c r="G4" s="4" t="s">
        <v>28</v>
      </c>
      <c r="H4" s="4" t="s">
        <v>19</v>
      </c>
      <c r="I4" s="4" t="s">
        <v>20</v>
      </c>
      <c r="J4" s="4" t="s">
        <v>21</v>
      </c>
      <c r="K4" s="4" t="s">
        <v>22</v>
      </c>
      <c r="L4" s="4" t="s">
        <v>23</v>
      </c>
      <c r="M4" s="4" t="s">
        <v>24</v>
      </c>
    </row>
    <row r="5" spans="1:13" ht="60" customHeight="1" x14ac:dyDescent="0.45">
      <c r="A5" s="2">
        <v>3</v>
      </c>
      <c r="B5" s="3" t="s">
        <v>14</v>
      </c>
      <c r="C5" s="4" t="s">
        <v>29</v>
      </c>
      <c r="D5" s="4" t="s">
        <v>16</v>
      </c>
      <c r="E5" s="4" t="s">
        <v>29</v>
      </c>
      <c r="F5" s="4" t="s">
        <v>17</v>
      </c>
      <c r="G5" s="4" t="s">
        <v>30</v>
      </c>
      <c r="H5" s="4" t="s">
        <v>19</v>
      </c>
      <c r="I5" s="4" t="s">
        <v>20</v>
      </c>
      <c r="J5" s="4" t="s">
        <v>21</v>
      </c>
      <c r="K5" s="4" t="s">
        <v>22</v>
      </c>
      <c r="L5" s="4" t="s">
        <v>23</v>
      </c>
      <c r="M5" s="4" t="s">
        <v>24</v>
      </c>
    </row>
    <row r="6" spans="1:13" ht="60" customHeight="1" x14ac:dyDescent="0.45">
      <c r="A6" s="7">
        <v>4</v>
      </c>
      <c r="B6" s="8" t="s">
        <v>31</v>
      </c>
      <c r="C6" s="4" t="s">
        <v>32</v>
      </c>
      <c r="D6" s="4" t="s">
        <v>33</v>
      </c>
      <c r="E6" s="4" t="s">
        <v>32</v>
      </c>
      <c r="F6" s="4" t="s">
        <v>34</v>
      </c>
      <c r="G6" s="4" t="s">
        <v>35</v>
      </c>
      <c r="H6" s="4" t="s">
        <v>36</v>
      </c>
      <c r="I6" s="4" t="s">
        <v>37</v>
      </c>
      <c r="J6" s="4" t="s">
        <v>38</v>
      </c>
      <c r="K6" s="4" t="s">
        <v>39</v>
      </c>
      <c r="L6" s="4" t="s">
        <v>40</v>
      </c>
      <c r="M6" s="4" t="s">
        <v>24</v>
      </c>
    </row>
    <row r="7" spans="1:13" ht="60" customHeight="1" x14ac:dyDescent="0.45">
      <c r="A7" s="5">
        <v>5</v>
      </c>
      <c r="B7" s="6" t="s">
        <v>25</v>
      </c>
      <c r="C7" s="4" t="s">
        <v>41</v>
      </c>
      <c r="D7" s="4" t="s">
        <v>27</v>
      </c>
      <c r="E7" s="4" t="s">
        <v>41</v>
      </c>
      <c r="F7" s="4" t="s">
        <v>42</v>
      </c>
      <c r="G7" s="4" t="s">
        <v>43</v>
      </c>
      <c r="H7" s="4" t="s">
        <v>36</v>
      </c>
      <c r="I7" s="4" t="s">
        <v>37</v>
      </c>
      <c r="J7" s="4" t="s">
        <v>38</v>
      </c>
      <c r="K7" s="4" t="s">
        <v>39</v>
      </c>
      <c r="L7" s="4" t="s">
        <v>40</v>
      </c>
      <c r="M7" s="4" t="s">
        <v>24</v>
      </c>
    </row>
    <row r="8" spans="1:13" ht="60" customHeight="1" x14ac:dyDescent="0.45">
      <c r="A8" s="5">
        <v>6</v>
      </c>
      <c r="B8" s="6" t="s">
        <v>25</v>
      </c>
      <c r="C8" s="4" t="s">
        <v>44</v>
      </c>
      <c r="D8" s="4" t="s">
        <v>27</v>
      </c>
      <c r="E8" s="4" t="s">
        <v>44</v>
      </c>
      <c r="F8" s="4" t="s">
        <v>45</v>
      </c>
      <c r="G8" s="4" t="s">
        <v>46</v>
      </c>
      <c r="H8" s="4" t="s">
        <v>36</v>
      </c>
      <c r="I8" s="4" t="s">
        <v>37</v>
      </c>
      <c r="J8" s="4" t="s">
        <v>38</v>
      </c>
      <c r="K8" s="4" t="s">
        <v>39</v>
      </c>
      <c r="L8" s="4" t="s">
        <v>40</v>
      </c>
      <c r="M8" s="4" t="s">
        <v>24</v>
      </c>
    </row>
    <row r="9" spans="1:13" ht="60" customHeight="1" x14ac:dyDescent="0.45">
      <c r="A9" s="5">
        <v>7</v>
      </c>
      <c r="B9" s="6" t="s">
        <v>25</v>
      </c>
      <c r="C9" s="4" t="s">
        <v>47</v>
      </c>
      <c r="D9" s="4" t="s">
        <v>27</v>
      </c>
      <c r="E9" s="4" t="s">
        <v>47</v>
      </c>
      <c r="F9" s="4" t="s">
        <v>48</v>
      </c>
      <c r="G9" s="4" t="s">
        <v>49</v>
      </c>
      <c r="H9" s="4" t="s">
        <v>36</v>
      </c>
      <c r="I9" s="4" t="s">
        <v>37</v>
      </c>
      <c r="J9" s="4" t="s">
        <v>38</v>
      </c>
      <c r="K9" s="4" t="s">
        <v>39</v>
      </c>
      <c r="L9" s="4" t="s">
        <v>40</v>
      </c>
      <c r="M9" s="4" t="s">
        <v>24</v>
      </c>
    </row>
    <row r="10" spans="1:13" ht="60" customHeight="1" x14ac:dyDescent="0.45">
      <c r="A10" s="5">
        <v>8</v>
      </c>
      <c r="B10" s="6" t="s">
        <v>25</v>
      </c>
      <c r="C10" s="4" t="s">
        <v>41</v>
      </c>
      <c r="D10" s="4" t="s">
        <v>27</v>
      </c>
      <c r="E10" s="4" t="s">
        <v>41</v>
      </c>
      <c r="F10" s="4" t="s">
        <v>50</v>
      </c>
      <c r="G10" s="4" t="s">
        <v>51</v>
      </c>
      <c r="H10" s="4" t="s">
        <v>36</v>
      </c>
      <c r="I10" s="4" t="s">
        <v>37</v>
      </c>
      <c r="J10" s="4" t="s">
        <v>38</v>
      </c>
      <c r="K10" s="4" t="s">
        <v>39</v>
      </c>
      <c r="L10" s="4" t="s">
        <v>40</v>
      </c>
      <c r="M10" s="4" t="s">
        <v>24</v>
      </c>
    </row>
    <row r="11" spans="1:13" ht="60" customHeight="1" x14ac:dyDescent="0.45">
      <c r="A11" s="7">
        <v>9</v>
      </c>
      <c r="B11" s="8" t="s">
        <v>31</v>
      </c>
      <c r="C11" s="4" t="s">
        <v>32</v>
      </c>
      <c r="D11" s="4" t="s">
        <v>33</v>
      </c>
      <c r="E11" s="4" t="s">
        <v>32</v>
      </c>
      <c r="F11" s="4" t="s">
        <v>52</v>
      </c>
      <c r="G11" s="4" t="s">
        <v>53</v>
      </c>
      <c r="H11" s="4" t="s">
        <v>54</v>
      </c>
      <c r="I11" s="4" t="s">
        <v>55</v>
      </c>
      <c r="J11" s="4" t="s">
        <v>56</v>
      </c>
      <c r="K11" s="4" t="s">
        <v>57</v>
      </c>
      <c r="L11" s="4" t="s">
        <v>40</v>
      </c>
      <c r="M11" s="4" t="s">
        <v>24</v>
      </c>
    </row>
    <row r="12" spans="1:13" ht="60" customHeight="1" x14ac:dyDescent="0.45">
      <c r="A12" s="5">
        <v>10</v>
      </c>
      <c r="B12" s="6" t="s">
        <v>25</v>
      </c>
      <c r="C12" s="4" t="s">
        <v>41</v>
      </c>
      <c r="D12" s="4" t="s">
        <v>27</v>
      </c>
      <c r="E12" s="4" t="s">
        <v>41</v>
      </c>
      <c r="F12" s="4" t="s">
        <v>58</v>
      </c>
      <c r="G12" s="4" t="s">
        <v>59</v>
      </c>
      <c r="H12" s="4" t="s">
        <v>54</v>
      </c>
      <c r="I12" s="4" t="s">
        <v>55</v>
      </c>
      <c r="J12" s="4" t="s">
        <v>56</v>
      </c>
      <c r="K12" s="4" t="s">
        <v>57</v>
      </c>
      <c r="L12" s="4" t="s">
        <v>40</v>
      </c>
      <c r="M12" s="4" t="s">
        <v>24</v>
      </c>
    </row>
    <row r="13" spans="1:13" ht="60" customHeight="1" x14ac:dyDescent="0.45">
      <c r="A13" s="5">
        <v>11</v>
      </c>
      <c r="B13" s="6" t="s">
        <v>25</v>
      </c>
      <c r="C13" s="4" t="s">
        <v>47</v>
      </c>
      <c r="D13" s="4" t="s">
        <v>27</v>
      </c>
      <c r="E13" s="4" t="s">
        <v>47</v>
      </c>
      <c r="F13" s="4" t="s">
        <v>60</v>
      </c>
      <c r="G13" s="4" t="s">
        <v>61</v>
      </c>
      <c r="H13" s="4" t="s">
        <v>54</v>
      </c>
      <c r="I13" s="4" t="s">
        <v>55</v>
      </c>
      <c r="J13" s="4" t="s">
        <v>56</v>
      </c>
      <c r="K13" s="4" t="s">
        <v>57</v>
      </c>
      <c r="L13" s="4" t="s">
        <v>40</v>
      </c>
      <c r="M13" s="4" t="s">
        <v>24</v>
      </c>
    </row>
    <row r="14" spans="1:13" ht="60" customHeight="1" x14ac:dyDescent="0.45">
      <c r="A14" s="5">
        <v>12</v>
      </c>
      <c r="B14" s="6" t="s">
        <v>25</v>
      </c>
      <c r="C14" s="4" t="s">
        <v>62</v>
      </c>
      <c r="D14" s="4" t="s">
        <v>27</v>
      </c>
      <c r="E14" s="4" t="s">
        <v>62</v>
      </c>
      <c r="F14" s="4" t="s">
        <v>63</v>
      </c>
      <c r="G14" s="4" t="s">
        <v>64</v>
      </c>
      <c r="H14" s="4" t="s">
        <v>54</v>
      </c>
      <c r="I14" s="4" t="s">
        <v>55</v>
      </c>
      <c r="J14" s="4" t="s">
        <v>56</v>
      </c>
      <c r="K14" s="4" t="s">
        <v>57</v>
      </c>
      <c r="L14" s="4" t="s">
        <v>40</v>
      </c>
      <c r="M14" s="4" t="s">
        <v>24</v>
      </c>
    </row>
    <row r="15" spans="1:13" ht="60" customHeight="1" x14ac:dyDescent="0.45">
      <c r="A15" s="5">
        <v>13</v>
      </c>
      <c r="B15" s="6" t="s">
        <v>25</v>
      </c>
      <c r="C15" s="4" t="s">
        <v>47</v>
      </c>
      <c r="D15" s="4" t="s">
        <v>27</v>
      </c>
      <c r="E15" s="4" t="s">
        <v>47</v>
      </c>
      <c r="F15" s="4" t="s">
        <v>65</v>
      </c>
      <c r="G15" s="4" t="s">
        <v>66</v>
      </c>
      <c r="H15" s="4" t="s">
        <v>54</v>
      </c>
      <c r="I15" s="4" t="s">
        <v>55</v>
      </c>
      <c r="J15" s="4" t="s">
        <v>56</v>
      </c>
      <c r="K15" s="4" t="s">
        <v>57</v>
      </c>
      <c r="L15" s="4" t="s">
        <v>40</v>
      </c>
      <c r="M15" s="4" t="s">
        <v>24</v>
      </c>
    </row>
    <row r="16" spans="1:13" ht="60" customHeight="1" x14ac:dyDescent="0.45">
      <c r="A16" s="5">
        <v>14</v>
      </c>
      <c r="B16" s="6" t="s">
        <v>25</v>
      </c>
      <c r="C16" s="4" t="s">
        <v>62</v>
      </c>
      <c r="D16" s="4" t="s">
        <v>27</v>
      </c>
      <c r="E16" s="4" t="s">
        <v>62</v>
      </c>
      <c r="F16" s="4" t="s">
        <v>67</v>
      </c>
      <c r="G16" s="4" t="s">
        <v>68</v>
      </c>
      <c r="H16" s="4" t="s">
        <v>54</v>
      </c>
      <c r="I16" s="4" t="s">
        <v>55</v>
      </c>
      <c r="J16" s="4" t="s">
        <v>56</v>
      </c>
      <c r="K16" s="4" t="s">
        <v>57</v>
      </c>
      <c r="L16" s="4" t="s">
        <v>40</v>
      </c>
      <c r="M16" s="4" t="s">
        <v>24</v>
      </c>
    </row>
    <row r="17" spans="1:13" ht="60" customHeight="1" x14ac:dyDescent="0.45">
      <c r="A17" s="5">
        <v>15</v>
      </c>
      <c r="B17" s="6" t="s">
        <v>25</v>
      </c>
      <c r="C17" s="4" t="s">
        <v>41</v>
      </c>
      <c r="D17" s="4" t="s">
        <v>27</v>
      </c>
      <c r="E17" s="4" t="s">
        <v>41</v>
      </c>
      <c r="F17" s="4" t="s">
        <v>69</v>
      </c>
      <c r="G17" s="4" t="s">
        <v>70</v>
      </c>
      <c r="H17" s="4" t="s">
        <v>54</v>
      </c>
      <c r="I17" s="4" t="s">
        <v>55</v>
      </c>
      <c r="J17" s="4" t="s">
        <v>56</v>
      </c>
      <c r="K17" s="4" t="s">
        <v>57</v>
      </c>
      <c r="L17" s="4" t="s">
        <v>40</v>
      </c>
      <c r="M17" s="4" t="s">
        <v>24</v>
      </c>
    </row>
    <row r="18" spans="1:13" ht="60" customHeight="1" x14ac:dyDescent="0.45">
      <c r="A18" s="5">
        <v>16</v>
      </c>
      <c r="B18" s="6" t="s">
        <v>25</v>
      </c>
      <c r="C18" s="4" t="s">
        <v>41</v>
      </c>
      <c r="D18" s="4" t="s">
        <v>27</v>
      </c>
      <c r="E18" s="4" t="s">
        <v>41</v>
      </c>
      <c r="F18" s="4" t="s">
        <v>71</v>
      </c>
      <c r="G18" s="4" t="s">
        <v>72</v>
      </c>
      <c r="H18" s="4" t="s">
        <v>73</v>
      </c>
      <c r="I18" s="4" t="s">
        <v>74</v>
      </c>
      <c r="J18" s="4" t="s">
        <v>21</v>
      </c>
      <c r="K18" s="4" t="s">
        <v>57</v>
      </c>
      <c r="L18" s="4" t="s">
        <v>40</v>
      </c>
      <c r="M18" s="4" t="s">
        <v>24</v>
      </c>
    </row>
    <row r="19" spans="1:13" ht="60" customHeight="1" x14ac:dyDescent="0.45">
      <c r="A19" s="5">
        <v>17</v>
      </c>
      <c r="B19" s="6" t="s">
        <v>25</v>
      </c>
      <c r="C19" s="4" t="s">
        <v>47</v>
      </c>
      <c r="D19" s="4" t="s">
        <v>27</v>
      </c>
      <c r="E19" s="4" t="s">
        <v>47</v>
      </c>
      <c r="F19" s="4" t="s">
        <v>75</v>
      </c>
      <c r="G19" s="4" t="s">
        <v>76</v>
      </c>
      <c r="H19" s="4" t="s">
        <v>73</v>
      </c>
      <c r="I19" s="4" t="s">
        <v>74</v>
      </c>
      <c r="J19" s="4" t="s">
        <v>21</v>
      </c>
      <c r="K19" s="4" t="s">
        <v>57</v>
      </c>
      <c r="L19" s="4" t="s">
        <v>40</v>
      </c>
      <c r="M19" s="4" t="s">
        <v>24</v>
      </c>
    </row>
    <row r="20" spans="1:13" ht="60" customHeight="1" x14ac:dyDescent="0.45">
      <c r="A20" s="7">
        <v>18</v>
      </c>
      <c r="B20" s="8" t="s">
        <v>31</v>
      </c>
      <c r="C20" s="4" t="s">
        <v>32</v>
      </c>
      <c r="D20" s="4" t="s">
        <v>33</v>
      </c>
      <c r="E20" s="4" t="s">
        <v>32</v>
      </c>
      <c r="F20" s="4" t="s">
        <v>77</v>
      </c>
      <c r="G20" s="4" t="s">
        <v>78</v>
      </c>
      <c r="H20" s="4" t="s">
        <v>73</v>
      </c>
      <c r="I20" s="4" t="s">
        <v>74</v>
      </c>
      <c r="J20" s="4" t="s">
        <v>21</v>
      </c>
      <c r="K20" s="4" t="s">
        <v>57</v>
      </c>
      <c r="L20" s="4" t="s">
        <v>40</v>
      </c>
      <c r="M20" s="4" t="s">
        <v>24</v>
      </c>
    </row>
    <row r="21" spans="1:13" ht="60" customHeight="1" x14ac:dyDescent="0.45">
      <c r="A21" s="7">
        <v>19</v>
      </c>
      <c r="B21" s="8" t="s">
        <v>31</v>
      </c>
      <c r="C21" s="4" t="s">
        <v>79</v>
      </c>
      <c r="D21" s="4" t="s">
        <v>33</v>
      </c>
      <c r="E21" s="4" t="s">
        <v>79</v>
      </c>
      <c r="F21" s="4" t="s">
        <v>80</v>
      </c>
      <c r="G21" s="4" t="s">
        <v>81</v>
      </c>
      <c r="H21" s="4" t="s">
        <v>82</v>
      </c>
      <c r="I21" s="4" t="s">
        <v>83</v>
      </c>
      <c r="J21" s="4" t="s">
        <v>84</v>
      </c>
      <c r="K21" s="4" t="s">
        <v>85</v>
      </c>
      <c r="L21" s="4" t="s">
        <v>86</v>
      </c>
      <c r="M21" s="4" t="s">
        <v>87</v>
      </c>
    </row>
    <row r="22" spans="1:13" ht="60" customHeight="1" x14ac:dyDescent="0.45">
      <c r="A22" s="5">
        <v>20</v>
      </c>
      <c r="B22" s="6" t="s">
        <v>25</v>
      </c>
      <c r="C22" s="4" t="s">
        <v>41</v>
      </c>
      <c r="D22" s="4" t="s">
        <v>27</v>
      </c>
      <c r="E22" s="4" t="s">
        <v>41</v>
      </c>
      <c r="F22" s="4" t="s">
        <v>80</v>
      </c>
      <c r="G22" s="4" t="s">
        <v>88</v>
      </c>
      <c r="H22" s="4" t="s">
        <v>82</v>
      </c>
      <c r="I22" s="4" t="s">
        <v>83</v>
      </c>
      <c r="J22" s="4" t="s">
        <v>84</v>
      </c>
      <c r="K22" s="4" t="s">
        <v>85</v>
      </c>
      <c r="L22" s="4" t="s">
        <v>86</v>
      </c>
      <c r="M22" s="4" t="s">
        <v>87</v>
      </c>
    </row>
    <row r="23" spans="1:13" ht="60" customHeight="1" x14ac:dyDescent="0.45">
      <c r="A23" s="5">
        <v>21</v>
      </c>
      <c r="B23" s="6" t="s">
        <v>25</v>
      </c>
      <c r="C23" s="4" t="s">
        <v>44</v>
      </c>
      <c r="D23" s="4" t="s">
        <v>27</v>
      </c>
      <c r="E23" s="4" t="s">
        <v>44</v>
      </c>
      <c r="F23" s="4" t="s">
        <v>89</v>
      </c>
      <c r="G23" s="4" t="s">
        <v>90</v>
      </c>
      <c r="H23" s="4" t="s">
        <v>82</v>
      </c>
      <c r="I23" s="4" t="s">
        <v>83</v>
      </c>
      <c r="J23" s="4" t="s">
        <v>84</v>
      </c>
      <c r="K23" s="4" t="s">
        <v>85</v>
      </c>
      <c r="L23" s="4" t="s">
        <v>86</v>
      </c>
      <c r="M23" s="4" t="s">
        <v>87</v>
      </c>
    </row>
    <row r="24" spans="1:13" ht="60" customHeight="1" x14ac:dyDescent="0.45">
      <c r="A24" s="2">
        <v>22</v>
      </c>
      <c r="B24" s="3" t="s">
        <v>14</v>
      </c>
      <c r="C24" s="4" t="s">
        <v>91</v>
      </c>
      <c r="D24" s="4" t="s">
        <v>16</v>
      </c>
      <c r="E24" s="4" t="s">
        <v>91</v>
      </c>
      <c r="F24" s="4" t="s">
        <v>89</v>
      </c>
      <c r="G24" s="4" t="s">
        <v>92</v>
      </c>
      <c r="H24" s="4" t="s">
        <v>82</v>
      </c>
      <c r="I24" s="4" t="s">
        <v>83</v>
      </c>
      <c r="J24" s="4" t="s">
        <v>84</v>
      </c>
      <c r="K24" s="4" t="s">
        <v>85</v>
      </c>
      <c r="L24" s="4" t="s">
        <v>86</v>
      </c>
      <c r="M24" s="4" t="s">
        <v>87</v>
      </c>
    </row>
    <row r="25" spans="1:13" ht="60" customHeight="1" x14ac:dyDescent="0.45">
      <c r="A25" s="5">
        <v>23</v>
      </c>
      <c r="B25" s="6" t="s">
        <v>25</v>
      </c>
      <c r="C25" s="4" t="s">
        <v>44</v>
      </c>
      <c r="D25" s="4" t="s">
        <v>27</v>
      </c>
      <c r="E25" s="4" t="s">
        <v>44</v>
      </c>
      <c r="F25" s="4" t="s">
        <v>93</v>
      </c>
      <c r="G25" s="4" t="s">
        <v>94</v>
      </c>
      <c r="H25" s="4" t="s">
        <v>82</v>
      </c>
      <c r="I25" s="4" t="s">
        <v>83</v>
      </c>
      <c r="J25" s="4" t="s">
        <v>84</v>
      </c>
      <c r="K25" s="4" t="s">
        <v>85</v>
      </c>
      <c r="L25" s="4" t="s">
        <v>86</v>
      </c>
      <c r="M25" s="4" t="s">
        <v>87</v>
      </c>
    </row>
    <row r="26" spans="1:13" ht="60" customHeight="1" x14ac:dyDescent="0.45">
      <c r="A26" s="2">
        <v>24</v>
      </c>
      <c r="B26" s="3" t="s">
        <v>14</v>
      </c>
      <c r="C26" s="4" t="s">
        <v>29</v>
      </c>
      <c r="D26" s="4" t="s">
        <v>16</v>
      </c>
      <c r="E26" s="4" t="s">
        <v>29</v>
      </c>
      <c r="F26" s="4" t="s">
        <v>93</v>
      </c>
      <c r="G26" s="4" t="s">
        <v>95</v>
      </c>
      <c r="H26" s="4" t="s">
        <v>82</v>
      </c>
      <c r="I26" s="4" t="s">
        <v>83</v>
      </c>
      <c r="J26" s="4" t="s">
        <v>84</v>
      </c>
      <c r="K26" s="4" t="s">
        <v>85</v>
      </c>
      <c r="L26" s="4" t="s">
        <v>86</v>
      </c>
      <c r="M26" s="4" t="s">
        <v>87</v>
      </c>
    </row>
    <row r="27" spans="1:13" ht="60" customHeight="1" x14ac:dyDescent="0.45">
      <c r="A27" s="2">
        <v>25</v>
      </c>
      <c r="B27" s="3" t="s">
        <v>14</v>
      </c>
      <c r="C27" s="4" t="s">
        <v>96</v>
      </c>
      <c r="D27" s="4" t="s">
        <v>16</v>
      </c>
      <c r="E27" s="4" t="s">
        <v>96</v>
      </c>
      <c r="F27" s="4" t="s">
        <v>97</v>
      </c>
      <c r="G27" s="4" t="s">
        <v>98</v>
      </c>
      <c r="H27" s="4" t="s">
        <v>82</v>
      </c>
      <c r="I27" s="4" t="s">
        <v>83</v>
      </c>
      <c r="J27" s="4" t="s">
        <v>84</v>
      </c>
      <c r="K27" s="4" t="s">
        <v>85</v>
      </c>
      <c r="L27" s="4" t="s">
        <v>86</v>
      </c>
      <c r="M27" s="4" t="s">
        <v>87</v>
      </c>
    </row>
    <row r="28" spans="1:13" ht="60" customHeight="1" x14ac:dyDescent="0.45">
      <c r="A28" s="5">
        <v>26</v>
      </c>
      <c r="B28" s="6" t="s">
        <v>25</v>
      </c>
      <c r="C28" s="4" t="s">
        <v>62</v>
      </c>
      <c r="D28" s="4" t="s">
        <v>27</v>
      </c>
      <c r="E28" s="4" t="s">
        <v>62</v>
      </c>
      <c r="F28" s="4" t="s">
        <v>99</v>
      </c>
      <c r="G28" s="4" t="s">
        <v>100</v>
      </c>
      <c r="H28" s="4" t="s">
        <v>82</v>
      </c>
      <c r="I28" s="4" t="s">
        <v>83</v>
      </c>
      <c r="J28" s="4" t="s">
        <v>84</v>
      </c>
      <c r="K28" s="4" t="s">
        <v>85</v>
      </c>
      <c r="L28" s="4" t="s">
        <v>86</v>
      </c>
      <c r="M28" s="4" t="s">
        <v>87</v>
      </c>
    </row>
    <row r="29" spans="1:13" ht="60" customHeight="1" x14ac:dyDescent="0.45">
      <c r="A29" s="5">
        <v>27</v>
      </c>
      <c r="B29" s="6" t="s">
        <v>25</v>
      </c>
      <c r="C29" s="4" t="s">
        <v>62</v>
      </c>
      <c r="D29" s="4" t="s">
        <v>27</v>
      </c>
      <c r="E29" s="4" t="s">
        <v>62</v>
      </c>
      <c r="F29" s="4" t="s">
        <v>101</v>
      </c>
      <c r="G29" s="4" t="s">
        <v>102</v>
      </c>
      <c r="H29" s="4" t="s">
        <v>82</v>
      </c>
      <c r="I29" s="4" t="s">
        <v>83</v>
      </c>
      <c r="J29" s="4" t="s">
        <v>84</v>
      </c>
      <c r="K29" s="4" t="s">
        <v>85</v>
      </c>
      <c r="L29" s="4" t="s">
        <v>86</v>
      </c>
      <c r="M29" s="4" t="s">
        <v>87</v>
      </c>
    </row>
    <row r="30" spans="1:13" ht="60" customHeight="1" x14ac:dyDescent="0.45">
      <c r="A30" s="5">
        <v>28</v>
      </c>
      <c r="B30" s="6" t="s">
        <v>25</v>
      </c>
      <c r="C30" s="4" t="s">
        <v>44</v>
      </c>
      <c r="D30" s="4" t="s">
        <v>27</v>
      </c>
      <c r="E30" s="4" t="s">
        <v>44</v>
      </c>
      <c r="F30" s="4" t="s">
        <v>103</v>
      </c>
      <c r="G30" s="4" t="s">
        <v>104</v>
      </c>
      <c r="H30" s="4" t="s">
        <v>82</v>
      </c>
      <c r="I30" s="4" t="s">
        <v>83</v>
      </c>
      <c r="J30" s="4" t="s">
        <v>84</v>
      </c>
      <c r="K30" s="4" t="s">
        <v>85</v>
      </c>
      <c r="L30" s="4" t="s">
        <v>86</v>
      </c>
      <c r="M30" s="4" t="s">
        <v>87</v>
      </c>
    </row>
    <row r="31" spans="1:13" ht="60" customHeight="1" x14ac:dyDescent="0.45">
      <c r="A31" s="5">
        <v>29</v>
      </c>
      <c r="B31" s="6" t="s">
        <v>25</v>
      </c>
      <c r="C31" s="4" t="s">
        <v>62</v>
      </c>
      <c r="D31" s="4" t="s">
        <v>27</v>
      </c>
      <c r="E31" s="4" t="s">
        <v>62</v>
      </c>
      <c r="F31" s="4" t="s">
        <v>103</v>
      </c>
      <c r="G31" s="4" t="s">
        <v>105</v>
      </c>
      <c r="H31" s="4" t="s">
        <v>82</v>
      </c>
      <c r="I31" s="4" t="s">
        <v>83</v>
      </c>
      <c r="J31" s="4" t="s">
        <v>84</v>
      </c>
      <c r="K31" s="4" t="s">
        <v>85</v>
      </c>
      <c r="L31" s="4" t="s">
        <v>86</v>
      </c>
      <c r="M31" s="4" t="s">
        <v>87</v>
      </c>
    </row>
    <row r="32" spans="1:13" ht="60" customHeight="1" x14ac:dyDescent="0.45">
      <c r="A32" s="5">
        <v>30</v>
      </c>
      <c r="B32" s="6" t="s">
        <v>25</v>
      </c>
      <c r="C32" s="4" t="s">
        <v>47</v>
      </c>
      <c r="D32" s="4" t="s">
        <v>27</v>
      </c>
      <c r="E32" s="4" t="s">
        <v>47</v>
      </c>
      <c r="F32" s="4" t="s">
        <v>106</v>
      </c>
      <c r="G32" s="4" t="s">
        <v>107</v>
      </c>
      <c r="H32" s="4" t="s">
        <v>82</v>
      </c>
      <c r="I32" s="4" t="s">
        <v>83</v>
      </c>
      <c r="J32" s="4" t="s">
        <v>84</v>
      </c>
      <c r="K32" s="4" t="s">
        <v>85</v>
      </c>
      <c r="L32" s="4" t="s">
        <v>86</v>
      </c>
      <c r="M32" s="4" t="s">
        <v>87</v>
      </c>
    </row>
    <row r="33" spans="1:13" ht="60" customHeight="1" x14ac:dyDescent="0.45">
      <c r="A33" s="5">
        <v>31</v>
      </c>
      <c r="B33" s="6" t="s">
        <v>25</v>
      </c>
      <c r="C33" s="4" t="s">
        <v>62</v>
      </c>
      <c r="D33" s="4" t="s">
        <v>27</v>
      </c>
      <c r="E33" s="4" t="s">
        <v>62</v>
      </c>
      <c r="F33" s="4" t="s">
        <v>106</v>
      </c>
      <c r="G33" s="4" t="s">
        <v>108</v>
      </c>
      <c r="H33" s="4" t="s">
        <v>82</v>
      </c>
      <c r="I33" s="4" t="s">
        <v>83</v>
      </c>
      <c r="J33" s="4" t="s">
        <v>84</v>
      </c>
      <c r="K33" s="4" t="s">
        <v>85</v>
      </c>
      <c r="L33" s="4" t="s">
        <v>86</v>
      </c>
      <c r="M33" s="4" t="s">
        <v>87</v>
      </c>
    </row>
    <row r="34" spans="1:13" ht="60" customHeight="1" x14ac:dyDescent="0.45">
      <c r="A34" s="7">
        <v>32</v>
      </c>
      <c r="B34" s="8" t="s">
        <v>31</v>
      </c>
      <c r="C34" s="4" t="s">
        <v>109</v>
      </c>
      <c r="D34" s="4" t="s">
        <v>33</v>
      </c>
      <c r="E34" s="4" t="s">
        <v>109</v>
      </c>
      <c r="F34" s="4" t="s">
        <v>110</v>
      </c>
      <c r="G34" s="4" t="s">
        <v>111</v>
      </c>
      <c r="H34" s="4" t="s">
        <v>82</v>
      </c>
      <c r="I34" s="4" t="s">
        <v>83</v>
      </c>
      <c r="J34" s="4" t="s">
        <v>84</v>
      </c>
      <c r="K34" s="4" t="s">
        <v>85</v>
      </c>
      <c r="L34" s="4" t="s">
        <v>86</v>
      </c>
      <c r="M34" s="4" t="s">
        <v>87</v>
      </c>
    </row>
    <row r="35" spans="1:13" ht="60" customHeight="1" x14ac:dyDescent="0.45">
      <c r="A35" s="2">
        <v>33</v>
      </c>
      <c r="B35" s="3" t="s">
        <v>14</v>
      </c>
      <c r="C35" s="4" t="s">
        <v>96</v>
      </c>
      <c r="D35" s="4" t="s">
        <v>16</v>
      </c>
      <c r="E35" s="4" t="s">
        <v>96</v>
      </c>
      <c r="F35" s="4" t="s">
        <v>112</v>
      </c>
      <c r="G35" s="4" t="s">
        <v>113</v>
      </c>
      <c r="H35" s="4" t="s">
        <v>82</v>
      </c>
      <c r="I35" s="4" t="s">
        <v>83</v>
      </c>
      <c r="J35" s="4" t="s">
        <v>84</v>
      </c>
      <c r="K35" s="4" t="s">
        <v>85</v>
      </c>
      <c r="L35" s="4" t="s">
        <v>86</v>
      </c>
      <c r="M35" s="4" t="s">
        <v>87</v>
      </c>
    </row>
    <row r="36" spans="1:13" ht="60" customHeight="1" x14ac:dyDescent="0.45">
      <c r="A36" s="5">
        <v>34</v>
      </c>
      <c r="B36" s="6" t="s">
        <v>25</v>
      </c>
      <c r="C36" s="4" t="s">
        <v>114</v>
      </c>
      <c r="D36" s="4" t="s">
        <v>27</v>
      </c>
      <c r="E36" s="4" t="s">
        <v>114</v>
      </c>
      <c r="F36" s="4" t="s">
        <v>112</v>
      </c>
      <c r="G36" s="4" t="s">
        <v>115</v>
      </c>
      <c r="H36" s="4" t="s">
        <v>82</v>
      </c>
      <c r="I36" s="4" t="s">
        <v>83</v>
      </c>
      <c r="J36" s="4" t="s">
        <v>84</v>
      </c>
      <c r="K36" s="4" t="s">
        <v>85</v>
      </c>
      <c r="L36" s="4" t="s">
        <v>86</v>
      </c>
      <c r="M36" s="4" t="s">
        <v>87</v>
      </c>
    </row>
    <row r="37" spans="1:13" ht="60" customHeight="1" x14ac:dyDescent="0.45">
      <c r="A37" s="5">
        <v>35</v>
      </c>
      <c r="B37" s="6" t="s">
        <v>25</v>
      </c>
      <c r="C37" s="4" t="s">
        <v>62</v>
      </c>
      <c r="D37" s="4" t="s">
        <v>27</v>
      </c>
      <c r="E37" s="4" t="s">
        <v>62</v>
      </c>
      <c r="F37" s="4" t="s">
        <v>116</v>
      </c>
      <c r="G37" s="4" t="s">
        <v>117</v>
      </c>
      <c r="H37" s="4" t="s">
        <v>82</v>
      </c>
      <c r="I37" s="4" t="s">
        <v>83</v>
      </c>
      <c r="J37" s="4" t="s">
        <v>84</v>
      </c>
      <c r="K37" s="4" t="s">
        <v>85</v>
      </c>
      <c r="L37" s="4" t="s">
        <v>86</v>
      </c>
      <c r="M37" s="4" t="s">
        <v>87</v>
      </c>
    </row>
    <row r="38" spans="1:13" ht="60" customHeight="1" x14ac:dyDescent="0.45">
      <c r="A38" s="5">
        <v>36</v>
      </c>
      <c r="B38" s="6" t="s">
        <v>25</v>
      </c>
      <c r="C38" s="4" t="s">
        <v>62</v>
      </c>
      <c r="D38" s="4" t="s">
        <v>27</v>
      </c>
      <c r="E38" s="4" t="s">
        <v>62</v>
      </c>
      <c r="F38" s="4" t="s">
        <v>118</v>
      </c>
      <c r="G38" s="4" t="s">
        <v>119</v>
      </c>
      <c r="H38" s="4" t="s">
        <v>82</v>
      </c>
      <c r="I38" s="4" t="s">
        <v>83</v>
      </c>
      <c r="J38" s="4" t="s">
        <v>84</v>
      </c>
      <c r="K38" s="4" t="s">
        <v>85</v>
      </c>
      <c r="L38" s="4" t="s">
        <v>86</v>
      </c>
      <c r="M38" s="4" t="s">
        <v>87</v>
      </c>
    </row>
    <row r="39" spans="1:13" ht="60" customHeight="1" x14ac:dyDescent="0.45">
      <c r="A39" s="5">
        <v>37</v>
      </c>
      <c r="B39" s="6" t="s">
        <v>25</v>
      </c>
      <c r="C39" s="4" t="s">
        <v>41</v>
      </c>
      <c r="D39" s="4" t="s">
        <v>27</v>
      </c>
      <c r="E39" s="4" t="s">
        <v>41</v>
      </c>
      <c r="F39" s="4" t="s">
        <v>120</v>
      </c>
      <c r="G39" s="4" t="s">
        <v>121</v>
      </c>
      <c r="H39" s="4" t="s">
        <v>82</v>
      </c>
      <c r="I39" s="4" t="s">
        <v>83</v>
      </c>
      <c r="J39" s="4" t="s">
        <v>84</v>
      </c>
      <c r="K39" s="4" t="s">
        <v>85</v>
      </c>
      <c r="L39" s="4" t="s">
        <v>86</v>
      </c>
      <c r="M39" s="4" t="s">
        <v>87</v>
      </c>
    </row>
    <row r="40" spans="1:13" ht="60" customHeight="1" x14ac:dyDescent="0.45">
      <c r="A40" s="5">
        <v>38</v>
      </c>
      <c r="B40" s="6" t="s">
        <v>25</v>
      </c>
      <c r="C40" s="4" t="s">
        <v>44</v>
      </c>
      <c r="D40" s="4" t="s">
        <v>27</v>
      </c>
      <c r="E40" s="4" t="s">
        <v>44</v>
      </c>
      <c r="F40" s="4" t="s">
        <v>122</v>
      </c>
      <c r="G40" s="4" t="s">
        <v>123</v>
      </c>
      <c r="H40" s="4" t="s">
        <v>124</v>
      </c>
      <c r="I40" s="4" t="s">
        <v>125</v>
      </c>
      <c r="J40" s="4" t="s">
        <v>126</v>
      </c>
      <c r="K40" s="4" t="s">
        <v>127</v>
      </c>
      <c r="L40" s="4" t="s">
        <v>23</v>
      </c>
      <c r="M40" s="4" t="s">
        <v>87</v>
      </c>
    </row>
    <row r="41" spans="1:13" ht="60" customHeight="1" x14ac:dyDescent="0.45">
      <c r="A41" s="7">
        <v>39</v>
      </c>
      <c r="B41" s="8" t="s">
        <v>31</v>
      </c>
      <c r="C41" s="4" t="s">
        <v>32</v>
      </c>
      <c r="D41" s="4" t="s">
        <v>33</v>
      </c>
      <c r="E41" s="4" t="s">
        <v>32</v>
      </c>
      <c r="F41" s="4" t="s">
        <v>128</v>
      </c>
      <c r="G41" s="4" t="s">
        <v>129</v>
      </c>
      <c r="H41" s="4" t="s">
        <v>124</v>
      </c>
      <c r="I41" s="4" t="s">
        <v>125</v>
      </c>
      <c r="J41" s="4" t="s">
        <v>126</v>
      </c>
      <c r="K41" s="4" t="s">
        <v>127</v>
      </c>
      <c r="L41" s="4" t="s">
        <v>23</v>
      </c>
      <c r="M41" s="4" t="s">
        <v>87</v>
      </c>
    </row>
    <row r="42" spans="1:13" ht="60" customHeight="1" x14ac:dyDescent="0.45">
      <c r="A42" s="5">
        <v>40</v>
      </c>
      <c r="B42" s="6" t="s">
        <v>25</v>
      </c>
      <c r="C42" s="4" t="s">
        <v>62</v>
      </c>
      <c r="D42" s="4" t="s">
        <v>27</v>
      </c>
      <c r="E42" s="4" t="s">
        <v>62</v>
      </c>
      <c r="F42" s="4" t="s">
        <v>130</v>
      </c>
      <c r="G42" s="4" t="s">
        <v>131</v>
      </c>
      <c r="H42" s="4" t="s">
        <v>124</v>
      </c>
      <c r="I42" s="4" t="s">
        <v>125</v>
      </c>
      <c r="J42" s="4" t="s">
        <v>126</v>
      </c>
      <c r="K42" s="4" t="s">
        <v>127</v>
      </c>
      <c r="L42" s="4" t="s">
        <v>23</v>
      </c>
      <c r="M42" s="4" t="s">
        <v>87</v>
      </c>
    </row>
    <row r="43" spans="1:13" ht="60" customHeight="1" x14ac:dyDescent="0.45">
      <c r="A43" s="5">
        <v>41</v>
      </c>
      <c r="B43" s="6" t="s">
        <v>25</v>
      </c>
      <c r="C43" s="4" t="s">
        <v>41</v>
      </c>
      <c r="D43" s="4" t="s">
        <v>27</v>
      </c>
      <c r="E43" s="4" t="s">
        <v>41</v>
      </c>
      <c r="F43" s="4" t="s">
        <v>132</v>
      </c>
      <c r="G43" s="4" t="s">
        <v>133</v>
      </c>
      <c r="H43" s="4" t="s">
        <v>124</v>
      </c>
      <c r="I43" s="4" t="s">
        <v>125</v>
      </c>
      <c r="J43" s="4" t="s">
        <v>126</v>
      </c>
      <c r="K43" s="4" t="s">
        <v>127</v>
      </c>
      <c r="L43" s="4" t="s">
        <v>23</v>
      </c>
      <c r="M43" s="4" t="s">
        <v>87</v>
      </c>
    </row>
    <row r="44" spans="1:13" ht="60" customHeight="1" x14ac:dyDescent="0.45">
      <c r="A44" s="2">
        <v>42</v>
      </c>
      <c r="B44" s="3" t="s">
        <v>14</v>
      </c>
      <c r="C44" s="4" t="s">
        <v>15</v>
      </c>
      <c r="D44" s="4" t="s">
        <v>16</v>
      </c>
      <c r="E44" s="4" t="s">
        <v>15</v>
      </c>
      <c r="F44" s="4" t="s">
        <v>134</v>
      </c>
      <c r="G44" s="4" t="s">
        <v>135</v>
      </c>
      <c r="H44" s="4" t="s">
        <v>124</v>
      </c>
      <c r="I44" s="4" t="s">
        <v>125</v>
      </c>
      <c r="J44" s="4" t="s">
        <v>126</v>
      </c>
      <c r="K44" s="4" t="s">
        <v>127</v>
      </c>
      <c r="L44" s="4" t="s">
        <v>23</v>
      </c>
      <c r="M44" s="4" t="s">
        <v>87</v>
      </c>
    </row>
    <row r="45" spans="1:13" ht="60" customHeight="1" x14ac:dyDescent="0.45">
      <c r="A45" s="7">
        <v>43</v>
      </c>
      <c r="B45" s="8" t="s">
        <v>31</v>
      </c>
      <c r="C45" s="4" t="s">
        <v>109</v>
      </c>
      <c r="D45" s="4" t="s">
        <v>33</v>
      </c>
      <c r="E45" s="4" t="s">
        <v>109</v>
      </c>
      <c r="F45" s="4" t="s">
        <v>134</v>
      </c>
      <c r="G45" s="4" t="s">
        <v>136</v>
      </c>
      <c r="H45" s="4" t="s">
        <v>124</v>
      </c>
      <c r="I45" s="4" t="s">
        <v>125</v>
      </c>
      <c r="J45" s="4" t="s">
        <v>126</v>
      </c>
      <c r="K45" s="4" t="s">
        <v>127</v>
      </c>
      <c r="L45" s="4" t="s">
        <v>23</v>
      </c>
      <c r="M45" s="4" t="s">
        <v>87</v>
      </c>
    </row>
    <row r="46" spans="1:13" ht="60" customHeight="1" x14ac:dyDescent="0.45">
      <c r="A46" s="2">
        <v>44</v>
      </c>
      <c r="B46" s="3" t="s">
        <v>14</v>
      </c>
      <c r="C46" s="4" t="s">
        <v>137</v>
      </c>
      <c r="D46" s="4" t="s">
        <v>16</v>
      </c>
      <c r="E46" s="4" t="s">
        <v>137</v>
      </c>
      <c r="F46" s="4" t="s">
        <v>138</v>
      </c>
      <c r="G46" s="4" t="s">
        <v>139</v>
      </c>
      <c r="H46" s="4" t="s">
        <v>140</v>
      </c>
      <c r="I46" s="4" t="s">
        <v>141</v>
      </c>
      <c r="J46" s="4" t="s">
        <v>142</v>
      </c>
      <c r="K46" s="4" t="s">
        <v>39</v>
      </c>
      <c r="L46" s="4" t="s">
        <v>40</v>
      </c>
      <c r="M46" s="4" t="s">
        <v>24</v>
      </c>
    </row>
    <row r="47" spans="1:13" ht="60" customHeight="1" x14ac:dyDescent="0.45">
      <c r="A47" s="5">
        <v>45</v>
      </c>
      <c r="B47" s="6" t="s">
        <v>25</v>
      </c>
      <c r="C47" s="4" t="s">
        <v>41</v>
      </c>
      <c r="D47" s="4" t="s">
        <v>27</v>
      </c>
      <c r="E47" s="4" t="s">
        <v>41</v>
      </c>
      <c r="F47" s="4" t="s">
        <v>143</v>
      </c>
      <c r="G47" s="4" t="s">
        <v>144</v>
      </c>
      <c r="H47" s="4" t="s">
        <v>140</v>
      </c>
      <c r="I47" s="4" t="s">
        <v>141</v>
      </c>
      <c r="J47" s="4" t="s">
        <v>142</v>
      </c>
      <c r="K47" s="4" t="s">
        <v>39</v>
      </c>
      <c r="L47" s="4" t="s">
        <v>40</v>
      </c>
      <c r="M47" s="4" t="s">
        <v>24</v>
      </c>
    </row>
    <row r="48" spans="1:13" ht="60" customHeight="1" x14ac:dyDescent="0.45">
      <c r="A48" s="5">
        <v>46</v>
      </c>
      <c r="B48" s="6" t="s">
        <v>25</v>
      </c>
      <c r="C48" s="4" t="s">
        <v>62</v>
      </c>
      <c r="D48" s="4" t="s">
        <v>27</v>
      </c>
      <c r="E48" s="4" t="s">
        <v>62</v>
      </c>
      <c r="F48" s="4" t="s">
        <v>145</v>
      </c>
      <c r="G48" s="4" t="s">
        <v>146</v>
      </c>
      <c r="H48" s="4" t="s">
        <v>140</v>
      </c>
      <c r="I48" s="4" t="s">
        <v>141</v>
      </c>
      <c r="J48" s="4" t="s">
        <v>142</v>
      </c>
      <c r="K48" s="4" t="s">
        <v>39</v>
      </c>
      <c r="L48" s="4" t="s">
        <v>40</v>
      </c>
      <c r="M48" s="4" t="s">
        <v>24</v>
      </c>
    </row>
    <row r="49" spans="1:13" ht="60" customHeight="1" x14ac:dyDescent="0.45">
      <c r="A49" s="5">
        <v>47</v>
      </c>
      <c r="B49" s="6" t="s">
        <v>25</v>
      </c>
      <c r="C49" s="4" t="s">
        <v>47</v>
      </c>
      <c r="D49" s="4" t="s">
        <v>27</v>
      </c>
      <c r="E49" s="4" t="s">
        <v>47</v>
      </c>
      <c r="F49" s="4" t="s">
        <v>147</v>
      </c>
      <c r="G49" s="4" t="s">
        <v>148</v>
      </c>
      <c r="H49" s="4" t="s">
        <v>149</v>
      </c>
      <c r="I49" s="4" t="s">
        <v>150</v>
      </c>
      <c r="J49" s="4" t="s">
        <v>151</v>
      </c>
      <c r="K49" s="4" t="s">
        <v>39</v>
      </c>
      <c r="L49" s="4" t="s">
        <v>40</v>
      </c>
      <c r="M49" s="4" t="s">
        <v>24</v>
      </c>
    </row>
    <row r="50" spans="1:13" ht="60" customHeight="1" x14ac:dyDescent="0.45">
      <c r="A50" s="2">
        <v>48</v>
      </c>
      <c r="B50" s="3" t="s">
        <v>14</v>
      </c>
      <c r="C50" s="4" t="s">
        <v>137</v>
      </c>
      <c r="D50" s="4" t="s">
        <v>16</v>
      </c>
      <c r="E50" s="4" t="s">
        <v>137</v>
      </c>
      <c r="F50" s="4" t="s">
        <v>152</v>
      </c>
      <c r="G50" s="4" t="s">
        <v>153</v>
      </c>
      <c r="H50" s="4" t="s">
        <v>149</v>
      </c>
      <c r="I50" s="4" t="s">
        <v>150</v>
      </c>
      <c r="J50" s="4" t="s">
        <v>151</v>
      </c>
      <c r="K50" s="4" t="s">
        <v>39</v>
      </c>
      <c r="L50" s="4" t="s">
        <v>40</v>
      </c>
      <c r="M50" s="4" t="s">
        <v>24</v>
      </c>
    </row>
    <row r="51" spans="1:13" ht="60" customHeight="1" x14ac:dyDescent="0.45">
      <c r="A51" s="5">
        <v>49</v>
      </c>
      <c r="B51" s="6" t="s">
        <v>25</v>
      </c>
      <c r="C51" s="4" t="s">
        <v>47</v>
      </c>
      <c r="D51" s="4" t="s">
        <v>27</v>
      </c>
      <c r="E51" s="4" t="s">
        <v>47</v>
      </c>
      <c r="F51" s="4" t="s">
        <v>154</v>
      </c>
      <c r="G51" s="4" t="s">
        <v>155</v>
      </c>
      <c r="H51" s="4" t="s">
        <v>156</v>
      </c>
      <c r="I51" s="4" t="s">
        <v>157</v>
      </c>
      <c r="J51" s="4" t="s">
        <v>158</v>
      </c>
      <c r="K51" s="4" t="s">
        <v>85</v>
      </c>
      <c r="L51" s="4" t="s">
        <v>86</v>
      </c>
      <c r="M51" s="4" t="s">
        <v>24</v>
      </c>
    </row>
    <row r="52" spans="1:13" ht="60" customHeight="1" x14ac:dyDescent="0.45">
      <c r="A52" s="2">
        <v>50</v>
      </c>
      <c r="B52" s="3" t="s">
        <v>14</v>
      </c>
      <c r="C52" s="4" t="s">
        <v>137</v>
      </c>
      <c r="D52" s="4" t="s">
        <v>16</v>
      </c>
      <c r="E52" s="4" t="s">
        <v>137</v>
      </c>
      <c r="F52" s="4" t="s">
        <v>159</v>
      </c>
      <c r="G52" s="4" t="s">
        <v>160</v>
      </c>
      <c r="H52" s="4" t="s">
        <v>156</v>
      </c>
      <c r="I52" s="4" t="s">
        <v>157</v>
      </c>
      <c r="J52" s="4" t="s">
        <v>158</v>
      </c>
      <c r="K52" s="4" t="s">
        <v>85</v>
      </c>
      <c r="L52" s="4" t="s">
        <v>86</v>
      </c>
      <c r="M52" s="4" t="s">
        <v>24</v>
      </c>
    </row>
    <row r="53" spans="1:13" ht="60" customHeight="1" x14ac:dyDescent="0.45">
      <c r="A53" s="5">
        <v>51</v>
      </c>
      <c r="B53" s="6" t="s">
        <v>25</v>
      </c>
      <c r="C53" s="4" t="s">
        <v>62</v>
      </c>
      <c r="D53" s="4" t="s">
        <v>27</v>
      </c>
      <c r="E53" s="4" t="s">
        <v>62</v>
      </c>
      <c r="F53" s="4" t="s">
        <v>161</v>
      </c>
      <c r="G53" s="4" t="s">
        <v>162</v>
      </c>
      <c r="H53" s="4" t="s">
        <v>156</v>
      </c>
      <c r="I53" s="4" t="s">
        <v>157</v>
      </c>
      <c r="J53" s="4" t="s">
        <v>158</v>
      </c>
      <c r="K53" s="4" t="s">
        <v>85</v>
      </c>
      <c r="L53" s="4" t="s">
        <v>86</v>
      </c>
      <c r="M53" s="4" t="s">
        <v>24</v>
      </c>
    </row>
    <row r="54" spans="1:13" ht="60" customHeight="1" x14ac:dyDescent="0.45">
      <c r="A54" s="5">
        <v>52</v>
      </c>
      <c r="B54" s="6" t="s">
        <v>25</v>
      </c>
      <c r="C54" s="4" t="s">
        <v>41</v>
      </c>
      <c r="D54" s="4" t="s">
        <v>27</v>
      </c>
      <c r="E54" s="4" t="s">
        <v>41</v>
      </c>
      <c r="F54" s="4" t="s">
        <v>163</v>
      </c>
      <c r="G54" s="4" t="s">
        <v>164</v>
      </c>
      <c r="H54" s="4" t="s">
        <v>156</v>
      </c>
      <c r="I54" s="4" t="s">
        <v>157</v>
      </c>
      <c r="J54" s="4" t="s">
        <v>158</v>
      </c>
      <c r="K54" s="4" t="s">
        <v>85</v>
      </c>
      <c r="L54" s="4" t="s">
        <v>86</v>
      </c>
      <c r="M54" s="4" t="s">
        <v>24</v>
      </c>
    </row>
    <row r="55" spans="1:13" ht="60" customHeight="1" x14ac:dyDescent="0.45">
      <c r="A55" s="5">
        <v>53</v>
      </c>
      <c r="B55" s="6" t="s">
        <v>25</v>
      </c>
      <c r="C55" s="4" t="s">
        <v>47</v>
      </c>
      <c r="D55" s="4" t="s">
        <v>27</v>
      </c>
      <c r="E55" s="4" t="s">
        <v>47</v>
      </c>
      <c r="F55" s="4" t="s">
        <v>165</v>
      </c>
      <c r="G55" s="4" t="s">
        <v>166</v>
      </c>
      <c r="H55" s="4" t="s">
        <v>167</v>
      </c>
      <c r="I55" s="4" t="s">
        <v>168</v>
      </c>
      <c r="J55" s="4" t="s">
        <v>21</v>
      </c>
      <c r="K55" s="4" t="s">
        <v>169</v>
      </c>
      <c r="L55" s="4" t="s">
        <v>170</v>
      </c>
      <c r="M55" s="4" t="s">
        <v>24</v>
      </c>
    </row>
    <row r="56" spans="1:13" ht="60" customHeight="1" x14ac:dyDescent="0.45">
      <c r="A56" s="7">
        <v>54</v>
      </c>
      <c r="B56" s="8" t="s">
        <v>31</v>
      </c>
      <c r="C56" s="4" t="s">
        <v>79</v>
      </c>
      <c r="D56" s="4" t="s">
        <v>33</v>
      </c>
      <c r="E56" s="4" t="s">
        <v>79</v>
      </c>
      <c r="F56" s="4" t="s">
        <v>171</v>
      </c>
      <c r="G56" s="4" t="s">
        <v>172</v>
      </c>
      <c r="H56" s="4" t="s">
        <v>173</v>
      </c>
      <c r="I56" s="4" t="s">
        <v>174</v>
      </c>
      <c r="J56" s="4" t="s">
        <v>175</v>
      </c>
      <c r="K56" s="4" t="s">
        <v>176</v>
      </c>
      <c r="L56" s="4" t="s">
        <v>177</v>
      </c>
      <c r="M56" s="4" t="s">
        <v>24</v>
      </c>
    </row>
    <row r="57" spans="1:13" ht="60" customHeight="1" x14ac:dyDescent="0.45">
      <c r="A57" s="7">
        <v>55</v>
      </c>
      <c r="B57" s="8" t="s">
        <v>31</v>
      </c>
      <c r="C57" s="4" t="s">
        <v>32</v>
      </c>
      <c r="D57" s="4" t="s">
        <v>33</v>
      </c>
      <c r="E57" s="4" t="s">
        <v>32</v>
      </c>
      <c r="F57" s="4" t="s">
        <v>178</v>
      </c>
      <c r="G57" s="4" t="s">
        <v>179</v>
      </c>
      <c r="H57" s="4" t="s">
        <v>180</v>
      </c>
      <c r="I57" s="4" t="s">
        <v>181</v>
      </c>
      <c r="J57" s="4" t="s">
        <v>182</v>
      </c>
      <c r="K57" s="4" t="s">
        <v>85</v>
      </c>
      <c r="L57" s="4" t="s">
        <v>86</v>
      </c>
      <c r="M57" s="4" t="s">
        <v>24</v>
      </c>
    </row>
    <row r="58" spans="1:13" ht="60" customHeight="1" x14ac:dyDescent="0.45">
      <c r="A58" s="5">
        <v>56</v>
      </c>
      <c r="B58" s="6" t="s">
        <v>25</v>
      </c>
      <c r="C58" s="4" t="s">
        <v>44</v>
      </c>
      <c r="D58" s="4" t="s">
        <v>27</v>
      </c>
      <c r="E58" s="4" t="s">
        <v>44</v>
      </c>
      <c r="F58" s="4" t="s">
        <v>183</v>
      </c>
      <c r="G58" s="4" t="s">
        <v>184</v>
      </c>
      <c r="H58" s="4" t="s">
        <v>180</v>
      </c>
      <c r="I58" s="4" t="s">
        <v>181</v>
      </c>
      <c r="J58" s="4" t="s">
        <v>182</v>
      </c>
      <c r="K58" s="4" t="s">
        <v>85</v>
      </c>
      <c r="L58" s="4" t="s">
        <v>86</v>
      </c>
      <c r="M58" s="4" t="s">
        <v>24</v>
      </c>
    </row>
    <row r="59" spans="1:13" ht="60" customHeight="1" x14ac:dyDescent="0.45">
      <c r="A59" s="5">
        <v>57</v>
      </c>
      <c r="B59" s="6" t="s">
        <v>25</v>
      </c>
      <c r="C59" s="4" t="s">
        <v>41</v>
      </c>
      <c r="D59" s="4" t="s">
        <v>27</v>
      </c>
      <c r="E59" s="4" t="s">
        <v>41</v>
      </c>
      <c r="F59" s="4" t="s">
        <v>185</v>
      </c>
      <c r="G59" s="4" t="s">
        <v>186</v>
      </c>
      <c r="H59" s="4" t="s">
        <v>180</v>
      </c>
      <c r="I59" s="4" t="s">
        <v>181</v>
      </c>
      <c r="J59" s="4" t="s">
        <v>182</v>
      </c>
      <c r="K59" s="4" t="s">
        <v>85</v>
      </c>
      <c r="L59" s="4" t="s">
        <v>86</v>
      </c>
      <c r="M59" s="4" t="s">
        <v>24</v>
      </c>
    </row>
    <row r="60" spans="1:13" ht="60" customHeight="1" x14ac:dyDescent="0.45">
      <c r="A60" s="2">
        <v>58</v>
      </c>
      <c r="B60" s="3" t="s">
        <v>14</v>
      </c>
      <c r="C60" s="4" t="s">
        <v>29</v>
      </c>
      <c r="D60" s="4" t="s">
        <v>16</v>
      </c>
      <c r="E60" s="4" t="s">
        <v>29</v>
      </c>
      <c r="F60" s="4" t="s">
        <v>187</v>
      </c>
      <c r="G60" s="4" t="s">
        <v>188</v>
      </c>
      <c r="H60" s="4" t="s">
        <v>189</v>
      </c>
      <c r="I60" s="4" t="s">
        <v>190</v>
      </c>
      <c r="J60" s="4" t="s">
        <v>21</v>
      </c>
      <c r="K60" s="4" t="s">
        <v>57</v>
      </c>
      <c r="L60" s="4" t="s">
        <v>40</v>
      </c>
      <c r="M60" s="4" t="s">
        <v>24</v>
      </c>
    </row>
    <row r="61" spans="1:13" ht="60" customHeight="1" x14ac:dyDescent="0.45">
      <c r="A61" s="5">
        <v>59</v>
      </c>
      <c r="B61" s="6" t="s">
        <v>25</v>
      </c>
      <c r="C61" s="4" t="s">
        <v>41</v>
      </c>
      <c r="D61" s="4" t="s">
        <v>27</v>
      </c>
      <c r="E61" s="4" t="s">
        <v>41</v>
      </c>
      <c r="F61" s="4" t="s">
        <v>191</v>
      </c>
      <c r="G61" s="4" t="s">
        <v>192</v>
      </c>
      <c r="H61" s="4" t="s">
        <v>189</v>
      </c>
      <c r="I61" s="4" t="s">
        <v>190</v>
      </c>
      <c r="J61" s="4" t="s">
        <v>21</v>
      </c>
      <c r="K61" s="4" t="s">
        <v>57</v>
      </c>
      <c r="L61" s="4" t="s">
        <v>40</v>
      </c>
      <c r="M61" s="4" t="s">
        <v>24</v>
      </c>
    </row>
    <row r="62" spans="1:13" ht="60" customHeight="1" x14ac:dyDescent="0.45">
      <c r="A62" s="5">
        <v>60</v>
      </c>
      <c r="B62" s="6" t="s">
        <v>25</v>
      </c>
      <c r="C62" s="4" t="s">
        <v>47</v>
      </c>
      <c r="D62" s="4" t="s">
        <v>27</v>
      </c>
      <c r="E62" s="4" t="s">
        <v>47</v>
      </c>
      <c r="F62" s="4" t="s">
        <v>191</v>
      </c>
      <c r="G62" s="4" t="s">
        <v>193</v>
      </c>
      <c r="H62" s="4" t="s">
        <v>189</v>
      </c>
      <c r="I62" s="4" t="s">
        <v>190</v>
      </c>
      <c r="J62" s="4" t="s">
        <v>21</v>
      </c>
      <c r="K62" s="4" t="s">
        <v>57</v>
      </c>
      <c r="L62" s="4" t="s">
        <v>40</v>
      </c>
      <c r="M62" s="4" t="s">
        <v>24</v>
      </c>
    </row>
    <row r="63" spans="1:13" ht="60" customHeight="1" x14ac:dyDescent="0.45">
      <c r="A63" s="5">
        <v>61</v>
      </c>
      <c r="B63" s="6" t="s">
        <v>25</v>
      </c>
      <c r="C63" s="4" t="s">
        <v>47</v>
      </c>
      <c r="D63" s="4" t="s">
        <v>27</v>
      </c>
      <c r="E63" s="4" t="s">
        <v>47</v>
      </c>
      <c r="F63" s="4" t="s">
        <v>194</v>
      </c>
      <c r="G63" s="4" t="s">
        <v>195</v>
      </c>
      <c r="H63" s="4" t="s">
        <v>196</v>
      </c>
      <c r="I63" s="4" t="s">
        <v>197</v>
      </c>
      <c r="J63" s="4" t="s">
        <v>198</v>
      </c>
      <c r="K63" s="4" t="s">
        <v>199</v>
      </c>
      <c r="L63" s="4" t="s">
        <v>200</v>
      </c>
      <c r="M63" s="4" t="s">
        <v>24</v>
      </c>
    </row>
    <row r="64" spans="1:13" ht="60" customHeight="1" x14ac:dyDescent="0.45">
      <c r="A64" s="2">
        <v>62</v>
      </c>
      <c r="B64" s="3" t="s">
        <v>14</v>
      </c>
      <c r="C64" s="4" t="s">
        <v>29</v>
      </c>
      <c r="D64" s="4" t="s">
        <v>16</v>
      </c>
      <c r="E64" s="4" t="s">
        <v>29</v>
      </c>
      <c r="F64" s="4" t="s">
        <v>201</v>
      </c>
      <c r="G64" s="4" t="s">
        <v>202</v>
      </c>
      <c r="H64" s="4" t="s">
        <v>196</v>
      </c>
      <c r="I64" s="4" t="s">
        <v>197</v>
      </c>
      <c r="J64" s="4" t="s">
        <v>198</v>
      </c>
      <c r="K64" s="4" t="s">
        <v>199</v>
      </c>
      <c r="L64" s="4" t="s">
        <v>200</v>
      </c>
      <c r="M64" s="4" t="s">
        <v>24</v>
      </c>
    </row>
    <row r="65" spans="1:13" ht="60" customHeight="1" x14ac:dyDescent="0.45">
      <c r="A65" s="5">
        <v>63</v>
      </c>
      <c r="B65" s="6" t="s">
        <v>25</v>
      </c>
      <c r="C65" s="4" t="s">
        <v>62</v>
      </c>
      <c r="D65" s="4" t="s">
        <v>27</v>
      </c>
      <c r="E65" s="4" t="s">
        <v>62</v>
      </c>
      <c r="F65" s="4" t="s">
        <v>203</v>
      </c>
      <c r="G65" s="4" t="s">
        <v>204</v>
      </c>
      <c r="H65" s="4" t="s">
        <v>196</v>
      </c>
      <c r="I65" s="4" t="s">
        <v>197</v>
      </c>
      <c r="J65" s="4" t="s">
        <v>198</v>
      </c>
      <c r="K65" s="4" t="s">
        <v>199</v>
      </c>
      <c r="L65" s="4" t="s">
        <v>200</v>
      </c>
      <c r="M65" s="4" t="s">
        <v>24</v>
      </c>
    </row>
    <row r="66" spans="1:13" ht="60" customHeight="1" x14ac:dyDescent="0.45">
      <c r="A66" s="7">
        <v>64</v>
      </c>
      <c r="B66" s="8" t="s">
        <v>31</v>
      </c>
      <c r="C66" s="4" t="s">
        <v>32</v>
      </c>
      <c r="D66" s="4" t="s">
        <v>33</v>
      </c>
      <c r="E66" s="4" t="s">
        <v>32</v>
      </c>
      <c r="F66" s="4" t="s">
        <v>205</v>
      </c>
      <c r="G66" s="4" t="s">
        <v>206</v>
      </c>
      <c r="H66" s="4" t="s">
        <v>196</v>
      </c>
      <c r="I66" s="4" t="s">
        <v>197</v>
      </c>
      <c r="J66" s="4" t="s">
        <v>198</v>
      </c>
      <c r="K66" s="4" t="s">
        <v>199</v>
      </c>
      <c r="L66" s="4" t="s">
        <v>200</v>
      </c>
      <c r="M66" s="4" t="s">
        <v>24</v>
      </c>
    </row>
    <row r="67" spans="1:13" ht="60" customHeight="1" x14ac:dyDescent="0.45">
      <c r="A67" s="2">
        <v>65</v>
      </c>
      <c r="B67" s="3" t="s">
        <v>14</v>
      </c>
      <c r="C67" s="4" t="s">
        <v>29</v>
      </c>
      <c r="D67" s="4" t="s">
        <v>16</v>
      </c>
      <c r="E67" s="4" t="s">
        <v>29</v>
      </c>
      <c r="F67" s="4" t="s">
        <v>207</v>
      </c>
      <c r="G67" s="4" t="s">
        <v>208</v>
      </c>
      <c r="H67" s="4" t="s">
        <v>209</v>
      </c>
      <c r="I67" s="4" t="s">
        <v>210</v>
      </c>
      <c r="J67" s="4" t="s">
        <v>21</v>
      </c>
      <c r="K67" s="4" t="s">
        <v>211</v>
      </c>
      <c r="L67" s="4" t="s">
        <v>86</v>
      </c>
      <c r="M67" s="4" t="s">
        <v>24</v>
      </c>
    </row>
    <row r="68" spans="1:13" ht="60" customHeight="1" x14ac:dyDescent="0.45">
      <c r="A68" s="5">
        <v>66</v>
      </c>
      <c r="B68" s="6" t="s">
        <v>25</v>
      </c>
      <c r="C68" s="4" t="s">
        <v>47</v>
      </c>
      <c r="D68" s="4" t="s">
        <v>27</v>
      </c>
      <c r="E68" s="4" t="s">
        <v>47</v>
      </c>
      <c r="F68" s="4" t="s">
        <v>212</v>
      </c>
      <c r="G68" s="4" t="s">
        <v>213</v>
      </c>
      <c r="H68" s="4" t="s">
        <v>209</v>
      </c>
      <c r="I68" s="4" t="s">
        <v>210</v>
      </c>
      <c r="J68" s="4" t="s">
        <v>21</v>
      </c>
      <c r="K68" s="4" t="s">
        <v>211</v>
      </c>
      <c r="L68" s="4" t="s">
        <v>86</v>
      </c>
      <c r="M68" s="4" t="s">
        <v>24</v>
      </c>
    </row>
    <row r="69" spans="1:13" ht="60" customHeight="1" x14ac:dyDescent="0.45">
      <c r="A69" s="5">
        <v>67</v>
      </c>
      <c r="B69" s="6" t="s">
        <v>25</v>
      </c>
      <c r="C69" s="4" t="s">
        <v>41</v>
      </c>
      <c r="D69" s="4" t="s">
        <v>27</v>
      </c>
      <c r="E69" s="4" t="s">
        <v>41</v>
      </c>
      <c r="F69" s="4" t="s">
        <v>214</v>
      </c>
      <c r="G69" s="4" t="s">
        <v>215</v>
      </c>
      <c r="H69" s="4" t="s">
        <v>209</v>
      </c>
      <c r="I69" s="4" t="s">
        <v>210</v>
      </c>
      <c r="J69" s="4" t="s">
        <v>21</v>
      </c>
      <c r="K69" s="4" t="s">
        <v>211</v>
      </c>
      <c r="L69" s="4" t="s">
        <v>86</v>
      </c>
      <c r="M69" s="4" t="s">
        <v>24</v>
      </c>
    </row>
    <row r="70" spans="1:13" ht="60" customHeight="1" x14ac:dyDescent="0.45">
      <c r="A70" s="7">
        <v>68</v>
      </c>
      <c r="B70" s="8" t="s">
        <v>31</v>
      </c>
      <c r="C70" s="4" t="s">
        <v>32</v>
      </c>
      <c r="D70" s="4" t="s">
        <v>33</v>
      </c>
      <c r="E70" s="4" t="s">
        <v>32</v>
      </c>
      <c r="F70" s="4" t="s">
        <v>216</v>
      </c>
      <c r="G70" s="4" t="s">
        <v>217</v>
      </c>
      <c r="H70" s="4" t="s">
        <v>209</v>
      </c>
      <c r="I70" s="4" t="s">
        <v>210</v>
      </c>
      <c r="J70" s="4" t="s">
        <v>21</v>
      </c>
      <c r="K70" s="4" t="s">
        <v>211</v>
      </c>
      <c r="L70" s="4" t="s">
        <v>86</v>
      </c>
      <c r="M70" s="4" t="s">
        <v>24</v>
      </c>
    </row>
    <row r="71" spans="1:13" ht="60" customHeight="1" x14ac:dyDescent="0.45">
      <c r="A71" s="7">
        <v>69</v>
      </c>
      <c r="B71" s="8" t="s">
        <v>31</v>
      </c>
      <c r="C71" s="4" t="s">
        <v>109</v>
      </c>
      <c r="D71" s="4" t="s">
        <v>33</v>
      </c>
      <c r="E71" s="4" t="s">
        <v>109</v>
      </c>
      <c r="F71" s="4" t="s">
        <v>218</v>
      </c>
      <c r="G71" s="4" t="s">
        <v>219</v>
      </c>
      <c r="H71" s="4" t="s">
        <v>220</v>
      </c>
      <c r="I71" s="4" t="s">
        <v>221</v>
      </c>
      <c r="J71" s="4" t="s">
        <v>222</v>
      </c>
      <c r="K71" s="4" t="s">
        <v>127</v>
      </c>
      <c r="L71" s="4" t="s">
        <v>23</v>
      </c>
      <c r="M71" s="4" t="s">
        <v>87</v>
      </c>
    </row>
    <row r="72" spans="1:13" ht="60" customHeight="1" x14ac:dyDescent="0.45">
      <c r="A72" s="5">
        <v>70</v>
      </c>
      <c r="B72" s="6" t="s">
        <v>25</v>
      </c>
      <c r="C72" s="4" t="s">
        <v>44</v>
      </c>
      <c r="D72" s="4" t="s">
        <v>27</v>
      </c>
      <c r="E72" s="4" t="s">
        <v>44</v>
      </c>
      <c r="F72" s="4" t="s">
        <v>223</v>
      </c>
      <c r="G72" s="4" t="s">
        <v>224</v>
      </c>
      <c r="H72" s="4" t="s">
        <v>220</v>
      </c>
      <c r="I72" s="4" t="s">
        <v>221</v>
      </c>
      <c r="J72" s="4" t="s">
        <v>222</v>
      </c>
      <c r="K72" s="4" t="s">
        <v>127</v>
      </c>
      <c r="L72" s="4" t="s">
        <v>23</v>
      </c>
      <c r="M72" s="4" t="s">
        <v>87</v>
      </c>
    </row>
    <row r="73" spans="1:13" ht="60" customHeight="1" x14ac:dyDescent="0.45">
      <c r="A73" s="7">
        <v>71</v>
      </c>
      <c r="B73" s="8" t="s">
        <v>31</v>
      </c>
      <c r="C73" s="4" t="s">
        <v>32</v>
      </c>
      <c r="D73" s="4" t="s">
        <v>33</v>
      </c>
      <c r="E73" s="4" t="s">
        <v>32</v>
      </c>
      <c r="F73" s="4" t="s">
        <v>225</v>
      </c>
      <c r="G73" s="4" t="s">
        <v>226</v>
      </c>
      <c r="H73" s="4" t="s">
        <v>220</v>
      </c>
      <c r="I73" s="4" t="s">
        <v>221</v>
      </c>
      <c r="J73" s="4" t="s">
        <v>222</v>
      </c>
      <c r="K73" s="4" t="s">
        <v>127</v>
      </c>
      <c r="L73" s="4" t="s">
        <v>23</v>
      </c>
      <c r="M73" s="4" t="s">
        <v>87</v>
      </c>
    </row>
    <row r="74" spans="1:13" ht="60" customHeight="1" x14ac:dyDescent="0.45">
      <c r="A74" s="7">
        <v>72</v>
      </c>
      <c r="B74" s="8" t="s">
        <v>31</v>
      </c>
      <c r="C74" s="4" t="s">
        <v>79</v>
      </c>
      <c r="D74" s="4" t="s">
        <v>33</v>
      </c>
      <c r="E74" s="4" t="s">
        <v>79</v>
      </c>
      <c r="F74" s="4" t="s">
        <v>227</v>
      </c>
      <c r="G74" s="4" t="s">
        <v>228</v>
      </c>
      <c r="H74" s="4" t="s">
        <v>220</v>
      </c>
      <c r="I74" s="4" t="s">
        <v>221</v>
      </c>
      <c r="J74" s="4" t="s">
        <v>222</v>
      </c>
      <c r="K74" s="4" t="s">
        <v>127</v>
      </c>
      <c r="L74" s="4" t="s">
        <v>23</v>
      </c>
      <c r="M74" s="4" t="s">
        <v>87</v>
      </c>
    </row>
    <row r="75" spans="1:13" ht="60" customHeight="1" x14ac:dyDescent="0.45">
      <c r="A75" s="7">
        <v>73</v>
      </c>
      <c r="B75" s="8" t="s">
        <v>31</v>
      </c>
      <c r="C75" s="4" t="s">
        <v>32</v>
      </c>
      <c r="D75" s="4" t="s">
        <v>33</v>
      </c>
      <c r="E75" s="4" t="s">
        <v>32</v>
      </c>
      <c r="F75" s="4" t="s">
        <v>229</v>
      </c>
      <c r="G75" s="4" t="s">
        <v>230</v>
      </c>
      <c r="H75" s="4" t="s">
        <v>231</v>
      </c>
      <c r="I75" s="4" t="s">
        <v>232</v>
      </c>
      <c r="J75" s="4" t="s">
        <v>233</v>
      </c>
      <c r="K75" s="4" t="s">
        <v>127</v>
      </c>
      <c r="L75" s="4" t="s">
        <v>23</v>
      </c>
      <c r="M75" s="4" t="s">
        <v>87</v>
      </c>
    </row>
    <row r="76" spans="1:13" ht="60" customHeight="1" x14ac:dyDescent="0.45">
      <c r="A76" s="7">
        <v>74</v>
      </c>
      <c r="B76" s="8" t="s">
        <v>31</v>
      </c>
      <c r="C76" s="4" t="s">
        <v>109</v>
      </c>
      <c r="D76" s="4" t="s">
        <v>33</v>
      </c>
      <c r="E76" s="4" t="s">
        <v>109</v>
      </c>
      <c r="F76" s="4" t="s">
        <v>234</v>
      </c>
      <c r="G76" s="4" t="s">
        <v>235</v>
      </c>
      <c r="H76" s="4" t="s">
        <v>231</v>
      </c>
      <c r="I76" s="4" t="s">
        <v>232</v>
      </c>
      <c r="J76" s="4" t="s">
        <v>233</v>
      </c>
      <c r="K76" s="4" t="s">
        <v>127</v>
      </c>
      <c r="L76" s="4" t="s">
        <v>23</v>
      </c>
      <c r="M76" s="4" t="s">
        <v>87</v>
      </c>
    </row>
    <row r="77" spans="1:13" ht="60" customHeight="1" x14ac:dyDescent="0.45">
      <c r="A77" s="5">
        <v>75</v>
      </c>
      <c r="B77" s="6" t="s">
        <v>25</v>
      </c>
      <c r="C77" s="4" t="s">
        <v>26</v>
      </c>
      <c r="D77" s="4" t="s">
        <v>27</v>
      </c>
      <c r="E77" s="4" t="s">
        <v>26</v>
      </c>
      <c r="F77" s="4" t="s">
        <v>234</v>
      </c>
      <c r="G77" s="4" t="s">
        <v>236</v>
      </c>
      <c r="H77" s="4" t="s">
        <v>231</v>
      </c>
      <c r="I77" s="4" t="s">
        <v>232</v>
      </c>
      <c r="J77" s="4" t="s">
        <v>233</v>
      </c>
      <c r="K77" s="4" t="s">
        <v>127</v>
      </c>
      <c r="L77" s="4" t="s">
        <v>23</v>
      </c>
      <c r="M77" s="4" t="s">
        <v>87</v>
      </c>
    </row>
    <row r="78" spans="1:13" ht="60" customHeight="1" x14ac:dyDescent="0.45">
      <c r="A78" s="5">
        <v>76</v>
      </c>
      <c r="B78" s="6" t="s">
        <v>25</v>
      </c>
      <c r="C78" s="4" t="s">
        <v>44</v>
      </c>
      <c r="D78" s="4" t="s">
        <v>27</v>
      </c>
      <c r="E78" s="4" t="s">
        <v>44</v>
      </c>
      <c r="F78" s="4" t="s">
        <v>237</v>
      </c>
      <c r="G78" s="4" t="s">
        <v>238</v>
      </c>
      <c r="H78" s="4" t="s">
        <v>231</v>
      </c>
      <c r="I78" s="4" t="s">
        <v>232</v>
      </c>
      <c r="J78" s="4" t="s">
        <v>233</v>
      </c>
      <c r="K78" s="4" t="s">
        <v>127</v>
      </c>
      <c r="L78" s="4" t="s">
        <v>23</v>
      </c>
      <c r="M78" s="4" t="s">
        <v>87</v>
      </c>
    </row>
    <row r="79" spans="1:13" ht="60" customHeight="1" x14ac:dyDescent="0.45">
      <c r="A79" s="5">
        <v>77</v>
      </c>
      <c r="B79" s="6" t="s">
        <v>25</v>
      </c>
      <c r="C79" s="4" t="s">
        <v>47</v>
      </c>
      <c r="D79" s="4" t="s">
        <v>27</v>
      </c>
      <c r="E79" s="4" t="s">
        <v>47</v>
      </c>
      <c r="F79" s="4" t="s">
        <v>239</v>
      </c>
      <c r="G79" s="4" t="s">
        <v>240</v>
      </c>
      <c r="H79" s="4" t="s">
        <v>231</v>
      </c>
      <c r="I79" s="4" t="s">
        <v>232</v>
      </c>
      <c r="J79" s="4" t="s">
        <v>233</v>
      </c>
      <c r="K79" s="4" t="s">
        <v>127</v>
      </c>
      <c r="L79" s="4" t="s">
        <v>23</v>
      </c>
      <c r="M79" s="4" t="s">
        <v>87</v>
      </c>
    </row>
    <row r="80" spans="1:13" ht="60" customHeight="1" x14ac:dyDescent="0.45">
      <c r="A80" s="5">
        <v>78</v>
      </c>
      <c r="B80" s="6" t="s">
        <v>25</v>
      </c>
      <c r="C80" s="4" t="s">
        <v>41</v>
      </c>
      <c r="D80" s="4" t="s">
        <v>27</v>
      </c>
      <c r="E80" s="4" t="s">
        <v>41</v>
      </c>
      <c r="F80" s="4" t="s">
        <v>241</v>
      </c>
      <c r="G80" s="4" t="s">
        <v>242</v>
      </c>
      <c r="H80" s="4" t="s">
        <v>231</v>
      </c>
      <c r="I80" s="4" t="s">
        <v>232</v>
      </c>
      <c r="J80" s="4" t="s">
        <v>233</v>
      </c>
      <c r="K80" s="4" t="s">
        <v>127</v>
      </c>
      <c r="L80" s="4" t="s">
        <v>23</v>
      </c>
      <c r="M80" s="4" t="s">
        <v>87</v>
      </c>
    </row>
    <row r="81" spans="1:13" ht="60" customHeight="1" x14ac:dyDescent="0.45">
      <c r="A81" s="7">
        <v>79</v>
      </c>
      <c r="B81" s="8" t="s">
        <v>31</v>
      </c>
      <c r="C81" s="4" t="s">
        <v>79</v>
      </c>
      <c r="D81" s="4" t="s">
        <v>33</v>
      </c>
      <c r="E81" s="4" t="s">
        <v>79</v>
      </c>
      <c r="F81" s="4" t="s">
        <v>243</v>
      </c>
      <c r="G81" s="4" t="s">
        <v>244</v>
      </c>
      <c r="H81" s="4" t="s">
        <v>231</v>
      </c>
      <c r="I81" s="4" t="s">
        <v>232</v>
      </c>
      <c r="J81" s="4" t="s">
        <v>233</v>
      </c>
      <c r="K81" s="4" t="s">
        <v>127</v>
      </c>
      <c r="L81" s="4" t="s">
        <v>23</v>
      </c>
      <c r="M81" s="4" t="s">
        <v>87</v>
      </c>
    </row>
    <row r="82" spans="1:13" ht="60" customHeight="1" x14ac:dyDescent="0.45">
      <c r="A82" s="2">
        <v>80</v>
      </c>
      <c r="B82" s="3" t="s">
        <v>14</v>
      </c>
      <c r="C82" s="4" t="s">
        <v>29</v>
      </c>
      <c r="D82" s="4" t="s">
        <v>16</v>
      </c>
      <c r="E82" s="4" t="s">
        <v>29</v>
      </c>
      <c r="F82" s="4" t="s">
        <v>245</v>
      </c>
      <c r="G82" s="4" t="s">
        <v>246</v>
      </c>
      <c r="H82" s="4" t="s">
        <v>247</v>
      </c>
      <c r="I82" s="4" t="s">
        <v>248</v>
      </c>
      <c r="J82" s="4" t="s">
        <v>21</v>
      </c>
      <c r="K82" s="4" t="s">
        <v>85</v>
      </c>
      <c r="L82" s="4" t="s">
        <v>86</v>
      </c>
      <c r="M82" s="4" t="s">
        <v>24</v>
      </c>
    </row>
    <row r="83" spans="1:13" ht="60" customHeight="1" x14ac:dyDescent="0.45">
      <c r="A83" s="5">
        <v>81</v>
      </c>
      <c r="B83" s="6" t="s">
        <v>25</v>
      </c>
      <c r="C83" s="4" t="s">
        <v>47</v>
      </c>
      <c r="D83" s="4" t="s">
        <v>27</v>
      </c>
      <c r="E83" s="4" t="s">
        <v>47</v>
      </c>
      <c r="F83" s="4" t="s">
        <v>249</v>
      </c>
      <c r="G83" s="4" t="s">
        <v>250</v>
      </c>
      <c r="H83" s="4" t="s">
        <v>247</v>
      </c>
      <c r="I83" s="4" t="s">
        <v>248</v>
      </c>
      <c r="J83" s="4" t="s">
        <v>21</v>
      </c>
      <c r="K83" s="4" t="s">
        <v>85</v>
      </c>
      <c r="L83" s="4" t="s">
        <v>86</v>
      </c>
      <c r="M83" s="4" t="s">
        <v>24</v>
      </c>
    </row>
    <row r="84" spans="1:13" ht="60" customHeight="1" x14ac:dyDescent="0.45">
      <c r="A84" s="5">
        <v>82</v>
      </c>
      <c r="B84" s="6" t="s">
        <v>25</v>
      </c>
      <c r="C84" s="4" t="s">
        <v>41</v>
      </c>
      <c r="D84" s="4" t="s">
        <v>27</v>
      </c>
      <c r="E84" s="4" t="s">
        <v>41</v>
      </c>
      <c r="F84" s="4" t="s">
        <v>251</v>
      </c>
      <c r="G84" s="4" t="s">
        <v>252</v>
      </c>
      <c r="H84" s="4" t="s">
        <v>247</v>
      </c>
      <c r="I84" s="4" t="s">
        <v>248</v>
      </c>
      <c r="J84" s="4" t="s">
        <v>21</v>
      </c>
      <c r="K84" s="4" t="s">
        <v>85</v>
      </c>
      <c r="L84" s="4" t="s">
        <v>86</v>
      </c>
      <c r="M84" s="4" t="s">
        <v>24</v>
      </c>
    </row>
    <row r="85" spans="1:13" ht="60" customHeight="1" x14ac:dyDescent="0.45">
      <c r="A85" s="5">
        <v>83</v>
      </c>
      <c r="B85" s="6" t="s">
        <v>25</v>
      </c>
      <c r="C85" s="4" t="s">
        <v>62</v>
      </c>
      <c r="D85" s="4" t="s">
        <v>27</v>
      </c>
      <c r="E85" s="4" t="s">
        <v>62</v>
      </c>
      <c r="F85" s="4" t="s">
        <v>253</v>
      </c>
      <c r="G85" s="4" t="s">
        <v>254</v>
      </c>
      <c r="H85" s="4" t="s">
        <v>247</v>
      </c>
      <c r="I85" s="4" t="s">
        <v>248</v>
      </c>
      <c r="J85" s="4" t="s">
        <v>21</v>
      </c>
      <c r="K85" s="4" t="s">
        <v>85</v>
      </c>
      <c r="L85" s="4" t="s">
        <v>86</v>
      </c>
      <c r="M85" s="4" t="s">
        <v>24</v>
      </c>
    </row>
    <row r="86" spans="1:13" ht="60" customHeight="1" x14ac:dyDescent="0.45">
      <c r="A86" s="5">
        <v>84</v>
      </c>
      <c r="B86" s="6" t="s">
        <v>25</v>
      </c>
      <c r="C86" s="4" t="s">
        <v>44</v>
      </c>
      <c r="D86" s="4" t="s">
        <v>27</v>
      </c>
      <c r="E86" s="4" t="s">
        <v>44</v>
      </c>
      <c r="F86" s="4" t="s">
        <v>255</v>
      </c>
      <c r="G86" s="4" t="s">
        <v>256</v>
      </c>
      <c r="H86" s="4" t="s">
        <v>247</v>
      </c>
      <c r="I86" s="4" t="s">
        <v>248</v>
      </c>
      <c r="J86" s="4" t="s">
        <v>21</v>
      </c>
      <c r="K86" s="4" t="s">
        <v>85</v>
      </c>
      <c r="L86" s="4" t="s">
        <v>86</v>
      </c>
      <c r="M86" s="4" t="s">
        <v>24</v>
      </c>
    </row>
    <row r="87" spans="1:13" ht="60" customHeight="1" x14ac:dyDescent="0.45">
      <c r="A87" s="5">
        <v>85</v>
      </c>
      <c r="B87" s="6" t="s">
        <v>25</v>
      </c>
      <c r="C87" s="4" t="s">
        <v>47</v>
      </c>
      <c r="D87" s="4" t="s">
        <v>27</v>
      </c>
      <c r="E87" s="4" t="s">
        <v>47</v>
      </c>
      <c r="F87" s="4" t="s">
        <v>257</v>
      </c>
      <c r="G87" s="4" t="s">
        <v>258</v>
      </c>
      <c r="H87" s="4" t="s">
        <v>259</v>
      </c>
      <c r="I87" s="4" t="s">
        <v>260</v>
      </c>
      <c r="J87" s="4" t="s">
        <v>261</v>
      </c>
      <c r="K87" s="4" t="s">
        <v>127</v>
      </c>
      <c r="L87" s="4" t="s">
        <v>23</v>
      </c>
      <c r="M87" s="4" t="s">
        <v>24</v>
      </c>
    </row>
    <row r="88" spans="1:13" ht="60" customHeight="1" x14ac:dyDescent="0.45">
      <c r="A88" s="5">
        <v>86</v>
      </c>
      <c r="B88" s="6" t="s">
        <v>25</v>
      </c>
      <c r="C88" s="4" t="s">
        <v>44</v>
      </c>
      <c r="D88" s="4" t="s">
        <v>27</v>
      </c>
      <c r="E88" s="4" t="s">
        <v>44</v>
      </c>
      <c r="F88" s="4" t="s">
        <v>262</v>
      </c>
      <c r="G88" s="4" t="s">
        <v>263</v>
      </c>
      <c r="H88" s="4" t="s">
        <v>259</v>
      </c>
      <c r="I88" s="4" t="s">
        <v>260</v>
      </c>
      <c r="J88" s="4" t="s">
        <v>261</v>
      </c>
      <c r="K88" s="4" t="s">
        <v>127</v>
      </c>
      <c r="L88" s="4" t="s">
        <v>23</v>
      </c>
      <c r="M88" s="4" t="s">
        <v>24</v>
      </c>
    </row>
    <row r="89" spans="1:13" ht="60" customHeight="1" x14ac:dyDescent="0.45">
      <c r="A89" s="2">
        <v>87</v>
      </c>
      <c r="B89" s="3" t="s">
        <v>14</v>
      </c>
      <c r="C89" s="4" t="s">
        <v>15</v>
      </c>
      <c r="D89" s="4" t="s">
        <v>16</v>
      </c>
      <c r="E89" s="4" t="s">
        <v>15</v>
      </c>
      <c r="F89" s="4" t="s">
        <v>264</v>
      </c>
      <c r="G89" s="4" t="s">
        <v>265</v>
      </c>
      <c r="H89" s="4" t="s">
        <v>259</v>
      </c>
      <c r="I89" s="4" t="s">
        <v>260</v>
      </c>
      <c r="J89" s="4" t="s">
        <v>261</v>
      </c>
      <c r="K89" s="4" t="s">
        <v>127</v>
      </c>
      <c r="L89" s="4" t="s">
        <v>23</v>
      </c>
      <c r="M89" s="4" t="s">
        <v>24</v>
      </c>
    </row>
    <row r="90" spans="1:13" ht="60" customHeight="1" x14ac:dyDescent="0.45">
      <c r="A90" s="7">
        <v>88</v>
      </c>
      <c r="B90" s="8" t="s">
        <v>31</v>
      </c>
      <c r="C90" s="4" t="s">
        <v>32</v>
      </c>
      <c r="D90" s="4" t="s">
        <v>33</v>
      </c>
      <c r="E90" s="4" t="s">
        <v>32</v>
      </c>
      <c r="F90" s="4" t="s">
        <v>266</v>
      </c>
      <c r="G90" s="4" t="s">
        <v>267</v>
      </c>
      <c r="H90" s="4" t="s">
        <v>259</v>
      </c>
      <c r="I90" s="4" t="s">
        <v>260</v>
      </c>
      <c r="J90" s="4" t="s">
        <v>261</v>
      </c>
      <c r="K90" s="4" t="s">
        <v>127</v>
      </c>
      <c r="L90" s="4" t="s">
        <v>23</v>
      </c>
      <c r="M90" s="4" t="s">
        <v>24</v>
      </c>
    </row>
    <row r="91" spans="1:13" ht="60" customHeight="1" x14ac:dyDescent="0.45">
      <c r="A91" s="7">
        <v>89</v>
      </c>
      <c r="B91" s="8" t="s">
        <v>31</v>
      </c>
      <c r="C91" s="4" t="s">
        <v>32</v>
      </c>
      <c r="D91" s="4" t="s">
        <v>33</v>
      </c>
      <c r="E91" s="4" t="s">
        <v>32</v>
      </c>
      <c r="F91" s="4" t="s">
        <v>268</v>
      </c>
      <c r="G91" s="4" t="s">
        <v>269</v>
      </c>
      <c r="H91" s="4" t="s">
        <v>259</v>
      </c>
      <c r="I91" s="4" t="s">
        <v>260</v>
      </c>
      <c r="J91" s="4" t="s">
        <v>261</v>
      </c>
      <c r="K91" s="4" t="s">
        <v>127</v>
      </c>
      <c r="L91" s="4" t="s">
        <v>23</v>
      </c>
      <c r="M91" s="4" t="s">
        <v>24</v>
      </c>
    </row>
    <row r="92" spans="1:13" ht="60" customHeight="1" x14ac:dyDescent="0.45">
      <c r="A92" s="5">
        <v>90</v>
      </c>
      <c r="B92" s="6" t="s">
        <v>25</v>
      </c>
      <c r="C92" s="4" t="s">
        <v>47</v>
      </c>
      <c r="D92" s="4" t="s">
        <v>27</v>
      </c>
      <c r="E92" s="4" t="s">
        <v>47</v>
      </c>
      <c r="F92" s="4" t="s">
        <v>270</v>
      </c>
      <c r="G92" s="4" t="s">
        <v>271</v>
      </c>
      <c r="H92" s="4" t="s">
        <v>272</v>
      </c>
      <c r="I92" s="4" t="s">
        <v>273</v>
      </c>
      <c r="J92" s="4" t="s">
        <v>274</v>
      </c>
      <c r="K92" s="4" t="s">
        <v>57</v>
      </c>
      <c r="L92" s="4" t="s">
        <v>40</v>
      </c>
      <c r="M92" s="4" t="s">
        <v>24</v>
      </c>
    </row>
    <row r="93" spans="1:13" ht="60" customHeight="1" x14ac:dyDescent="0.45">
      <c r="A93" s="7">
        <v>91</v>
      </c>
      <c r="B93" s="8" t="s">
        <v>31</v>
      </c>
      <c r="C93" s="4" t="s">
        <v>32</v>
      </c>
      <c r="D93" s="4" t="s">
        <v>33</v>
      </c>
      <c r="E93" s="4" t="s">
        <v>32</v>
      </c>
      <c r="F93" s="4" t="s">
        <v>275</v>
      </c>
      <c r="G93" s="4" t="s">
        <v>276</v>
      </c>
      <c r="H93" s="4" t="s">
        <v>272</v>
      </c>
      <c r="I93" s="4" t="s">
        <v>273</v>
      </c>
      <c r="J93" s="4" t="s">
        <v>274</v>
      </c>
      <c r="K93" s="4" t="s">
        <v>57</v>
      </c>
      <c r="L93" s="4" t="s">
        <v>40</v>
      </c>
      <c r="M93" s="4" t="s">
        <v>24</v>
      </c>
    </row>
    <row r="94" spans="1:13" ht="60" customHeight="1" x14ac:dyDescent="0.45">
      <c r="A94" s="5">
        <v>92</v>
      </c>
      <c r="B94" s="6" t="s">
        <v>25</v>
      </c>
      <c r="C94" s="4" t="s">
        <v>62</v>
      </c>
      <c r="D94" s="4" t="s">
        <v>27</v>
      </c>
      <c r="E94" s="4" t="s">
        <v>62</v>
      </c>
      <c r="F94" s="4" t="s">
        <v>277</v>
      </c>
      <c r="G94" s="4" t="s">
        <v>278</v>
      </c>
      <c r="H94" s="4" t="s">
        <v>279</v>
      </c>
      <c r="I94" s="4" t="s">
        <v>280</v>
      </c>
      <c r="J94" s="4" t="s">
        <v>281</v>
      </c>
      <c r="K94" s="4" t="s">
        <v>282</v>
      </c>
      <c r="L94" s="4" t="s">
        <v>200</v>
      </c>
      <c r="M94" s="4" t="s">
        <v>87</v>
      </c>
    </row>
    <row r="95" spans="1:13" ht="60" customHeight="1" x14ac:dyDescent="0.45">
      <c r="A95" s="5">
        <v>93</v>
      </c>
      <c r="B95" s="6" t="s">
        <v>25</v>
      </c>
      <c r="C95" s="4" t="s">
        <v>47</v>
      </c>
      <c r="D95" s="4" t="s">
        <v>27</v>
      </c>
      <c r="E95" s="4" t="s">
        <v>47</v>
      </c>
      <c r="F95" s="4" t="s">
        <v>283</v>
      </c>
      <c r="G95" s="4" t="s">
        <v>284</v>
      </c>
      <c r="H95" s="4" t="s">
        <v>279</v>
      </c>
      <c r="I95" s="4" t="s">
        <v>280</v>
      </c>
      <c r="J95" s="4" t="s">
        <v>281</v>
      </c>
      <c r="K95" s="4" t="s">
        <v>282</v>
      </c>
      <c r="L95" s="4" t="s">
        <v>200</v>
      </c>
      <c r="M95" s="4" t="s">
        <v>87</v>
      </c>
    </row>
    <row r="96" spans="1:13" ht="60" customHeight="1" x14ac:dyDescent="0.45">
      <c r="A96" s="7">
        <v>94</v>
      </c>
      <c r="B96" s="8" t="s">
        <v>31</v>
      </c>
      <c r="C96" s="4" t="s">
        <v>32</v>
      </c>
      <c r="D96" s="4" t="s">
        <v>33</v>
      </c>
      <c r="E96" s="4" t="s">
        <v>32</v>
      </c>
      <c r="F96" s="4" t="s">
        <v>285</v>
      </c>
      <c r="G96" s="4" t="s">
        <v>286</v>
      </c>
      <c r="H96" s="4" t="s">
        <v>279</v>
      </c>
      <c r="I96" s="4" t="s">
        <v>280</v>
      </c>
      <c r="J96" s="4" t="s">
        <v>281</v>
      </c>
      <c r="K96" s="4" t="s">
        <v>282</v>
      </c>
      <c r="L96" s="4" t="s">
        <v>200</v>
      </c>
      <c r="M96" s="4" t="s">
        <v>87</v>
      </c>
    </row>
    <row r="97" spans="1:13" ht="60" customHeight="1" x14ac:dyDescent="0.45">
      <c r="A97" s="5">
        <v>95</v>
      </c>
      <c r="B97" s="6" t="s">
        <v>25</v>
      </c>
      <c r="C97" s="4" t="s">
        <v>44</v>
      </c>
      <c r="D97" s="4" t="s">
        <v>27</v>
      </c>
      <c r="E97" s="4" t="s">
        <v>44</v>
      </c>
      <c r="F97" s="4" t="s">
        <v>287</v>
      </c>
      <c r="G97" s="4" t="s">
        <v>288</v>
      </c>
      <c r="H97" s="4" t="s">
        <v>279</v>
      </c>
      <c r="I97" s="4" t="s">
        <v>280</v>
      </c>
      <c r="J97" s="4" t="s">
        <v>281</v>
      </c>
      <c r="K97" s="4" t="s">
        <v>282</v>
      </c>
      <c r="L97" s="4" t="s">
        <v>200</v>
      </c>
      <c r="M97" s="4" t="s">
        <v>87</v>
      </c>
    </row>
    <row r="98" spans="1:13" ht="60" customHeight="1" x14ac:dyDescent="0.45">
      <c r="A98" s="5">
        <v>96</v>
      </c>
      <c r="B98" s="6" t="s">
        <v>25</v>
      </c>
      <c r="C98" s="4" t="s">
        <v>26</v>
      </c>
      <c r="D98" s="4" t="s">
        <v>27</v>
      </c>
      <c r="E98" s="4" t="s">
        <v>26</v>
      </c>
      <c r="F98" s="4" t="s">
        <v>289</v>
      </c>
      <c r="G98" s="4" t="s">
        <v>290</v>
      </c>
      <c r="H98" s="4" t="s">
        <v>279</v>
      </c>
      <c r="I98" s="4" t="s">
        <v>280</v>
      </c>
      <c r="J98" s="4" t="s">
        <v>281</v>
      </c>
      <c r="K98" s="4" t="s">
        <v>282</v>
      </c>
      <c r="L98" s="4" t="s">
        <v>200</v>
      </c>
      <c r="M98" s="4" t="s">
        <v>87</v>
      </c>
    </row>
    <row r="99" spans="1:13" ht="60" customHeight="1" x14ac:dyDescent="0.45">
      <c r="A99" s="5">
        <v>97</v>
      </c>
      <c r="B99" s="6" t="s">
        <v>25</v>
      </c>
      <c r="C99" s="4" t="s">
        <v>62</v>
      </c>
      <c r="D99" s="4" t="s">
        <v>27</v>
      </c>
      <c r="E99" s="4" t="s">
        <v>62</v>
      </c>
      <c r="F99" s="4" t="s">
        <v>291</v>
      </c>
      <c r="G99" s="4" t="s">
        <v>292</v>
      </c>
      <c r="H99" s="4" t="s">
        <v>279</v>
      </c>
      <c r="I99" s="4" t="s">
        <v>280</v>
      </c>
      <c r="J99" s="4" t="s">
        <v>281</v>
      </c>
      <c r="K99" s="4" t="s">
        <v>282</v>
      </c>
      <c r="L99" s="4" t="s">
        <v>200</v>
      </c>
      <c r="M99" s="4" t="s">
        <v>87</v>
      </c>
    </row>
    <row r="100" spans="1:13" ht="60" customHeight="1" x14ac:dyDescent="0.45">
      <c r="A100" s="5">
        <v>98</v>
      </c>
      <c r="B100" s="6" t="s">
        <v>25</v>
      </c>
      <c r="C100" s="4" t="s">
        <v>41</v>
      </c>
      <c r="D100" s="4" t="s">
        <v>27</v>
      </c>
      <c r="E100" s="4" t="s">
        <v>41</v>
      </c>
      <c r="F100" s="4" t="s">
        <v>293</v>
      </c>
      <c r="G100" s="4" t="s">
        <v>294</v>
      </c>
      <c r="H100" s="4" t="s">
        <v>295</v>
      </c>
      <c r="I100" s="4" t="s">
        <v>296</v>
      </c>
      <c r="J100" s="4" t="s">
        <v>297</v>
      </c>
      <c r="K100" s="4" t="s">
        <v>85</v>
      </c>
      <c r="L100" s="4" t="s">
        <v>86</v>
      </c>
      <c r="M100" s="4" t="s">
        <v>24</v>
      </c>
    </row>
    <row r="101" spans="1:13" ht="60" customHeight="1" x14ac:dyDescent="0.45">
      <c r="A101" s="5">
        <v>99</v>
      </c>
      <c r="B101" s="6" t="s">
        <v>25</v>
      </c>
      <c r="C101" s="4" t="s">
        <v>44</v>
      </c>
      <c r="D101" s="4" t="s">
        <v>27</v>
      </c>
      <c r="E101" s="4" t="s">
        <v>44</v>
      </c>
      <c r="F101" s="4" t="s">
        <v>298</v>
      </c>
      <c r="G101" s="4" t="s">
        <v>299</v>
      </c>
      <c r="H101" s="4" t="s">
        <v>295</v>
      </c>
      <c r="I101" s="4" t="s">
        <v>296</v>
      </c>
      <c r="J101" s="4" t="s">
        <v>297</v>
      </c>
      <c r="K101" s="4" t="s">
        <v>85</v>
      </c>
      <c r="L101" s="4" t="s">
        <v>86</v>
      </c>
      <c r="M101" s="4" t="s">
        <v>24</v>
      </c>
    </row>
    <row r="102" spans="1:13" ht="60" customHeight="1" x14ac:dyDescent="0.45">
      <c r="A102" s="5">
        <v>100</v>
      </c>
      <c r="B102" s="6" t="s">
        <v>25</v>
      </c>
      <c r="C102" s="4" t="s">
        <v>62</v>
      </c>
      <c r="D102" s="4" t="s">
        <v>27</v>
      </c>
      <c r="E102" s="4" t="s">
        <v>62</v>
      </c>
      <c r="F102" s="4" t="s">
        <v>300</v>
      </c>
      <c r="G102" s="4" t="s">
        <v>301</v>
      </c>
      <c r="H102" s="4" t="s">
        <v>295</v>
      </c>
      <c r="I102" s="4" t="s">
        <v>296</v>
      </c>
      <c r="J102" s="4" t="s">
        <v>297</v>
      </c>
      <c r="K102" s="4" t="s">
        <v>85</v>
      </c>
      <c r="L102" s="4" t="s">
        <v>86</v>
      </c>
      <c r="M102" s="4" t="s">
        <v>24</v>
      </c>
    </row>
    <row r="103" spans="1:13" ht="60" customHeight="1" x14ac:dyDescent="0.45">
      <c r="A103" s="5">
        <v>101</v>
      </c>
      <c r="B103" s="6" t="s">
        <v>25</v>
      </c>
      <c r="C103" s="4" t="s">
        <v>62</v>
      </c>
      <c r="D103" s="4" t="s">
        <v>27</v>
      </c>
      <c r="E103" s="4" t="s">
        <v>62</v>
      </c>
      <c r="F103" s="4" t="s">
        <v>302</v>
      </c>
      <c r="G103" s="4" t="s">
        <v>303</v>
      </c>
      <c r="H103" s="4" t="s">
        <v>304</v>
      </c>
      <c r="I103" s="4" t="s">
        <v>305</v>
      </c>
      <c r="J103" s="4" t="s">
        <v>306</v>
      </c>
      <c r="K103" s="4" t="s">
        <v>307</v>
      </c>
      <c r="L103" s="4" t="s">
        <v>86</v>
      </c>
      <c r="M103" s="4" t="s">
        <v>24</v>
      </c>
    </row>
    <row r="104" spans="1:13" ht="60" customHeight="1" x14ac:dyDescent="0.45">
      <c r="A104" s="5">
        <v>102</v>
      </c>
      <c r="B104" s="6" t="s">
        <v>25</v>
      </c>
      <c r="C104" s="4" t="s">
        <v>41</v>
      </c>
      <c r="D104" s="4" t="s">
        <v>27</v>
      </c>
      <c r="E104" s="4" t="s">
        <v>41</v>
      </c>
      <c r="F104" s="4" t="s">
        <v>308</v>
      </c>
      <c r="G104" s="4" t="s">
        <v>309</v>
      </c>
      <c r="H104" s="4" t="s">
        <v>304</v>
      </c>
      <c r="I104" s="4" t="s">
        <v>305</v>
      </c>
      <c r="J104" s="4" t="s">
        <v>306</v>
      </c>
      <c r="K104" s="4" t="s">
        <v>307</v>
      </c>
      <c r="L104" s="4" t="s">
        <v>86</v>
      </c>
      <c r="M104" s="4" t="s">
        <v>24</v>
      </c>
    </row>
    <row r="105" spans="1:13" ht="60" customHeight="1" x14ac:dyDescent="0.45">
      <c r="A105" s="5">
        <v>103</v>
      </c>
      <c r="B105" s="6" t="s">
        <v>25</v>
      </c>
      <c r="C105" s="4" t="s">
        <v>47</v>
      </c>
      <c r="D105" s="4" t="s">
        <v>27</v>
      </c>
      <c r="E105" s="4" t="s">
        <v>47</v>
      </c>
      <c r="F105" s="4" t="s">
        <v>310</v>
      </c>
      <c r="G105" s="4" t="s">
        <v>311</v>
      </c>
      <c r="H105" s="4" t="s">
        <v>312</v>
      </c>
      <c r="I105" s="4" t="s">
        <v>313</v>
      </c>
      <c r="J105" s="4" t="s">
        <v>21</v>
      </c>
      <c r="K105" s="4" t="s">
        <v>199</v>
      </c>
      <c r="L105" s="4" t="s">
        <v>200</v>
      </c>
      <c r="M105" s="4" t="s">
        <v>24</v>
      </c>
    </row>
    <row r="106" spans="1:13" ht="60" customHeight="1" x14ac:dyDescent="0.45">
      <c r="A106" s="7">
        <v>104</v>
      </c>
      <c r="B106" s="8" t="s">
        <v>31</v>
      </c>
      <c r="C106" s="4" t="s">
        <v>32</v>
      </c>
      <c r="D106" s="4" t="s">
        <v>33</v>
      </c>
      <c r="E106" s="4" t="s">
        <v>32</v>
      </c>
      <c r="F106" s="4" t="s">
        <v>314</v>
      </c>
      <c r="G106" s="4" t="s">
        <v>315</v>
      </c>
      <c r="H106" s="4" t="s">
        <v>312</v>
      </c>
      <c r="I106" s="4" t="s">
        <v>313</v>
      </c>
      <c r="J106" s="4" t="s">
        <v>21</v>
      </c>
      <c r="K106" s="4" t="s">
        <v>199</v>
      </c>
      <c r="L106" s="4" t="s">
        <v>200</v>
      </c>
      <c r="M106" s="4" t="s">
        <v>24</v>
      </c>
    </row>
    <row r="107" spans="1:13" ht="60" customHeight="1" x14ac:dyDescent="0.45">
      <c r="A107" s="5">
        <v>105</v>
      </c>
      <c r="B107" s="6" t="s">
        <v>25</v>
      </c>
      <c r="C107" s="4" t="s">
        <v>62</v>
      </c>
      <c r="D107" s="4" t="s">
        <v>27</v>
      </c>
      <c r="E107" s="4" t="s">
        <v>62</v>
      </c>
      <c r="F107" s="4" t="s">
        <v>316</v>
      </c>
      <c r="G107" s="4" t="s">
        <v>317</v>
      </c>
      <c r="H107" s="4" t="s">
        <v>312</v>
      </c>
      <c r="I107" s="4" t="s">
        <v>313</v>
      </c>
      <c r="J107" s="4" t="s">
        <v>21</v>
      </c>
      <c r="K107" s="4" t="s">
        <v>199</v>
      </c>
      <c r="L107" s="4" t="s">
        <v>200</v>
      </c>
      <c r="M107" s="4" t="s">
        <v>24</v>
      </c>
    </row>
    <row r="108" spans="1:13" ht="60" customHeight="1" x14ac:dyDescent="0.45">
      <c r="A108" s="5">
        <v>106</v>
      </c>
      <c r="B108" s="6" t="s">
        <v>25</v>
      </c>
      <c r="C108" s="4" t="s">
        <v>47</v>
      </c>
      <c r="D108" s="4" t="s">
        <v>27</v>
      </c>
      <c r="E108" s="4" t="s">
        <v>47</v>
      </c>
      <c r="F108" s="4" t="s">
        <v>318</v>
      </c>
      <c r="G108" s="4" t="s">
        <v>319</v>
      </c>
      <c r="H108" s="4" t="s">
        <v>320</v>
      </c>
      <c r="I108" s="4" t="s">
        <v>313</v>
      </c>
      <c r="J108" s="4" t="s">
        <v>321</v>
      </c>
      <c r="K108" s="4" t="s">
        <v>85</v>
      </c>
      <c r="L108" s="4" t="s">
        <v>86</v>
      </c>
      <c r="M108" s="4" t="s">
        <v>24</v>
      </c>
    </row>
    <row r="109" spans="1:13" ht="60" customHeight="1" x14ac:dyDescent="0.45">
      <c r="A109" s="7">
        <v>107</v>
      </c>
      <c r="B109" s="8" t="s">
        <v>31</v>
      </c>
      <c r="C109" s="4" t="s">
        <v>32</v>
      </c>
      <c r="D109" s="4" t="s">
        <v>33</v>
      </c>
      <c r="E109" s="4" t="s">
        <v>32</v>
      </c>
      <c r="F109" s="4" t="s">
        <v>322</v>
      </c>
      <c r="G109" s="4" t="s">
        <v>323</v>
      </c>
      <c r="H109" s="4" t="s">
        <v>320</v>
      </c>
      <c r="I109" s="4" t="s">
        <v>313</v>
      </c>
      <c r="J109" s="4" t="s">
        <v>321</v>
      </c>
      <c r="K109" s="4" t="s">
        <v>85</v>
      </c>
      <c r="L109" s="4" t="s">
        <v>86</v>
      </c>
      <c r="M109" s="4" t="s">
        <v>24</v>
      </c>
    </row>
    <row r="110" spans="1:13" ht="60" customHeight="1" x14ac:dyDescent="0.45">
      <c r="A110" s="5">
        <v>108</v>
      </c>
      <c r="B110" s="6" t="s">
        <v>25</v>
      </c>
      <c r="C110" s="4" t="s">
        <v>41</v>
      </c>
      <c r="D110" s="4" t="s">
        <v>27</v>
      </c>
      <c r="E110" s="4" t="s">
        <v>41</v>
      </c>
      <c r="F110" s="4" t="s">
        <v>324</v>
      </c>
      <c r="G110" s="4" t="s">
        <v>325</v>
      </c>
      <c r="H110" s="4" t="s">
        <v>320</v>
      </c>
      <c r="I110" s="4" t="s">
        <v>313</v>
      </c>
      <c r="J110" s="4" t="s">
        <v>321</v>
      </c>
      <c r="K110" s="4" t="s">
        <v>85</v>
      </c>
      <c r="L110" s="4" t="s">
        <v>86</v>
      </c>
      <c r="M110" s="4" t="s">
        <v>24</v>
      </c>
    </row>
    <row r="111" spans="1:13" ht="60" customHeight="1" x14ac:dyDescent="0.45">
      <c r="A111" s="5">
        <v>109</v>
      </c>
      <c r="B111" s="6" t="s">
        <v>25</v>
      </c>
      <c r="C111" s="4" t="s">
        <v>47</v>
      </c>
      <c r="D111" s="4" t="s">
        <v>27</v>
      </c>
      <c r="E111" s="4" t="s">
        <v>47</v>
      </c>
      <c r="F111" s="4" t="s">
        <v>326</v>
      </c>
      <c r="G111" s="4" t="s">
        <v>327</v>
      </c>
      <c r="H111" s="4" t="s">
        <v>328</v>
      </c>
      <c r="I111" s="4" t="s">
        <v>329</v>
      </c>
      <c r="J111" s="4" t="s">
        <v>198</v>
      </c>
      <c r="K111" s="4" t="s">
        <v>169</v>
      </c>
      <c r="L111" s="4" t="s">
        <v>170</v>
      </c>
      <c r="M111" s="4" t="s">
        <v>24</v>
      </c>
    </row>
    <row r="112" spans="1:13" ht="60" customHeight="1" x14ac:dyDescent="0.45">
      <c r="A112" s="5">
        <v>110</v>
      </c>
      <c r="B112" s="6" t="s">
        <v>25</v>
      </c>
      <c r="C112" s="4" t="s">
        <v>41</v>
      </c>
      <c r="D112" s="4" t="s">
        <v>27</v>
      </c>
      <c r="E112" s="4" t="s">
        <v>41</v>
      </c>
      <c r="F112" s="4" t="s">
        <v>330</v>
      </c>
      <c r="G112" s="4" t="s">
        <v>331</v>
      </c>
      <c r="H112" s="4" t="s">
        <v>328</v>
      </c>
      <c r="I112" s="4" t="s">
        <v>329</v>
      </c>
      <c r="J112" s="4" t="s">
        <v>198</v>
      </c>
      <c r="K112" s="4" t="s">
        <v>169</v>
      </c>
      <c r="L112" s="4" t="s">
        <v>170</v>
      </c>
      <c r="M112" s="4" t="s">
        <v>24</v>
      </c>
    </row>
    <row r="113" spans="1:13" ht="60" customHeight="1" x14ac:dyDescent="0.45">
      <c r="A113" s="7">
        <v>111</v>
      </c>
      <c r="B113" s="8" t="s">
        <v>31</v>
      </c>
      <c r="C113" s="4" t="s">
        <v>32</v>
      </c>
      <c r="D113" s="4" t="s">
        <v>33</v>
      </c>
      <c r="E113" s="4" t="s">
        <v>32</v>
      </c>
      <c r="F113" s="4" t="s">
        <v>332</v>
      </c>
      <c r="G113" s="4" t="s">
        <v>333</v>
      </c>
      <c r="H113" s="4" t="s">
        <v>334</v>
      </c>
      <c r="I113" s="4" t="s">
        <v>335</v>
      </c>
      <c r="J113" s="4" t="s">
        <v>222</v>
      </c>
      <c r="K113" s="4" t="s">
        <v>336</v>
      </c>
      <c r="L113" s="4" t="s">
        <v>200</v>
      </c>
      <c r="M113" s="4" t="s">
        <v>87</v>
      </c>
    </row>
    <row r="114" spans="1:13" ht="60" customHeight="1" x14ac:dyDescent="0.45">
      <c r="A114" s="5">
        <v>112</v>
      </c>
      <c r="B114" s="6" t="s">
        <v>25</v>
      </c>
      <c r="C114" s="4" t="s">
        <v>41</v>
      </c>
      <c r="D114" s="4" t="s">
        <v>27</v>
      </c>
      <c r="E114" s="4" t="s">
        <v>41</v>
      </c>
      <c r="F114" s="4" t="s">
        <v>337</v>
      </c>
      <c r="G114" s="4" t="s">
        <v>338</v>
      </c>
      <c r="H114" s="4" t="s">
        <v>334</v>
      </c>
      <c r="I114" s="4" t="s">
        <v>335</v>
      </c>
      <c r="J114" s="4" t="s">
        <v>222</v>
      </c>
      <c r="K114" s="4" t="s">
        <v>336</v>
      </c>
      <c r="L114" s="4" t="s">
        <v>200</v>
      </c>
      <c r="M114" s="4" t="s">
        <v>87</v>
      </c>
    </row>
    <row r="115" spans="1:13" ht="60" customHeight="1" x14ac:dyDescent="0.45">
      <c r="A115" s="5">
        <v>113</v>
      </c>
      <c r="B115" s="6" t="s">
        <v>25</v>
      </c>
      <c r="C115" s="4" t="s">
        <v>44</v>
      </c>
      <c r="D115" s="4" t="s">
        <v>27</v>
      </c>
      <c r="E115" s="4" t="s">
        <v>44</v>
      </c>
      <c r="F115" s="4" t="s">
        <v>339</v>
      </c>
      <c r="G115" s="4" t="s">
        <v>340</v>
      </c>
      <c r="H115" s="4" t="s">
        <v>334</v>
      </c>
      <c r="I115" s="4" t="s">
        <v>335</v>
      </c>
      <c r="J115" s="4" t="s">
        <v>222</v>
      </c>
      <c r="K115" s="4" t="s">
        <v>336</v>
      </c>
      <c r="L115" s="4" t="s">
        <v>200</v>
      </c>
      <c r="M115" s="4" t="s">
        <v>87</v>
      </c>
    </row>
    <row r="116" spans="1:13" ht="60" customHeight="1" x14ac:dyDescent="0.45">
      <c r="A116" s="5">
        <v>114</v>
      </c>
      <c r="B116" s="6" t="s">
        <v>25</v>
      </c>
      <c r="C116" s="4" t="s">
        <v>47</v>
      </c>
      <c r="D116" s="4" t="s">
        <v>27</v>
      </c>
      <c r="E116" s="4" t="s">
        <v>47</v>
      </c>
      <c r="F116" s="4" t="s">
        <v>341</v>
      </c>
      <c r="G116" s="4" t="s">
        <v>342</v>
      </c>
      <c r="H116" s="4" t="s">
        <v>334</v>
      </c>
      <c r="I116" s="4" t="s">
        <v>335</v>
      </c>
      <c r="J116" s="4" t="s">
        <v>222</v>
      </c>
      <c r="K116" s="4" t="s">
        <v>336</v>
      </c>
      <c r="L116" s="4" t="s">
        <v>200</v>
      </c>
      <c r="M116" s="4" t="s">
        <v>87</v>
      </c>
    </row>
    <row r="117" spans="1:13" ht="60" customHeight="1" x14ac:dyDescent="0.45">
      <c r="A117" s="7">
        <v>115</v>
      </c>
      <c r="B117" s="8" t="s">
        <v>31</v>
      </c>
      <c r="C117" s="4" t="s">
        <v>32</v>
      </c>
      <c r="D117" s="4" t="s">
        <v>33</v>
      </c>
      <c r="E117" s="4" t="s">
        <v>32</v>
      </c>
      <c r="F117" s="4" t="s">
        <v>343</v>
      </c>
      <c r="G117" s="4" t="s">
        <v>344</v>
      </c>
      <c r="H117" s="4" t="s">
        <v>345</v>
      </c>
      <c r="I117" s="4" t="s">
        <v>335</v>
      </c>
      <c r="J117" s="4" t="s">
        <v>346</v>
      </c>
      <c r="K117" s="4" t="s">
        <v>336</v>
      </c>
      <c r="L117" s="4" t="s">
        <v>200</v>
      </c>
      <c r="M117" s="4" t="s">
        <v>87</v>
      </c>
    </row>
    <row r="118" spans="1:13" ht="60" customHeight="1" x14ac:dyDescent="0.45">
      <c r="A118" s="5">
        <v>116</v>
      </c>
      <c r="B118" s="6" t="s">
        <v>25</v>
      </c>
      <c r="C118" s="4" t="s">
        <v>62</v>
      </c>
      <c r="D118" s="4" t="s">
        <v>27</v>
      </c>
      <c r="E118" s="4" t="s">
        <v>62</v>
      </c>
      <c r="F118" s="4" t="s">
        <v>347</v>
      </c>
      <c r="G118" s="4" t="s">
        <v>348</v>
      </c>
      <c r="H118" s="4" t="s">
        <v>345</v>
      </c>
      <c r="I118" s="4" t="s">
        <v>335</v>
      </c>
      <c r="J118" s="4" t="s">
        <v>346</v>
      </c>
      <c r="K118" s="4" t="s">
        <v>336</v>
      </c>
      <c r="L118" s="4" t="s">
        <v>200</v>
      </c>
      <c r="M118" s="4" t="s">
        <v>87</v>
      </c>
    </row>
    <row r="119" spans="1:13" ht="60" customHeight="1" x14ac:dyDescent="0.45">
      <c r="A119" s="2">
        <v>117</v>
      </c>
      <c r="B119" s="3" t="s">
        <v>14</v>
      </c>
      <c r="C119" s="4" t="s">
        <v>96</v>
      </c>
      <c r="D119" s="4" t="s">
        <v>16</v>
      </c>
      <c r="E119" s="4" t="s">
        <v>96</v>
      </c>
      <c r="F119" s="4" t="s">
        <v>349</v>
      </c>
      <c r="G119" s="4" t="s">
        <v>350</v>
      </c>
      <c r="H119" s="4" t="s">
        <v>345</v>
      </c>
      <c r="I119" s="4" t="s">
        <v>335</v>
      </c>
      <c r="J119" s="4" t="s">
        <v>346</v>
      </c>
      <c r="K119" s="4" t="s">
        <v>336</v>
      </c>
      <c r="L119" s="4" t="s">
        <v>200</v>
      </c>
      <c r="M119" s="4" t="s">
        <v>87</v>
      </c>
    </row>
    <row r="120" spans="1:13" ht="60" customHeight="1" x14ac:dyDescent="0.45">
      <c r="A120" s="2">
        <v>118</v>
      </c>
      <c r="B120" s="3" t="s">
        <v>14</v>
      </c>
      <c r="C120" s="4" t="s">
        <v>137</v>
      </c>
      <c r="D120" s="4" t="s">
        <v>16</v>
      </c>
      <c r="E120" s="4" t="s">
        <v>137</v>
      </c>
      <c r="F120" s="4" t="s">
        <v>351</v>
      </c>
      <c r="G120" s="4" t="s">
        <v>352</v>
      </c>
      <c r="H120" s="4" t="s">
        <v>353</v>
      </c>
      <c r="I120" s="4" t="s">
        <v>354</v>
      </c>
      <c r="J120" s="4" t="s">
        <v>355</v>
      </c>
      <c r="K120" s="4" t="s">
        <v>336</v>
      </c>
      <c r="L120" s="4" t="s">
        <v>200</v>
      </c>
      <c r="M120" s="4" t="s">
        <v>87</v>
      </c>
    </row>
    <row r="121" spans="1:13" ht="60" customHeight="1" x14ac:dyDescent="0.45">
      <c r="A121" s="5">
        <v>119</v>
      </c>
      <c r="B121" s="6" t="s">
        <v>25</v>
      </c>
      <c r="C121" s="4" t="s">
        <v>41</v>
      </c>
      <c r="D121" s="4" t="s">
        <v>27</v>
      </c>
      <c r="E121" s="4" t="s">
        <v>41</v>
      </c>
      <c r="F121" s="4" t="s">
        <v>356</v>
      </c>
      <c r="G121" s="4" t="s">
        <v>357</v>
      </c>
      <c r="H121" s="4" t="s">
        <v>353</v>
      </c>
      <c r="I121" s="4" t="s">
        <v>354</v>
      </c>
      <c r="J121" s="4" t="s">
        <v>355</v>
      </c>
      <c r="K121" s="4" t="s">
        <v>336</v>
      </c>
      <c r="L121" s="4" t="s">
        <v>200</v>
      </c>
      <c r="M121" s="4" t="s">
        <v>87</v>
      </c>
    </row>
    <row r="122" spans="1:13" ht="60" customHeight="1" x14ac:dyDescent="0.45">
      <c r="A122" s="7">
        <v>120</v>
      </c>
      <c r="B122" s="8" t="s">
        <v>31</v>
      </c>
      <c r="C122" s="4" t="s">
        <v>32</v>
      </c>
      <c r="D122" s="4" t="s">
        <v>33</v>
      </c>
      <c r="E122" s="4" t="s">
        <v>32</v>
      </c>
      <c r="F122" s="4" t="s">
        <v>358</v>
      </c>
      <c r="G122" s="4" t="s">
        <v>359</v>
      </c>
      <c r="H122" s="4" t="s">
        <v>360</v>
      </c>
      <c r="I122" s="4" t="s">
        <v>361</v>
      </c>
      <c r="J122" s="4" t="s">
        <v>362</v>
      </c>
      <c r="K122" s="4" t="s">
        <v>336</v>
      </c>
      <c r="L122" s="4" t="s">
        <v>200</v>
      </c>
      <c r="M122" s="4" t="s">
        <v>87</v>
      </c>
    </row>
    <row r="123" spans="1:13" ht="60" customHeight="1" x14ac:dyDescent="0.45">
      <c r="A123" s="7">
        <v>121</v>
      </c>
      <c r="B123" s="8" t="s">
        <v>31</v>
      </c>
      <c r="C123" s="4" t="s">
        <v>32</v>
      </c>
      <c r="D123" s="4" t="s">
        <v>33</v>
      </c>
      <c r="E123" s="4" t="s">
        <v>32</v>
      </c>
      <c r="F123" s="4" t="s">
        <v>363</v>
      </c>
      <c r="G123" s="4" t="s">
        <v>364</v>
      </c>
      <c r="H123" s="4" t="s">
        <v>365</v>
      </c>
      <c r="I123" s="4" t="s">
        <v>366</v>
      </c>
      <c r="J123" s="4" t="s">
        <v>367</v>
      </c>
      <c r="K123" s="4" t="s">
        <v>39</v>
      </c>
      <c r="L123" s="4" t="s">
        <v>40</v>
      </c>
      <c r="M123" s="4" t="s">
        <v>24</v>
      </c>
    </row>
    <row r="124" spans="1:13" ht="60" customHeight="1" x14ac:dyDescent="0.45">
      <c r="A124" s="2">
        <v>122</v>
      </c>
      <c r="B124" s="3" t="s">
        <v>14</v>
      </c>
      <c r="C124" s="4" t="s">
        <v>137</v>
      </c>
      <c r="D124" s="4" t="s">
        <v>16</v>
      </c>
      <c r="E124" s="4" t="s">
        <v>137</v>
      </c>
      <c r="F124" s="4" t="s">
        <v>363</v>
      </c>
      <c r="G124" s="4" t="s">
        <v>368</v>
      </c>
      <c r="H124" s="4" t="s">
        <v>365</v>
      </c>
      <c r="I124" s="4" t="s">
        <v>366</v>
      </c>
      <c r="J124" s="4" t="s">
        <v>367</v>
      </c>
      <c r="K124" s="4" t="s">
        <v>39</v>
      </c>
      <c r="L124" s="4" t="s">
        <v>40</v>
      </c>
      <c r="M124" s="4" t="s">
        <v>24</v>
      </c>
    </row>
    <row r="125" spans="1:13" ht="60" customHeight="1" x14ac:dyDescent="0.45">
      <c r="A125" s="7">
        <v>123</v>
      </c>
      <c r="B125" s="8" t="s">
        <v>31</v>
      </c>
      <c r="C125" s="4" t="s">
        <v>32</v>
      </c>
      <c r="D125" s="4" t="s">
        <v>33</v>
      </c>
      <c r="E125" s="4" t="s">
        <v>32</v>
      </c>
      <c r="F125" s="4" t="s">
        <v>369</v>
      </c>
      <c r="G125" s="4" t="s">
        <v>370</v>
      </c>
      <c r="H125" s="4" t="s">
        <v>371</v>
      </c>
      <c r="I125" s="4" t="s">
        <v>372</v>
      </c>
      <c r="J125" s="4" t="s">
        <v>373</v>
      </c>
      <c r="K125" s="4" t="s">
        <v>127</v>
      </c>
      <c r="L125" s="4" t="s">
        <v>23</v>
      </c>
      <c r="M125" s="4" t="s">
        <v>87</v>
      </c>
    </row>
    <row r="126" spans="1:13" ht="60" customHeight="1" x14ac:dyDescent="0.45">
      <c r="A126" s="7">
        <v>124</v>
      </c>
      <c r="B126" s="8" t="s">
        <v>31</v>
      </c>
      <c r="C126" s="4" t="s">
        <v>79</v>
      </c>
      <c r="D126" s="4" t="s">
        <v>33</v>
      </c>
      <c r="E126" s="4" t="s">
        <v>79</v>
      </c>
      <c r="F126" s="4" t="s">
        <v>374</v>
      </c>
      <c r="G126" s="4" t="s">
        <v>375</v>
      </c>
      <c r="H126" s="4" t="s">
        <v>371</v>
      </c>
      <c r="I126" s="4" t="s">
        <v>372</v>
      </c>
      <c r="J126" s="4" t="s">
        <v>373</v>
      </c>
      <c r="K126" s="4" t="s">
        <v>127</v>
      </c>
      <c r="L126" s="4" t="s">
        <v>23</v>
      </c>
      <c r="M126" s="4" t="s">
        <v>87</v>
      </c>
    </row>
    <row r="127" spans="1:13" ht="60" customHeight="1" x14ac:dyDescent="0.45">
      <c r="A127" s="7">
        <v>125</v>
      </c>
      <c r="B127" s="8" t="s">
        <v>31</v>
      </c>
      <c r="C127" s="4" t="s">
        <v>109</v>
      </c>
      <c r="D127" s="4" t="s">
        <v>33</v>
      </c>
      <c r="E127" s="4" t="s">
        <v>109</v>
      </c>
      <c r="F127" s="4" t="s">
        <v>376</v>
      </c>
      <c r="G127" s="4" t="s">
        <v>377</v>
      </c>
      <c r="H127" s="4" t="s">
        <v>371</v>
      </c>
      <c r="I127" s="4" t="s">
        <v>372</v>
      </c>
      <c r="J127" s="4" t="s">
        <v>373</v>
      </c>
      <c r="K127" s="4" t="s">
        <v>127</v>
      </c>
      <c r="L127" s="4" t="s">
        <v>23</v>
      </c>
      <c r="M127" s="4" t="s">
        <v>87</v>
      </c>
    </row>
    <row r="128" spans="1:13" ht="60" customHeight="1" x14ac:dyDescent="0.45">
      <c r="A128" s="5">
        <v>126</v>
      </c>
      <c r="B128" s="6" t="s">
        <v>25</v>
      </c>
      <c r="C128" s="4" t="s">
        <v>62</v>
      </c>
      <c r="D128" s="4" t="s">
        <v>27</v>
      </c>
      <c r="E128" s="4" t="s">
        <v>62</v>
      </c>
      <c r="F128" s="4" t="s">
        <v>378</v>
      </c>
      <c r="G128" s="4" t="s">
        <v>379</v>
      </c>
      <c r="H128" s="4" t="s">
        <v>371</v>
      </c>
      <c r="I128" s="4" t="s">
        <v>372</v>
      </c>
      <c r="J128" s="4" t="s">
        <v>373</v>
      </c>
      <c r="K128" s="4" t="s">
        <v>127</v>
      </c>
      <c r="L128" s="4" t="s">
        <v>23</v>
      </c>
      <c r="M128" s="4" t="s">
        <v>87</v>
      </c>
    </row>
    <row r="129" spans="1:13" ht="60" customHeight="1" x14ac:dyDescent="0.45">
      <c r="A129" s="7">
        <v>127</v>
      </c>
      <c r="B129" s="8" t="s">
        <v>31</v>
      </c>
      <c r="C129" s="4" t="s">
        <v>32</v>
      </c>
      <c r="D129" s="4" t="s">
        <v>33</v>
      </c>
      <c r="E129" s="4" t="s">
        <v>32</v>
      </c>
      <c r="F129" s="4" t="s">
        <v>380</v>
      </c>
      <c r="G129" s="4" t="s">
        <v>381</v>
      </c>
      <c r="H129" s="4" t="s">
        <v>371</v>
      </c>
      <c r="I129" s="4" t="s">
        <v>372</v>
      </c>
      <c r="J129" s="4" t="s">
        <v>373</v>
      </c>
      <c r="K129" s="4" t="s">
        <v>127</v>
      </c>
      <c r="L129" s="4" t="s">
        <v>23</v>
      </c>
      <c r="M129" s="4" t="s">
        <v>87</v>
      </c>
    </row>
    <row r="130" spans="1:13" ht="60" customHeight="1" x14ac:dyDescent="0.45">
      <c r="A130" s="5">
        <v>128</v>
      </c>
      <c r="B130" s="6" t="s">
        <v>25</v>
      </c>
      <c r="C130" s="4" t="s">
        <v>41</v>
      </c>
      <c r="D130" s="4" t="s">
        <v>27</v>
      </c>
      <c r="E130" s="4" t="s">
        <v>41</v>
      </c>
      <c r="F130" s="4" t="s">
        <v>382</v>
      </c>
      <c r="G130" s="4" t="s">
        <v>383</v>
      </c>
      <c r="H130" s="4" t="s">
        <v>371</v>
      </c>
      <c r="I130" s="4" t="s">
        <v>372</v>
      </c>
      <c r="J130" s="4" t="s">
        <v>373</v>
      </c>
      <c r="K130" s="4" t="s">
        <v>127</v>
      </c>
      <c r="L130" s="4" t="s">
        <v>23</v>
      </c>
      <c r="M130" s="4" t="s">
        <v>87</v>
      </c>
    </row>
    <row r="131" spans="1:13" ht="60" customHeight="1" x14ac:dyDescent="0.45">
      <c r="A131" s="5">
        <v>129</v>
      </c>
      <c r="B131" s="6" t="s">
        <v>25</v>
      </c>
      <c r="C131" s="4" t="s">
        <v>44</v>
      </c>
      <c r="D131" s="4" t="s">
        <v>27</v>
      </c>
      <c r="E131" s="4" t="s">
        <v>44</v>
      </c>
      <c r="F131" s="4" t="s">
        <v>384</v>
      </c>
      <c r="G131" s="4" t="s">
        <v>385</v>
      </c>
      <c r="H131" s="4" t="s">
        <v>386</v>
      </c>
      <c r="I131" s="4" t="s">
        <v>387</v>
      </c>
      <c r="J131" s="4" t="s">
        <v>388</v>
      </c>
      <c r="K131" s="4" t="s">
        <v>39</v>
      </c>
      <c r="L131" s="4" t="s">
        <v>40</v>
      </c>
      <c r="M131" s="4" t="s">
        <v>24</v>
      </c>
    </row>
    <row r="132" spans="1:13" ht="60" customHeight="1" x14ac:dyDescent="0.45">
      <c r="A132" s="5">
        <v>130</v>
      </c>
      <c r="B132" s="6" t="s">
        <v>25</v>
      </c>
      <c r="C132" s="4" t="s">
        <v>41</v>
      </c>
      <c r="D132" s="4" t="s">
        <v>27</v>
      </c>
      <c r="E132" s="4" t="s">
        <v>41</v>
      </c>
      <c r="F132" s="4" t="s">
        <v>389</v>
      </c>
      <c r="G132" s="4" t="s">
        <v>390</v>
      </c>
      <c r="H132" s="4" t="s">
        <v>386</v>
      </c>
      <c r="I132" s="4" t="s">
        <v>387</v>
      </c>
      <c r="J132" s="4" t="s">
        <v>388</v>
      </c>
      <c r="K132" s="4" t="s">
        <v>39</v>
      </c>
      <c r="L132" s="4" t="s">
        <v>40</v>
      </c>
      <c r="M132" s="4" t="s">
        <v>24</v>
      </c>
    </row>
    <row r="133" spans="1:13" ht="60" customHeight="1" x14ac:dyDescent="0.45">
      <c r="A133" s="2">
        <v>131</v>
      </c>
      <c r="B133" s="3" t="s">
        <v>14</v>
      </c>
      <c r="C133" s="4" t="s">
        <v>137</v>
      </c>
      <c r="D133" s="4" t="s">
        <v>16</v>
      </c>
      <c r="E133" s="4" t="s">
        <v>137</v>
      </c>
      <c r="F133" s="4" t="s">
        <v>391</v>
      </c>
      <c r="G133" s="4" t="s">
        <v>392</v>
      </c>
      <c r="H133" s="4" t="s">
        <v>386</v>
      </c>
      <c r="I133" s="4" t="s">
        <v>387</v>
      </c>
      <c r="J133" s="4" t="s">
        <v>388</v>
      </c>
      <c r="K133" s="4" t="s">
        <v>39</v>
      </c>
      <c r="L133" s="4" t="s">
        <v>40</v>
      </c>
      <c r="M133" s="4" t="s">
        <v>24</v>
      </c>
    </row>
    <row r="134" spans="1:13" ht="60" customHeight="1" x14ac:dyDescent="0.45">
      <c r="A134" s="5">
        <v>132</v>
      </c>
      <c r="B134" s="6" t="s">
        <v>25</v>
      </c>
      <c r="C134" s="4" t="s">
        <v>41</v>
      </c>
      <c r="D134" s="4" t="s">
        <v>27</v>
      </c>
      <c r="E134" s="4" t="s">
        <v>41</v>
      </c>
      <c r="F134" s="4" t="s">
        <v>393</v>
      </c>
      <c r="G134" s="4" t="s">
        <v>394</v>
      </c>
      <c r="H134" s="4" t="s">
        <v>386</v>
      </c>
      <c r="I134" s="4" t="s">
        <v>387</v>
      </c>
      <c r="J134" s="4" t="s">
        <v>388</v>
      </c>
      <c r="K134" s="4" t="s">
        <v>39</v>
      </c>
      <c r="L134" s="4" t="s">
        <v>40</v>
      </c>
      <c r="M134" s="4" t="s">
        <v>24</v>
      </c>
    </row>
    <row r="135" spans="1:13" ht="60" customHeight="1" x14ac:dyDescent="0.45">
      <c r="A135" s="5">
        <v>133</v>
      </c>
      <c r="B135" s="6" t="s">
        <v>25</v>
      </c>
      <c r="C135" s="4" t="s">
        <v>26</v>
      </c>
      <c r="D135" s="4" t="s">
        <v>27</v>
      </c>
      <c r="E135" s="4" t="s">
        <v>26</v>
      </c>
      <c r="F135" s="4" t="s">
        <v>395</v>
      </c>
      <c r="G135" s="4" t="s">
        <v>396</v>
      </c>
      <c r="H135" s="4" t="s">
        <v>386</v>
      </c>
      <c r="I135" s="4" t="s">
        <v>387</v>
      </c>
      <c r="J135" s="4" t="s">
        <v>388</v>
      </c>
      <c r="K135" s="4" t="s">
        <v>39</v>
      </c>
      <c r="L135" s="4" t="s">
        <v>40</v>
      </c>
      <c r="M135" s="4" t="s">
        <v>24</v>
      </c>
    </row>
    <row r="136" spans="1:13" ht="60" customHeight="1" x14ac:dyDescent="0.45">
      <c r="A136" s="5">
        <v>134</v>
      </c>
      <c r="B136" s="6" t="s">
        <v>25</v>
      </c>
      <c r="C136" s="4" t="s">
        <v>62</v>
      </c>
      <c r="D136" s="4" t="s">
        <v>27</v>
      </c>
      <c r="E136" s="4" t="s">
        <v>62</v>
      </c>
      <c r="F136" s="4" t="s">
        <v>397</v>
      </c>
      <c r="G136" s="4" t="s">
        <v>398</v>
      </c>
      <c r="H136" s="4" t="s">
        <v>386</v>
      </c>
      <c r="I136" s="4" t="s">
        <v>387</v>
      </c>
      <c r="J136" s="4" t="s">
        <v>388</v>
      </c>
      <c r="K136" s="4" t="s">
        <v>39</v>
      </c>
      <c r="L136" s="4" t="s">
        <v>40</v>
      </c>
      <c r="M136" s="4" t="s">
        <v>24</v>
      </c>
    </row>
    <row r="137" spans="1:13" ht="60" customHeight="1" x14ac:dyDescent="0.45">
      <c r="A137" s="2">
        <v>135</v>
      </c>
      <c r="B137" s="3" t="s">
        <v>14</v>
      </c>
      <c r="C137" s="4" t="s">
        <v>29</v>
      </c>
      <c r="D137" s="4" t="s">
        <v>16</v>
      </c>
      <c r="E137" s="4" t="s">
        <v>29</v>
      </c>
      <c r="F137" s="4" t="s">
        <v>399</v>
      </c>
      <c r="G137" s="4" t="s">
        <v>400</v>
      </c>
      <c r="H137" s="4" t="s">
        <v>401</v>
      </c>
      <c r="I137" s="4" t="s">
        <v>402</v>
      </c>
      <c r="J137" s="4" t="s">
        <v>21</v>
      </c>
      <c r="K137" s="4" t="s">
        <v>403</v>
      </c>
      <c r="L137" s="4" t="s">
        <v>86</v>
      </c>
      <c r="M137" s="4" t="s">
        <v>24</v>
      </c>
    </row>
    <row r="138" spans="1:13" ht="60" customHeight="1" x14ac:dyDescent="0.45">
      <c r="A138" s="5">
        <v>136</v>
      </c>
      <c r="B138" s="6" t="s">
        <v>25</v>
      </c>
      <c r="C138" s="4" t="s">
        <v>47</v>
      </c>
      <c r="D138" s="4" t="s">
        <v>27</v>
      </c>
      <c r="E138" s="4" t="s">
        <v>47</v>
      </c>
      <c r="F138" s="4" t="s">
        <v>404</v>
      </c>
      <c r="G138" s="4" t="s">
        <v>405</v>
      </c>
      <c r="H138" s="4" t="s">
        <v>401</v>
      </c>
      <c r="I138" s="4" t="s">
        <v>402</v>
      </c>
      <c r="J138" s="4" t="s">
        <v>21</v>
      </c>
      <c r="K138" s="4" t="s">
        <v>403</v>
      </c>
      <c r="L138" s="4" t="s">
        <v>86</v>
      </c>
      <c r="M138" s="4" t="s">
        <v>24</v>
      </c>
    </row>
    <row r="139" spans="1:13" ht="60" customHeight="1" x14ac:dyDescent="0.45">
      <c r="A139" s="2">
        <v>137</v>
      </c>
      <c r="B139" s="3" t="s">
        <v>14</v>
      </c>
      <c r="C139" s="4" t="s">
        <v>29</v>
      </c>
      <c r="D139" s="4" t="s">
        <v>16</v>
      </c>
      <c r="E139" s="4" t="s">
        <v>29</v>
      </c>
      <c r="F139" s="4" t="s">
        <v>406</v>
      </c>
      <c r="G139" s="4" t="s">
        <v>407</v>
      </c>
      <c r="H139" s="4" t="s">
        <v>401</v>
      </c>
      <c r="I139" s="4" t="s">
        <v>402</v>
      </c>
      <c r="J139" s="4" t="s">
        <v>21</v>
      </c>
      <c r="K139" s="4" t="s">
        <v>403</v>
      </c>
      <c r="L139" s="4" t="s">
        <v>86</v>
      </c>
      <c r="M139" s="4" t="s">
        <v>24</v>
      </c>
    </row>
    <row r="140" spans="1:13" ht="60" customHeight="1" x14ac:dyDescent="0.45">
      <c r="A140" s="5">
        <v>138</v>
      </c>
      <c r="B140" s="6" t="s">
        <v>25</v>
      </c>
      <c r="C140" s="4" t="s">
        <v>62</v>
      </c>
      <c r="D140" s="4" t="s">
        <v>27</v>
      </c>
      <c r="E140" s="4" t="s">
        <v>62</v>
      </c>
      <c r="F140" s="4" t="s">
        <v>408</v>
      </c>
      <c r="G140" s="4" t="s">
        <v>409</v>
      </c>
      <c r="H140" s="4" t="s">
        <v>401</v>
      </c>
      <c r="I140" s="4" t="s">
        <v>402</v>
      </c>
      <c r="J140" s="4" t="s">
        <v>21</v>
      </c>
      <c r="K140" s="4" t="s">
        <v>403</v>
      </c>
      <c r="L140" s="4" t="s">
        <v>86</v>
      </c>
      <c r="M140" s="4" t="s">
        <v>24</v>
      </c>
    </row>
    <row r="141" spans="1:13" ht="60" customHeight="1" x14ac:dyDescent="0.45">
      <c r="A141" s="5">
        <v>139</v>
      </c>
      <c r="B141" s="6" t="s">
        <v>25</v>
      </c>
      <c r="C141" s="4" t="s">
        <v>41</v>
      </c>
      <c r="D141" s="4" t="s">
        <v>27</v>
      </c>
      <c r="E141" s="4" t="s">
        <v>41</v>
      </c>
      <c r="F141" s="4" t="s">
        <v>410</v>
      </c>
      <c r="G141" s="4" t="s">
        <v>411</v>
      </c>
      <c r="H141" s="4" t="s">
        <v>401</v>
      </c>
      <c r="I141" s="4" t="s">
        <v>402</v>
      </c>
      <c r="J141" s="4" t="s">
        <v>21</v>
      </c>
      <c r="K141" s="4" t="s">
        <v>403</v>
      </c>
      <c r="L141" s="4" t="s">
        <v>86</v>
      </c>
      <c r="M141" s="4" t="s">
        <v>24</v>
      </c>
    </row>
    <row r="142" spans="1:13" ht="60" customHeight="1" x14ac:dyDescent="0.45">
      <c r="A142" s="2">
        <v>140</v>
      </c>
      <c r="B142" s="3" t="s">
        <v>14</v>
      </c>
      <c r="C142" s="4" t="s">
        <v>29</v>
      </c>
      <c r="D142" s="4" t="s">
        <v>16</v>
      </c>
      <c r="E142" s="4" t="s">
        <v>29</v>
      </c>
      <c r="F142" s="4" t="s">
        <v>412</v>
      </c>
      <c r="G142" s="4" t="s">
        <v>413</v>
      </c>
      <c r="H142" s="4" t="s">
        <v>414</v>
      </c>
      <c r="I142" s="4" t="s">
        <v>415</v>
      </c>
      <c r="J142" s="4" t="s">
        <v>21</v>
      </c>
      <c r="K142" s="4" t="s">
        <v>336</v>
      </c>
      <c r="L142" s="4" t="s">
        <v>200</v>
      </c>
      <c r="M142" s="4" t="s">
        <v>24</v>
      </c>
    </row>
    <row r="143" spans="1:13" ht="60" customHeight="1" x14ac:dyDescent="0.45">
      <c r="A143" s="7">
        <v>141</v>
      </c>
      <c r="B143" s="8" t="s">
        <v>31</v>
      </c>
      <c r="C143" s="4" t="s">
        <v>32</v>
      </c>
      <c r="D143" s="4" t="s">
        <v>33</v>
      </c>
      <c r="E143" s="4" t="s">
        <v>32</v>
      </c>
      <c r="F143" s="4" t="s">
        <v>416</v>
      </c>
      <c r="G143" s="4" t="s">
        <v>417</v>
      </c>
      <c r="H143" s="4" t="s">
        <v>414</v>
      </c>
      <c r="I143" s="4" t="s">
        <v>415</v>
      </c>
      <c r="J143" s="4" t="s">
        <v>21</v>
      </c>
      <c r="K143" s="4" t="s">
        <v>336</v>
      </c>
      <c r="L143" s="4" t="s">
        <v>200</v>
      </c>
      <c r="M143" s="4" t="s">
        <v>24</v>
      </c>
    </row>
    <row r="144" spans="1:13" ht="60" customHeight="1" x14ac:dyDescent="0.45">
      <c r="A144" s="5">
        <v>142</v>
      </c>
      <c r="B144" s="6" t="s">
        <v>25</v>
      </c>
      <c r="C144" s="4" t="s">
        <v>47</v>
      </c>
      <c r="D144" s="4" t="s">
        <v>27</v>
      </c>
      <c r="E144" s="4" t="s">
        <v>47</v>
      </c>
      <c r="F144" s="4" t="s">
        <v>418</v>
      </c>
      <c r="G144" s="4" t="s">
        <v>419</v>
      </c>
      <c r="H144" s="4" t="s">
        <v>414</v>
      </c>
      <c r="I144" s="4" t="s">
        <v>415</v>
      </c>
      <c r="J144" s="4" t="s">
        <v>21</v>
      </c>
      <c r="K144" s="4" t="s">
        <v>336</v>
      </c>
      <c r="L144" s="4" t="s">
        <v>200</v>
      </c>
      <c r="M144" s="4" t="s">
        <v>24</v>
      </c>
    </row>
    <row r="145" spans="1:13" ht="60" customHeight="1" x14ac:dyDescent="0.45">
      <c r="A145" s="5">
        <v>143</v>
      </c>
      <c r="B145" s="6" t="s">
        <v>25</v>
      </c>
      <c r="C145" s="4" t="s">
        <v>41</v>
      </c>
      <c r="D145" s="4" t="s">
        <v>27</v>
      </c>
      <c r="E145" s="4" t="s">
        <v>41</v>
      </c>
      <c r="F145" s="4" t="s">
        <v>420</v>
      </c>
      <c r="G145" s="4" t="s">
        <v>421</v>
      </c>
      <c r="H145" s="4" t="s">
        <v>422</v>
      </c>
      <c r="I145" s="4" t="s">
        <v>423</v>
      </c>
      <c r="J145" s="4" t="s">
        <v>321</v>
      </c>
      <c r="K145" s="4" t="s">
        <v>307</v>
      </c>
      <c r="L145" s="4" t="s">
        <v>86</v>
      </c>
      <c r="M145" s="4" t="s">
        <v>24</v>
      </c>
    </row>
    <row r="146" spans="1:13" ht="60" customHeight="1" x14ac:dyDescent="0.45">
      <c r="A146" s="7">
        <v>144</v>
      </c>
      <c r="B146" s="8" t="s">
        <v>31</v>
      </c>
      <c r="C146" s="4" t="s">
        <v>32</v>
      </c>
      <c r="D146" s="4" t="s">
        <v>33</v>
      </c>
      <c r="E146" s="4" t="s">
        <v>32</v>
      </c>
      <c r="F146" s="4" t="s">
        <v>424</v>
      </c>
      <c r="G146" s="4" t="s">
        <v>425</v>
      </c>
      <c r="H146" s="4" t="s">
        <v>422</v>
      </c>
      <c r="I146" s="4" t="s">
        <v>423</v>
      </c>
      <c r="J146" s="4" t="s">
        <v>321</v>
      </c>
      <c r="K146" s="4" t="s">
        <v>307</v>
      </c>
      <c r="L146" s="4" t="s">
        <v>86</v>
      </c>
      <c r="M146" s="4" t="s">
        <v>24</v>
      </c>
    </row>
    <row r="147" spans="1:13" ht="60" customHeight="1" x14ac:dyDescent="0.45">
      <c r="A147" s="5">
        <v>145</v>
      </c>
      <c r="B147" s="6" t="s">
        <v>25</v>
      </c>
      <c r="C147" s="4" t="s">
        <v>26</v>
      </c>
      <c r="D147" s="4" t="s">
        <v>27</v>
      </c>
      <c r="E147" s="4" t="s">
        <v>26</v>
      </c>
      <c r="F147" s="4" t="s">
        <v>426</v>
      </c>
      <c r="G147" s="4" t="s">
        <v>427</v>
      </c>
      <c r="H147" s="4" t="s">
        <v>422</v>
      </c>
      <c r="I147" s="4" t="s">
        <v>423</v>
      </c>
      <c r="J147" s="4" t="s">
        <v>321</v>
      </c>
      <c r="K147" s="4" t="s">
        <v>307</v>
      </c>
      <c r="L147" s="4" t="s">
        <v>86</v>
      </c>
      <c r="M147" s="4" t="s">
        <v>24</v>
      </c>
    </row>
    <row r="148" spans="1:13" ht="60" customHeight="1" x14ac:dyDescent="0.45">
      <c r="A148" s="2">
        <v>146</v>
      </c>
      <c r="B148" s="3" t="s">
        <v>14</v>
      </c>
      <c r="C148" s="4" t="s">
        <v>15</v>
      </c>
      <c r="D148" s="4" t="s">
        <v>16</v>
      </c>
      <c r="E148" s="4" t="s">
        <v>15</v>
      </c>
      <c r="F148" s="4" t="s">
        <v>428</v>
      </c>
      <c r="G148" s="4" t="s">
        <v>429</v>
      </c>
      <c r="H148" s="4" t="s">
        <v>422</v>
      </c>
      <c r="I148" s="4" t="s">
        <v>423</v>
      </c>
      <c r="J148" s="4" t="s">
        <v>321</v>
      </c>
      <c r="K148" s="4" t="s">
        <v>307</v>
      </c>
      <c r="L148" s="4" t="s">
        <v>86</v>
      </c>
      <c r="M148" s="4" t="s">
        <v>24</v>
      </c>
    </row>
    <row r="149" spans="1:13" ht="60" customHeight="1" x14ac:dyDescent="0.45">
      <c r="A149" s="5">
        <v>147</v>
      </c>
      <c r="B149" s="6" t="s">
        <v>25</v>
      </c>
      <c r="C149" s="4" t="s">
        <v>26</v>
      </c>
      <c r="D149" s="4" t="s">
        <v>27</v>
      </c>
      <c r="E149" s="4" t="s">
        <v>26</v>
      </c>
      <c r="F149" s="4" t="s">
        <v>428</v>
      </c>
      <c r="G149" s="4" t="s">
        <v>430</v>
      </c>
      <c r="H149" s="4" t="s">
        <v>422</v>
      </c>
      <c r="I149" s="4" t="s">
        <v>423</v>
      </c>
      <c r="J149" s="4" t="s">
        <v>321</v>
      </c>
      <c r="K149" s="4" t="s">
        <v>307</v>
      </c>
      <c r="L149" s="4" t="s">
        <v>86</v>
      </c>
      <c r="M149" s="4" t="s">
        <v>24</v>
      </c>
    </row>
    <row r="150" spans="1:13" ht="60" customHeight="1" x14ac:dyDescent="0.45">
      <c r="A150" s="5">
        <v>148</v>
      </c>
      <c r="B150" s="6" t="s">
        <v>25</v>
      </c>
      <c r="C150" s="4" t="s">
        <v>62</v>
      </c>
      <c r="D150" s="4" t="s">
        <v>27</v>
      </c>
      <c r="E150" s="4" t="s">
        <v>62</v>
      </c>
      <c r="F150" s="4" t="s">
        <v>431</v>
      </c>
      <c r="G150" s="4" t="s">
        <v>432</v>
      </c>
      <c r="H150" s="4" t="s">
        <v>422</v>
      </c>
      <c r="I150" s="4" t="s">
        <v>423</v>
      </c>
      <c r="J150" s="4" t="s">
        <v>321</v>
      </c>
      <c r="K150" s="4" t="s">
        <v>307</v>
      </c>
      <c r="L150" s="4" t="s">
        <v>86</v>
      </c>
      <c r="M150" s="4" t="s">
        <v>24</v>
      </c>
    </row>
    <row r="151" spans="1:13" ht="60" customHeight="1" x14ac:dyDescent="0.45">
      <c r="A151" s="5">
        <v>149</v>
      </c>
      <c r="B151" s="6" t="s">
        <v>25</v>
      </c>
      <c r="C151" s="4" t="s">
        <v>47</v>
      </c>
      <c r="D151" s="4" t="s">
        <v>27</v>
      </c>
      <c r="E151" s="4" t="s">
        <v>47</v>
      </c>
      <c r="F151" s="4" t="s">
        <v>433</v>
      </c>
      <c r="G151" s="4" t="s">
        <v>434</v>
      </c>
      <c r="H151" s="4" t="s">
        <v>435</v>
      </c>
      <c r="I151" s="4" t="s">
        <v>436</v>
      </c>
      <c r="J151" s="4" t="s">
        <v>437</v>
      </c>
      <c r="K151" s="4" t="s">
        <v>39</v>
      </c>
      <c r="L151" s="4" t="s">
        <v>40</v>
      </c>
      <c r="M151" s="4" t="s">
        <v>87</v>
      </c>
    </row>
    <row r="152" spans="1:13" ht="60" customHeight="1" x14ac:dyDescent="0.45">
      <c r="A152" s="2">
        <v>150</v>
      </c>
      <c r="B152" s="3" t="s">
        <v>14</v>
      </c>
      <c r="C152" s="4" t="s">
        <v>29</v>
      </c>
      <c r="D152" s="4" t="s">
        <v>16</v>
      </c>
      <c r="E152" s="4" t="s">
        <v>29</v>
      </c>
      <c r="F152" s="4" t="s">
        <v>438</v>
      </c>
      <c r="G152" s="4" t="s">
        <v>439</v>
      </c>
      <c r="H152" s="4" t="s">
        <v>440</v>
      </c>
      <c r="I152" s="4" t="s">
        <v>441</v>
      </c>
      <c r="J152" s="4" t="s">
        <v>442</v>
      </c>
      <c r="K152" s="4" t="s">
        <v>211</v>
      </c>
      <c r="L152" s="4" t="s">
        <v>86</v>
      </c>
      <c r="M152" s="4" t="s">
        <v>24</v>
      </c>
    </row>
    <row r="153" spans="1:13" ht="60" customHeight="1" x14ac:dyDescent="0.45">
      <c r="A153" s="5">
        <v>151</v>
      </c>
      <c r="B153" s="6" t="s">
        <v>25</v>
      </c>
      <c r="C153" s="4" t="s">
        <v>41</v>
      </c>
      <c r="D153" s="4" t="s">
        <v>27</v>
      </c>
      <c r="E153" s="4" t="s">
        <v>41</v>
      </c>
      <c r="F153" s="4" t="s">
        <v>443</v>
      </c>
      <c r="G153" s="4" t="s">
        <v>444</v>
      </c>
      <c r="H153" s="4" t="s">
        <v>440</v>
      </c>
      <c r="I153" s="4" t="s">
        <v>441</v>
      </c>
      <c r="J153" s="4" t="s">
        <v>442</v>
      </c>
      <c r="K153" s="4" t="s">
        <v>211</v>
      </c>
      <c r="L153" s="4" t="s">
        <v>86</v>
      </c>
      <c r="M153" s="4" t="s">
        <v>24</v>
      </c>
    </row>
    <row r="154" spans="1:13" ht="60" customHeight="1" x14ac:dyDescent="0.45">
      <c r="A154" s="5">
        <v>152</v>
      </c>
      <c r="B154" s="6" t="s">
        <v>25</v>
      </c>
      <c r="C154" s="4" t="s">
        <v>47</v>
      </c>
      <c r="D154" s="4" t="s">
        <v>27</v>
      </c>
      <c r="E154" s="4" t="s">
        <v>47</v>
      </c>
      <c r="F154" s="4" t="s">
        <v>445</v>
      </c>
      <c r="G154" s="4" t="s">
        <v>446</v>
      </c>
      <c r="H154" s="4" t="s">
        <v>440</v>
      </c>
      <c r="I154" s="4" t="s">
        <v>441</v>
      </c>
      <c r="J154" s="4" t="s">
        <v>442</v>
      </c>
      <c r="K154" s="4" t="s">
        <v>211</v>
      </c>
      <c r="L154" s="4" t="s">
        <v>86</v>
      </c>
      <c r="M154" s="4" t="s">
        <v>24</v>
      </c>
    </row>
    <row r="155" spans="1:13" ht="60" customHeight="1" x14ac:dyDescent="0.45">
      <c r="A155" s="7">
        <v>153</v>
      </c>
      <c r="B155" s="8" t="s">
        <v>31</v>
      </c>
      <c r="C155" s="4" t="s">
        <v>109</v>
      </c>
      <c r="D155" s="4" t="s">
        <v>33</v>
      </c>
      <c r="E155" s="4" t="s">
        <v>109</v>
      </c>
      <c r="F155" s="4" t="s">
        <v>447</v>
      </c>
      <c r="G155" s="4" t="s">
        <v>448</v>
      </c>
      <c r="H155" s="4" t="s">
        <v>440</v>
      </c>
      <c r="I155" s="4" t="s">
        <v>441</v>
      </c>
      <c r="J155" s="4" t="s">
        <v>442</v>
      </c>
      <c r="K155" s="4" t="s">
        <v>211</v>
      </c>
      <c r="L155" s="4" t="s">
        <v>86</v>
      </c>
      <c r="M155" s="4" t="s">
        <v>24</v>
      </c>
    </row>
    <row r="156" spans="1:13" ht="60" customHeight="1" x14ac:dyDescent="0.45">
      <c r="A156" s="5">
        <v>154</v>
      </c>
      <c r="B156" s="6" t="s">
        <v>25</v>
      </c>
      <c r="C156" s="4" t="s">
        <v>41</v>
      </c>
      <c r="D156" s="4" t="s">
        <v>27</v>
      </c>
      <c r="E156" s="4" t="s">
        <v>41</v>
      </c>
      <c r="F156" s="4" t="s">
        <v>449</v>
      </c>
      <c r="G156" s="4" t="s">
        <v>450</v>
      </c>
      <c r="H156" s="4" t="s">
        <v>440</v>
      </c>
      <c r="I156" s="4" t="s">
        <v>441</v>
      </c>
      <c r="J156" s="4" t="s">
        <v>442</v>
      </c>
      <c r="K156" s="4" t="s">
        <v>211</v>
      </c>
      <c r="L156" s="4" t="s">
        <v>86</v>
      </c>
      <c r="M156" s="4" t="s">
        <v>24</v>
      </c>
    </row>
    <row r="157" spans="1:13" ht="60" customHeight="1" x14ac:dyDescent="0.45">
      <c r="A157" s="7">
        <v>155</v>
      </c>
      <c r="B157" s="8" t="s">
        <v>31</v>
      </c>
      <c r="C157" s="4" t="s">
        <v>32</v>
      </c>
      <c r="D157" s="4" t="s">
        <v>33</v>
      </c>
      <c r="E157" s="4" t="s">
        <v>32</v>
      </c>
      <c r="F157" s="4" t="s">
        <v>451</v>
      </c>
      <c r="G157" s="4" t="s">
        <v>452</v>
      </c>
      <c r="H157" s="4" t="s">
        <v>453</v>
      </c>
      <c r="I157" s="4" t="s">
        <v>454</v>
      </c>
      <c r="J157" s="4" t="s">
        <v>21</v>
      </c>
      <c r="K157" s="4" t="s">
        <v>85</v>
      </c>
      <c r="L157" s="4" t="s">
        <v>86</v>
      </c>
      <c r="M157" s="4" t="s">
        <v>24</v>
      </c>
    </row>
    <row r="158" spans="1:13" ht="60" customHeight="1" x14ac:dyDescent="0.45">
      <c r="A158" s="5">
        <v>156</v>
      </c>
      <c r="B158" s="6" t="s">
        <v>25</v>
      </c>
      <c r="C158" s="4" t="s">
        <v>41</v>
      </c>
      <c r="D158" s="4" t="s">
        <v>27</v>
      </c>
      <c r="E158" s="4" t="s">
        <v>41</v>
      </c>
      <c r="F158" s="4" t="s">
        <v>455</v>
      </c>
      <c r="G158" s="4" t="s">
        <v>456</v>
      </c>
      <c r="H158" s="4" t="s">
        <v>453</v>
      </c>
      <c r="I158" s="4" t="s">
        <v>454</v>
      </c>
      <c r="J158" s="4" t="s">
        <v>21</v>
      </c>
      <c r="K158" s="4" t="s">
        <v>85</v>
      </c>
      <c r="L158" s="4" t="s">
        <v>86</v>
      </c>
      <c r="M158" s="4" t="s">
        <v>24</v>
      </c>
    </row>
    <row r="159" spans="1:13" ht="60" customHeight="1" x14ac:dyDescent="0.45">
      <c r="A159" s="7">
        <v>157</v>
      </c>
      <c r="B159" s="8" t="s">
        <v>31</v>
      </c>
      <c r="C159" s="4" t="s">
        <v>109</v>
      </c>
      <c r="D159" s="4" t="s">
        <v>33</v>
      </c>
      <c r="E159" s="4" t="s">
        <v>109</v>
      </c>
      <c r="F159" s="4" t="s">
        <v>457</v>
      </c>
      <c r="G159" s="4" t="s">
        <v>458</v>
      </c>
      <c r="H159" s="4" t="s">
        <v>453</v>
      </c>
      <c r="I159" s="4" t="s">
        <v>454</v>
      </c>
      <c r="J159" s="4" t="s">
        <v>21</v>
      </c>
      <c r="K159" s="4" t="s">
        <v>85</v>
      </c>
      <c r="L159" s="4" t="s">
        <v>86</v>
      </c>
      <c r="M159" s="4" t="s">
        <v>24</v>
      </c>
    </row>
    <row r="160" spans="1:13" ht="60" customHeight="1" x14ac:dyDescent="0.45">
      <c r="A160" s="7">
        <v>158</v>
      </c>
      <c r="B160" s="8" t="s">
        <v>31</v>
      </c>
      <c r="C160" s="4" t="s">
        <v>32</v>
      </c>
      <c r="D160" s="4" t="s">
        <v>33</v>
      </c>
      <c r="E160" s="4" t="s">
        <v>32</v>
      </c>
      <c r="F160" s="4" t="s">
        <v>459</v>
      </c>
      <c r="G160" s="4" t="s">
        <v>460</v>
      </c>
      <c r="H160" s="4" t="s">
        <v>453</v>
      </c>
      <c r="I160" s="4" t="s">
        <v>454</v>
      </c>
      <c r="J160" s="4" t="s">
        <v>21</v>
      </c>
      <c r="K160" s="4" t="s">
        <v>85</v>
      </c>
      <c r="L160" s="4" t="s">
        <v>86</v>
      </c>
      <c r="M160" s="4" t="s">
        <v>24</v>
      </c>
    </row>
    <row r="161" spans="1:13" ht="60" customHeight="1" x14ac:dyDescent="0.45">
      <c r="A161" s="2">
        <v>159</v>
      </c>
      <c r="B161" s="3" t="s">
        <v>14</v>
      </c>
      <c r="C161" s="4" t="s">
        <v>29</v>
      </c>
      <c r="D161" s="4" t="s">
        <v>16</v>
      </c>
      <c r="E161" s="4" t="s">
        <v>29</v>
      </c>
      <c r="F161" s="4" t="s">
        <v>461</v>
      </c>
      <c r="G161" s="4" t="s">
        <v>462</v>
      </c>
      <c r="H161" s="4" t="s">
        <v>453</v>
      </c>
      <c r="I161" s="4" t="s">
        <v>454</v>
      </c>
      <c r="J161" s="4" t="s">
        <v>21</v>
      </c>
      <c r="K161" s="4" t="s">
        <v>85</v>
      </c>
      <c r="L161" s="4" t="s">
        <v>86</v>
      </c>
      <c r="M161" s="4" t="s">
        <v>24</v>
      </c>
    </row>
    <row r="162" spans="1:13" ht="60" customHeight="1" x14ac:dyDescent="0.45">
      <c r="A162" s="5">
        <v>160</v>
      </c>
      <c r="B162" s="6" t="s">
        <v>25</v>
      </c>
      <c r="C162" s="4" t="s">
        <v>41</v>
      </c>
      <c r="D162" s="4" t="s">
        <v>27</v>
      </c>
      <c r="E162" s="4" t="s">
        <v>41</v>
      </c>
      <c r="F162" s="4" t="s">
        <v>463</v>
      </c>
      <c r="G162" s="4" t="s">
        <v>464</v>
      </c>
      <c r="H162" s="4" t="s">
        <v>465</v>
      </c>
      <c r="I162" s="4" t="s">
        <v>466</v>
      </c>
      <c r="J162" s="4" t="s">
        <v>21</v>
      </c>
      <c r="K162" s="4" t="s">
        <v>39</v>
      </c>
      <c r="L162" s="4" t="s">
        <v>40</v>
      </c>
      <c r="M162" s="4" t="s">
        <v>24</v>
      </c>
    </row>
    <row r="163" spans="1:13" ht="60" customHeight="1" x14ac:dyDescent="0.45">
      <c r="A163" s="5">
        <v>161</v>
      </c>
      <c r="B163" s="6" t="s">
        <v>25</v>
      </c>
      <c r="C163" s="4" t="s">
        <v>41</v>
      </c>
      <c r="D163" s="4" t="s">
        <v>27</v>
      </c>
      <c r="E163" s="4" t="s">
        <v>41</v>
      </c>
      <c r="F163" s="4" t="s">
        <v>467</v>
      </c>
      <c r="G163" s="4" t="s">
        <v>468</v>
      </c>
      <c r="H163" s="4" t="s">
        <v>469</v>
      </c>
      <c r="I163" s="4" t="s">
        <v>470</v>
      </c>
      <c r="J163" s="4" t="s">
        <v>198</v>
      </c>
      <c r="K163" s="4" t="s">
        <v>403</v>
      </c>
      <c r="L163" s="4" t="s">
        <v>86</v>
      </c>
      <c r="M163" s="4" t="s">
        <v>24</v>
      </c>
    </row>
    <row r="164" spans="1:13" ht="60" customHeight="1" x14ac:dyDescent="0.45">
      <c r="A164" s="7">
        <v>162</v>
      </c>
      <c r="B164" s="8" t="s">
        <v>31</v>
      </c>
      <c r="C164" s="4" t="s">
        <v>32</v>
      </c>
      <c r="D164" s="4" t="s">
        <v>33</v>
      </c>
      <c r="E164" s="4" t="s">
        <v>32</v>
      </c>
      <c r="F164" s="4" t="s">
        <v>471</v>
      </c>
      <c r="G164" s="4" t="s">
        <v>472</v>
      </c>
      <c r="H164" s="4" t="s">
        <v>469</v>
      </c>
      <c r="I164" s="4" t="s">
        <v>470</v>
      </c>
      <c r="J164" s="4" t="s">
        <v>198</v>
      </c>
      <c r="K164" s="4" t="s">
        <v>403</v>
      </c>
      <c r="L164" s="4" t="s">
        <v>86</v>
      </c>
      <c r="M164" s="4" t="s">
        <v>24</v>
      </c>
    </row>
    <row r="165" spans="1:13" ht="60" customHeight="1" x14ac:dyDescent="0.45">
      <c r="A165" s="5">
        <v>163</v>
      </c>
      <c r="B165" s="6" t="s">
        <v>25</v>
      </c>
      <c r="C165" s="4" t="s">
        <v>41</v>
      </c>
      <c r="D165" s="4" t="s">
        <v>27</v>
      </c>
      <c r="E165" s="4" t="s">
        <v>41</v>
      </c>
      <c r="F165" s="4" t="s">
        <v>473</v>
      </c>
      <c r="G165" s="4" t="s">
        <v>474</v>
      </c>
      <c r="H165" s="4" t="s">
        <v>469</v>
      </c>
      <c r="I165" s="4" t="s">
        <v>470</v>
      </c>
      <c r="J165" s="4" t="s">
        <v>198</v>
      </c>
      <c r="K165" s="4" t="s">
        <v>403</v>
      </c>
      <c r="L165" s="4" t="s">
        <v>86</v>
      </c>
      <c r="M165" s="4" t="s">
        <v>24</v>
      </c>
    </row>
    <row r="166" spans="1:13" ht="60" customHeight="1" x14ac:dyDescent="0.45">
      <c r="A166" s="5">
        <v>164</v>
      </c>
      <c r="B166" s="6" t="s">
        <v>25</v>
      </c>
      <c r="C166" s="4" t="s">
        <v>62</v>
      </c>
      <c r="D166" s="4" t="s">
        <v>27</v>
      </c>
      <c r="E166" s="4" t="s">
        <v>62</v>
      </c>
      <c r="F166" s="4" t="s">
        <v>475</v>
      </c>
      <c r="G166" s="4" t="s">
        <v>476</v>
      </c>
      <c r="H166" s="4" t="s">
        <v>469</v>
      </c>
      <c r="I166" s="4" t="s">
        <v>470</v>
      </c>
      <c r="J166" s="4" t="s">
        <v>198</v>
      </c>
      <c r="K166" s="4" t="s">
        <v>403</v>
      </c>
      <c r="L166" s="4" t="s">
        <v>86</v>
      </c>
      <c r="M166" s="4" t="s">
        <v>24</v>
      </c>
    </row>
    <row r="167" spans="1:13" ht="60" customHeight="1" x14ac:dyDescent="0.45">
      <c r="A167" s="5">
        <v>165</v>
      </c>
      <c r="B167" s="6" t="s">
        <v>25</v>
      </c>
      <c r="C167" s="4" t="s">
        <v>62</v>
      </c>
      <c r="D167" s="4" t="s">
        <v>27</v>
      </c>
      <c r="E167" s="4" t="s">
        <v>62</v>
      </c>
      <c r="F167" s="4" t="s">
        <v>477</v>
      </c>
      <c r="G167" s="4" t="s">
        <v>478</v>
      </c>
      <c r="H167" s="4" t="s">
        <v>479</v>
      </c>
      <c r="I167" s="4" t="s">
        <v>480</v>
      </c>
      <c r="J167" s="4" t="s">
        <v>481</v>
      </c>
      <c r="K167" s="4" t="s">
        <v>307</v>
      </c>
      <c r="L167" s="4" t="s">
        <v>86</v>
      </c>
      <c r="M167" s="4" t="s">
        <v>24</v>
      </c>
    </row>
    <row r="168" spans="1:13" ht="60" customHeight="1" x14ac:dyDescent="0.45">
      <c r="A168" s="5">
        <v>166</v>
      </c>
      <c r="B168" s="6" t="s">
        <v>25</v>
      </c>
      <c r="C168" s="4" t="s">
        <v>41</v>
      </c>
      <c r="D168" s="4" t="s">
        <v>27</v>
      </c>
      <c r="E168" s="4" t="s">
        <v>41</v>
      </c>
      <c r="F168" s="4" t="s">
        <v>482</v>
      </c>
      <c r="G168" s="4" t="s">
        <v>483</v>
      </c>
      <c r="H168" s="4" t="s">
        <v>479</v>
      </c>
      <c r="I168" s="4" t="s">
        <v>480</v>
      </c>
      <c r="J168" s="4" t="s">
        <v>481</v>
      </c>
      <c r="K168" s="4" t="s">
        <v>307</v>
      </c>
      <c r="L168" s="4" t="s">
        <v>86</v>
      </c>
      <c r="M168" s="4" t="s">
        <v>24</v>
      </c>
    </row>
    <row r="169" spans="1:13" ht="60" customHeight="1" x14ac:dyDescent="0.45">
      <c r="A169" s="5">
        <v>167</v>
      </c>
      <c r="B169" s="6" t="s">
        <v>25</v>
      </c>
      <c r="C169" s="4" t="s">
        <v>47</v>
      </c>
      <c r="D169" s="4" t="s">
        <v>27</v>
      </c>
      <c r="E169" s="4" t="s">
        <v>47</v>
      </c>
      <c r="F169" s="4" t="s">
        <v>484</v>
      </c>
      <c r="G169" s="4" t="s">
        <v>485</v>
      </c>
      <c r="H169" s="4" t="s">
        <v>479</v>
      </c>
      <c r="I169" s="4" t="s">
        <v>480</v>
      </c>
      <c r="J169" s="4" t="s">
        <v>481</v>
      </c>
      <c r="K169" s="4" t="s">
        <v>307</v>
      </c>
      <c r="L169" s="4" t="s">
        <v>86</v>
      </c>
      <c r="M169" s="4" t="s">
        <v>24</v>
      </c>
    </row>
    <row r="170" spans="1:13" ht="60" customHeight="1" x14ac:dyDescent="0.45">
      <c r="A170" s="5">
        <v>168</v>
      </c>
      <c r="B170" s="6" t="s">
        <v>25</v>
      </c>
      <c r="C170" s="4" t="s">
        <v>62</v>
      </c>
      <c r="D170" s="4" t="s">
        <v>27</v>
      </c>
      <c r="E170" s="4" t="s">
        <v>62</v>
      </c>
      <c r="F170" s="4" t="s">
        <v>486</v>
      </c>
      <c r="G170" s="4" t="s">
        <v>487</v>
      </c>
      <c r="H170" s="4" t="s">
        <v>479</v>
      </c>
      <c r="I170" s="4" t="s">
        <v>480</v>
      </c>
      <c r="J170" s="4" t="s">
        <v>481</v>
      </c>
      <c r="K170" s="4" t="s">
        <v>307</v>
      </c>
      <c r="L170" s="4" t="s">
        <v>86</v>
      </c>
      <c r="M170" s="4" t="s">
        <v>24</v>
      </c>
    </row>
    <row r="171" spans="1:13" ht="60" customHeight="1" x14ac:dyDescent="0.45">
      <c r="A171" s="5">
        <v>169</v>
      </c>
      <c r="B171" s="6" t="s">
        <v>25</v>
      </c>
      <c r="C171" s="4" t="s">
        <v>41</v>
      </c>
      <c r="D171" s="4" t="s">
        <v>27</v>
      </c>
      <c r="E171" s="4" t="s">
        <v>41</v>
      </c>
      <c r="F171" s="4" t="s">
        <v>488</v>
      </c>
      <c r="G171" s="4" t="s">
        <v>489</v>
      </c>
      <c r="H171" s="4" t="s">
        <v>479</v>
      </c>
      <c r="I171" s="4" t="s">
        <v>480</v>
      </c>
      <c r="J171" s="4" t="s">
        <v>481</v>
      </c>
      <c r="K171" s="4" t="s">
        <v>307</v>
      </c>
      <c r="L171" s="4" t="s">
        <v>86</v>
      </c>
      <c r="M171" s="4" t="s">
        <v>24</v>
      </c>
    </row>
    <row r="172" spans="1:13" ht="60" customHeight="1" x14ac:dyDescent="0.45">
      <c r="A172" s="2">
        <v>170</v>
      </c>
      <c r="B172" s="3" t="s">
        <v>14</v>
      </c>
      <c r="C172" s="4" t="s">
        <v>29</v>
      </c>
      <c r="D172" s="4" t="s">
        <v>16</v>
      </c>
      <c r="E172" s="4" t="s">
        <v>29</v>
      </c>
      <c r="F172" s="4" t="s">
        <v>490</v>
      </c>
      <c r="G172" s="4" t="s">
        <v>491</v>
      </c>
      <c r="H172" s="4" t="s">
        <v>479</v>
      </c>
      <c r="I172" s="4" t="s">
        <v>480</v>
      </c>
      <c r="J172" s="4" t="s">
        <v>481</v>
      </c>
      <c r="K172" s="4" t="s">
        <v>307</v>
      </c>
      <c r="L172" s="4" t="s">
        <v>86</v>
      </c>
      <c r="M172" s="4" t="s">
        <v>24</v>
      </c>
    </row>
    <row r="173" spans="1:13" ht="60" customHeight="1" x14ac:dyDescent="0.45">
      <c r="A173" s="7">
        <v>171</v>
      </c>
      <c r="B173" s="8" t="s">
        <v>31</v>
      </c>
      <c r="C173" s="4" t="s">
        <v>32</v>
      </c>
      <c r="D173" s="4" t="s">
        <v>33</v>
      </c>
      <c r="E173" s="4" t="s">
        <v>32</v>
      </c>
      <c r="F173" s="4" t="s">
        <v>492</v>
      </c>
      <c r="G173" s="4" t="s">
        <v>493</v>
      </c>
      <c r="H173" s="4" t="s">
        <v>479</v>
      </c>
      <c r="I173" s="4" t="s">
        <v>480</v>
      </c>
      <c r="J173" s="4" t="s">
        <v>481</v>
      </c>
      <c r="K173" s="4" t="s">
        <v>307</v>
      </c>
      <c r="L173" s="4" t="s">
        <v>86</v>
      </c>
      <c r="M173" s="4" t="s">
        <v>24</v>
      </c>
    </row>
    <row r="174" spans="1:13" ht="60" customHeight="1" x14ac:dyDescent="0.45">
      <c r="A174" s="5">
        <v>172</v>
      </c>
      <c r="B174" s="6" t="s">
        <v>25</v>
      </c>
      <c r="C174" s="4" t="s">
        <v>47</v>
      </c>
      <c r="D174" s="4" t="s">
        <v>27</v>
      </c>
      <c r="E174" s="4" t="s">
        <v>47</v>
      </c>
      <c r="F174" s="4" t="s">
        <v>494</v>
      </c>
      <c r="G174" s="4" t="s">
        <v>495</v>
      </c>
      <c r="H174" s="4" t="s">
        <v>479</v>
      </c>
      <c r="I174" s="4" t="s">
        <v>480</v>
      </c>
      <c r="J174" s="4" t="s">
        <v>481</v>
      </c>
      <c r="K174" s="4" t="s">
        <v>307</v>
      </c>
      <c r="L174" s="4" t="s">
        <v>86</v>
      </c>
      <c r="M174" s="4" t="s">
        <v>24</v>
      </c>
    </row>
    <row r="175" spans="1:13" ht="60" customHeight="1" x14ac:dyDescent="0.45">
      <c r="A175" s="5">
        <v>173</v>
      </c>
      <c r="B175" s="6" t="s">
        <v>25</v>
      </c>
      <c r="C175" s="4" t="s">
        <v>41</v>
      </c>
      <c r="D175" s="4" t="s">
        <v>27</v>
      </c>
      <c r="E175" s="4" t="s">
        <v>41</v>
      </c>
      <c r="F175" s="4" t="s">
        <v>496</v>
      </c>
      <c r="G175" s="4" t="s">
        <v>497</v>
      </c>
      <c r="H175" s="4" t="s">
        <v>498</v>
      </c>
      <c r="I175" s="4" t="s">
        <v>499</v>
      </c>
      <c r="J175" s="4" t="s">
        <v>500</v>
      </c>
      <c r="K175" s="4" t="s">
        <v>501</v>
      </c>
      <c r="L175" s="4" t="s">
        <v>86</v>
      </c>
      <c r="M175" s="4" t="s">
        <v>24</v>
      </c>
    </row>
    <row r="176" spans="1:13" ht="60" customHeight="1" x14ac:dyDescent="0.45">
      <c r="A176" s="5">
        <v>174</v>
      </c>
      <c r="B176" s="6" t="s">
        <v>25</v>
      </c>
      <c r="C176" s="4" t="s">
        <v>44</v>
      </c>
      <c r="D176" s="4" t="s">
        <v>27</v>
      </c>
      <c r="E176" s="4" t="s">
        <v>44</v>
      </c>
      <c r="F176" s="4" t="s">
        <v>502</v>
      </c>
      <c r="G176" s="4" t="s">
        <v>503</v>
      </c>
      <c r="H176" s="4" t="s">
        <v>498</v>
      </c>
      <c r="I176" s="4" t="s">
        <v>499</v>
      </c>
      <c r="J176" s="4" t="s">
        <v>500</v>
      </c>
      <c r="K176" s="4" t="s">
        <v>501</v>
      </c>
      <c r="L176" s="4" t="s">
        <v>86</v>
      </c>
      <c r="M176" s="4" t="s">
        <v>24</v>
      </c>
    </row>
    <row r="177" spans="1:13" ht="60" customHeight="1" x14ac:dyDescent="0.45">
      <c r="A177" s="5">
        <v>175</v>
      </c>
      <c r="B177" s="6" t="s">
        <v>25</v>
      </c>
      <c r="C177" s="4" t="s">
        <v>47</v>
      </c>
      <c r="D177" s="4" t="s">
        <v>27</v>
      </c>
      <c r="E177" s="4" t="s">
        <v>47</v>
      </c>
      <c r="F177" s="4" t="s">
        <v>502</v>
      </c>
      <c r="G177" s="4" t="s">
        <v>504</v>
      </c>
      <c r="H177" s="4" t="s">
        <v>498</v>
      </c>
      <c r="I177" s="4" t="s">
        <v>499</v>
      </c>
      <c r="J177" s="4" t="s">
        <v>500</v>
      </c>
      <c r="K177" s="4" t="s">
        <v>501</v>
      </c>
      <c r="L177" s="4" t="s">
        <v>86</v>
      </c>
      <c r="M177" s="4" t="s">
        <v>24</v>
      </c>
    </row>
    <row r="178" spans="1:13" ht="60" customHeight="1" x14ac:dyDescent="0.45">
      <c r="A178" s="5">
        <v>176</v>
      </c>
      <c r="B178" s="6" t="s">
        <v>25</v>
      </c>
      <c r="C178" s="4" t="s">
        <v>62</v>
      </c>
      <c r="D178" s="4" t="s">
        <v>27</v>
      </c>
      <c r="E178" s="4" t="s">
        <v>62</v>
      </c>
      <c r="F178" s="4" t="s">
        <v>505</v>
      </c>
      <c r="G178" s="4" t="s">
        <v>506</v>
      </c>
      <c r="H178" s="4" t="s">
        <v>498</v>
      </c>
      <c r="I178" s="4" t="s">
        <v>499</v>
      </c>
      <c r="J178" s="4" t="s">
        <v>500</v>
      </c>
      <c r="K178" s="4" t="s">
        <v>501</v>
      </c>
      <c r="L178" s="4" t="s">
        <v>86</v>
      </c>
      <c r="M178" s="4" t="s">
        <v>24</v>
      </c>
    </row>
    <row r="179" spans="1:13" ht="60" customHeight="1" x14ac:dyDescent="0.45">
      <c r="A179" s="5">
        <v>177</v>
      </c>
      <c r="B179" s="6" t="s">
        <v>25</v>
      </c>
      <c r="C179" s="4" t="s">
        <v>44</v>
      </c>
      <c r="D179" s="4" t="s">
        <v>27</v>
      </c>
      <c r="E179" s="4" t="s">
        <v>44</v>
      </c>
      <c r="F179" s="4" t="s">
        <v>507</v>
      </c>
      <c r="G179" s="4" t="s">
        <v>508</v>
      </c>
      <c r="H179" s="4" t="s">
        <v>509</v>
      </c>
      <c r="I179" s="4" t="s">
        <v>510</v>
      </c>
      <c r="J179" s="4" t="s">
        <v>511</v>
      </c>
      <c r="K179" s="4" t="s">
        <v>127</v>
      </c>
      <c r="L179" s="4" t="s">
        <v>23</v>
      </c>
      <c r="M179" s="4" t="s">
        <v>24</v>
      </c>
    </row>
    <row r="180" spans="1:13" ht="60" customHeight="1" x14ac:dyDescent="0.45">
      <c r="A180" s="5">
        <v>178</v>
      </c>
      <c r="B180" s="6" t="s">
        <v>25</v>
      </c>
      <c r="C180" s="4" t="s">
        <v>41</v>
      </c>
      <c r="D180" s="4" t="s">
        <v>27</v>
      </c>
      <c r="E180" s="4" t="s">
        <v>41</v>
      </c>
      <c r="F180" s="4" t="s">
        <v>512</v>
      </c>
      <c r="G180" s="4" t="s">
        <v>513</v>
      </c>
      <c r="H180" s="4" t="s">
        <v>509</v>
      </c>
      <c r="I180" s="4" t="s">
        <v>510</v>
      </c>
      <c r="J180" s="4" t="s">
        <v>511</v>
      </c>
      <c r="K180" s="4" t="s">
        <v>127</v>
      </c>
      <c r="L180" s="4" t="s">
        <v>23</v>
      </c>
      <c r="M180" s="4" t="s">
        <v>24</v>
      </c>
    </row>
    <row r="181" spans="1:13" ht="60" customHeight="1" x14ac:dyDescent="0.45">
      <c r="A181" s="2">
        <v>179</v>
      </c>
      <c r="B181" s="3" t="s">
        <v>14</v>
      </c>
      <c r="C181" s="4" t="s">
        <v>29</v>
      </c>
      <c r="D181" s="4" t="s">
        <v>16</v>
      </c>
      <c r="E181" s="4" t="s">
        <v>29</v>
      </c>
      <c r="F181" s="4" t="s">
        <v>514</v>
      </c>
      <c r="G181" s="4" t="s">
        <v>515</v>
      </c>
      <c r="H181" s="4" t="s">
        <v>509</v>
      </c>
      <c r="I181" s="4" t="s">
        <v>510</v>
      </c>
      <c r="J181" s="4" t="s">
        <v>511</v>
      </c>
      <c r="K181" s="4" t="s">
        <v>127</v>
      </c>
      <c r="L181" s="4" t="s">
        <v>23</v>
      </c>
      <c r="M181" s="4" t="s">
        <v>24</v>
      </c>
    </row>
    <row r="182" spans="1:13" ht="60" customHeight="1" x14ac:dyDescent="0.45">
      <c r="A182" s="2">
        <v>180</v>
      </c>
      <c r="B182" s="3" t="s">
        <v>14</v>
      </c>
      <c r="C182" s="4" t="s">
        <v>96</v>
      </c>
      <c r="D182" s="4" t="s">
        <v>16</v>
      </c>
      <c r="E182" s="4" t="s">
        <v>96</v>
      </c>
      <c r="F182" s="4" t="s">
        <v>516</v>
      </c>
      <c r="G182" s="4" t="s">
        <v>517</v>
      </c>
      <c r="H182" s="4" t="s">
        <v>509</v>
      </c>
      <c r="I182" s="4" t="s">
        <v>510</v>
      </c>
      <c r="J182" s="4" t="s">
        <v>511</v>
      </c>
      <c r="K182" s="4" t="s">
        <v>127</v>
      </c>
      <c r="L182" s="4" t="s">
        <v>23</v>
      </c>
      <c r="M182" s="4" t="s">
        <v>24</v>
      </c>
    </row>
    <row r="183" spans="1:13" ht="60" customHeight="1" x14ac:dyDescent="0.45">
      <c r="A183" s="7">
        <v>181</v>
      </c>
      <c r="B183" s="8" t="s">
        <v>31</v>
      </c>
      <c r="C183" s="4" t="s">
        <v>32</v>
      </c>
      <c r="D183" s="4" t="s">
        <v>33</v>
      </c>
      <c r="E183" s="4" t="s">
        <v>32</v>
      </c>
      <c r="F183" s="4" t="s">
        <v>518</v>
      </c>
      <c r="G183" s="4" t="s">
        <v>519</v>
      </c>
      <c r="H183" s="4" t="s">
        <v>509</v>
      </c>
      <c r="I183" s="4" t="s">
        <v>510</v>
      </c>
      <c r="J183" s="4" t="s">
        <v>511</v>
      </c>
      <c r="K183" s="4" t="s">
        <v>127</v>
      </c>
      <c r="L183" s="4" t="s">
        <v>23</v>
      </c>
      <c r="M183" s="4" t="s">
        <v>24</v>
      </c>
    </row>
    <row r="184" spans="1:13" ht="60" customHeight="1" x14ac:dyDescent="0.45">
      <c r="A184" s="5">
        <v>182</v>
      </c>
      <c r="B184" s="6" t="s">
        <v>25</v>
      </c>
      <c r="C184" s="4" t="s">
        <v>26</v>
      </c>
      <c r="D184" s="4" t="s">
        <v>27</v>
      </c>
      <c r="E184" s="4" t="s">
        <v>26</v>
      </c>
      <c r="F184" s="4" t="s">
        <v>520</v>
      </c>
      <c r="G184" s="4" t="s">
        <v>521</v>
      </c>
      <c r="H184" s="4" t="s">
        <v>509</v>
      </c>
      <c r="I184" s="4" t="s">
        <v>510</v>
      </c>
      <c r="J184" s="4" t="s">
        <v>511</v>
      </c>
      <c r="K184" s="4" t="s">
        <v>127</v>
      </c>
      <c r="L184" s="4" t="s">
        <v>23</v>
      </c>
      <c r="M184" s="4" t="s">
        <v>24</v>
      </c>
    </row>
    <row r="185" spans="1:13" ht="60" customHeight="1" x14ac:dyDescent="0.45">
      <c r="A185" s="7">
        <v>183</v>
      </c>
      <c r="B185" s="8" t="s">
        <v>31</v>
      </c>
      <c r="C185" s="4" t="s">
        <v>109</v>
      </c>
      <c r="D185" s="4" t="s">
        <v>33</v>
      </c>
      <c r="E185" s="4" t="s">
        <v>109</v>
      </c>
      <c r="F185" s="4" t="s">
        <v>522</v>
      </c>
      <c r="G185" s="4" t="s">
        <v>523</v>
      </c>
      <c r="H185" s="4" t="s">
        <v>509</v>
      </c>
      <c r="I185" s="4" t="s">
        <v>510</v>
      </c>
      <c r="J185" s="4" t="s">
        <v>511</v>
      </c>
      <c r="K185" s="4" t="s">
        <v>127</v>
      </c>
      <c r="L185" s="4" t="s">
        <v>23</v>
      </c>
      <c r="M185" s="4" t="s">
        <v>24</v>
      </c>
    </row>
    <row r="186" spans="1:13" ht="60" customHeight="1" x14ac:dyDescent="0.45">
      <c r="A186" s="5">
        <v>184</v>
      </c>
      <c r="B186" s="6" t="s">
        <v>25</v>
      </c>
      <c r="C186" s="4" t="s">
        <v>47</v>
      </c>
      <c r="D186" s="4" t="s">
        <v>27</v>
      </c>
      <c r="E186" s="4" t="s">
        <v>47</v>
      </c>
      <c r="F186" s="4" t="s">
        <v>524</v>
      </c>
      <c r="G186" s="4" t="s">
        <v>525</v>
      </c>
      <c r="H186" s="4" t="s">
        <v>526</v>
      </c>
      <c r="I186" s="4" t="s">
        <v>527</v>
      </c>
      <c r="J186" s="4" t="s">
        <v>528</v>
      </c>
      <c r="K186" s="4" t="s">
        <v>85</v>
      </c>
      <c r="L186" s="4" t="s">
        <v>86</v>
      </c>
      <c r="M186" s="4" t="s">
        <v>24</v>
      </c>
    </row>
    <row r="187" spans="1:13" ht="60" customHeight="1" x14ac:dyDescent="0.45">
      <c r="A187" s="2">
        <v>185</v>
      </c>
      <c r="B187" s="3" t="s">
        <v>14</v>
      </c>
      <c r="C187" s="4" t="s">
        <v>29</v>
      </c>
      <c r="D187" s="4" t="s">
        <v>16</v>
      </c>
      <c r="E187" s="4" t="s">
        <v>29</v>
      </c>
      <c r="F187" s="4" t="s">
        <v>529</v>
      </c>
      <c r="G187" s="4" t="s">
        <v>530</v>
      </c>
      <c r="H187" s="4" t="s">
        <v>526</v>
      </c>
      <c r="I187" s="4" t="s">
        <v>527</v>
      </c>
      <c r="J187" s="4" t="s">
        <v>528</v>
      </c>
      <c r="K187" s="4" t="s">
        <v>85</v>
      </c>
      <c r="L187" s="4" t="s">
        <v>86</v>
      </c>
      <c r="M187" s="4" t="s">
        <v>24</v>
      </c>
    </row>
    <row r="188" spans="1:13" ht="60" customHeight="1" x14ac:dyDescent="0.45">
      <c r="A188" s="2">
        <v>186</v>
      </c>
      <c r="B188" s="3" t="s">
        <v>14</v>
      </c>
      <c r="C188" s="4" t="s">
        <v>29</v>
      </c>
      <c r="D188" s="4" t="s">
        <v>16</v>
      </c>
      <c r="E188" s="4" t="s">
        <v>29</v>
      </c>
      <c r="F188" s="4" t="s">
        <v>531</v>
      </c>
      <c r="G188" s="4" t="s">
        <v>532</v>
      </c>
      <c r="H188" s="4" t="s">
        <v>526</v>
      </c>
      <c r="I188" s="4" t="s">
        <v>527</v>
      </c>
      <c r="J188" s="4" t="s">
        <v>528</v>
      </c>
      <c r="K188" s="4" t="s">
        <v>85</v>
      </c>
      <c r="L188" s="4" t="s">
        <v>86</v>
      </c>
      <c r="M188" s="4" t="s">
        <v>24</v>
      </c>
    </row>
    <row r="189" spans="1:13" ht="60" customHeight="1" x14ac:dyDescent="0.45">
      <c r="A189" s="5">
        <v>187</v>
      </c>
      <c r="B189" s="6" t="s">
        <v>25</v>
      </c>
      <c r="C189" s="4" t="s">
        <v>41</v>
      </c>
      <c r="D189" s="4" t="s">
        <v>27</v>
      </c>
      <c r="E189" s="4" t="s">
        <v>41</v>
      </c>
      <c r="F189" s="4" t="s">
        <v>533</v>
      </c>
      <c r="G189" s="4" t="s">
        <v>534</v>
      </c>
      <c r="H189" s="4" t="s">
        <v>526</v>
      </c>
      <c r="I189" s="4" t="s">
        <v>527</v>
      </c>
      <c r="J189" s="4" t="s">
        <v>528</v>
      </c>
      <c r="K189" s="4" t="s">
        <v>85</v>
      </c>
      <c r="L189" s="4" t="s">
        <v>86</v>
      </c>
      <c r="M189" s="4" t="s">
        <v>24</v>
      </c>
    </row>
    <row r="190" spans="1:13" ht="60" customHeight="1" x14ac:dyDescent="0.45">
      <c r="A190" s="7">
        <v>188</v>
      </c>
      <c r="B190" s="8" t="s">
        <v>31</v>
      </c>
      <c r="C190" s="4" t="s">
        <v>32</v>
      </c>
      <c r="D190" s="4" t="s">
        <v>33</v>
      </c>
      <c r="E190" s="4" t="s">
        <v>32</v>
      </c>
      <c r="F190" s="4" t="s">
        <v>535</v>
      </c>
      <c r="G190" s="4" t="s">
        <v>536</v>
      </c>
      <c r="H190" s="4" t="s">
        <v>526</v>
      </c>
      <c r="I190" s="4" t="s">
        <v>527</v>
      </c>
      <c r="J190" s="4" t="s">
        <v>528</v>
      </c>
      <c r="K190" s="4" t="s">
        <v>85</v>
      </c>
      <c r="L190" s="4" t="s">
        <v>86</v>
      </c>
      <c r="M190" s="4" t="s">
        <v>24</v>
      </c>
    </row>
    <row r="191" spans="1:13" ht="60" customHeight="1" x14ac:dyDescent="0.45">
      <c r="A191" s="5">
        <v>189</v>
      </c>
      <c r="B191" s="6" t="s">
        <v>25</v>
      </c>
      <c r="C191" s="4" t="s">
        <v>62</v>
      </c>
      <c r="D191" s="4" t="s">
        <v>27</v>
      </c>
      <c r="E191" s="4" t="s">
        <v>62</v>
      </c>
      <c r="F191" s="4" t="s">
        <v>537</v>
      </c>
      <c r="G191" s="4" t="s">
        <v>538</v>
      </c>
      <c r="H191" s="4" t="s">
        <v>539</v>
      </c>
      <c r="I191" s="4" t="s">
        <v>540</v>
      </c>
      <c r="J191" s="4" t="s">
        <v>142</v>
      </c>
      <c r="K191" s="4" t="s">
        <v>57</v>
      </c>
      <c r="L191" s="4" t="s">
        <v>40</v>
      </c>
      <c r="M191" s="4" t="s">
        <v>24</v>
      </c>
    </row>
    <row r="192" spans="1:13" ht="60" customHeight="1" x14ac:dyDescent="0.45">
      <c r="A192" s="5">
        <v>190</v>
      </c>
      <c r="B192" s="6" t="s">
        <v>25</v>
      </c>
      <c r="C192" s="4" t="s">
        <v>47</v>
      </c>
      <c r="D192" s="4" t="s">
        <v>27</v>
      </c>
      <c r="E192" s="4" t="s">
        <v>47</v>
      </c>
      <c r="F192" s="4" t="s">
        <v>541</v>
      </c>
      <c r="G192" s="4" t="s">
        <v>542</v>
      </c>
      <c r="H192" s="4" t="s">
        <v>539</v>
      </c>
      <c r="I192" s="4" t="s">
        <v>540</v>
      </c>
      <c r="J192" s="4" t="s">
        <v>142</v>
      </c>
      <c r="K192" s="4" t="s">
        <v>57</v>
      </c>
      <c r="L192" s="4" t="s">
        <v>40</v>
      </c>
      <c r="M192" s="4" t="s">
        <v>24</v>
      </c>
    </row>
    <row r="193" spans="1:13" ht="60" customHeight="1" x14ac:dyDescent="0.45">
      <c r="A193" s="7">
        <v>191</v>
      </c>
      <c r="B193" s="8" t="s">
        <v>31</v>
      </c>
      <c r="C193" s="4" t="s">
        <v>32</v>
      </c>
      <c r="D193" s="4" t="s">
        <v>33</v>
      </c>
      <c r="E193" s="4" t="s">
        <v>32</v>
      </c>
      <c r="F193" s="4" t="s">
        <v>543</v>
      </c>
      <c r="G193" s="4" t="s">
        <v>544</v>
      </c>
      <c r="H193" s="4" t="s">
        <v>539</v>
      </c>
      <c r="I193" s="4" t="s">
        <v>540</v>
      </c>
      <c r="J193" s="4" t="s">
        <v>142</v>
      </c>
      <c r="K193" s="4" t="s">
        <v>57</v>
      </c>
      <c r="L193" s="4" t="s">
        <v>40</v>
      </c>
      <c r="M193" s="4" t="s">
        <v>24</v>
      </c>
    </row>
    <row r="194" spans="1:13" ht="60" customHeight="1" x14ac:dyDescent="0.45">
      <c r="A194" s="5">
        <v>192</v>
      </c>
      <c r="B194" s="6" t="s">
        <v>25</v>
      </c>
      <c r="C194" s="4" t="s">
        <v>41</v>
      </c>
      <c r="D194" s="4" t="s">
        <v>27</v>
      </c>
      <c r="E194" s="4" t="s">
        <v>41</v>
      </c>
      <c r="F194" s="4" t="s">
        <v>545</v>
      </c>
      <c r="G194" s="4" t="s">
        <v>546</v>
      </c>
      <c r="H194" s="4" t="s">
        <v>539</v>
      </c>
      <c r="I194" s="4" t="s">
        <v>540</v>
      </c>
      <c r="J194" s="4" t="s">
        <v>142</v>
      </c>
      <c r="K194" s="4" t="s">
        <v>57</v>
      </c>
      <c r="L194" s="4" t="s">
        <v>40</v>
      </c>
      <c r="M194" s="4" t="s">
        <v>24</v>
      </c>
    </row>
    <row r="195" spans="1:13" ht="60" customHeight="1" x14ac:dyDescent="0.45">
      <c r="A195" s="5">
        <v>193</v>
      </c>
      <c r="B195" s="6" t="s">
        <v>25</v>
      </c>
      <c r="C195" s="4" t="s">
        <v>44</v>
      </c>
      <c r="D195" s="4" t="s">
        <v>27</v>
      </c>
      <c r="E195" s="4" t="s">
        <v>44</v>
      </c>
      <c r="F195" s="4" t="s">
        <v>547</v>
      </c>
      <c r="G195" s="4" t="s">
        <v>548</v>
      </c>
      <c r="H195" s="4" t="s">
        <v>539</v>
      </c>
      <c r="I195" s="4" t="s">
        <v>540</v>
      </c>
      <c r="J195" s="4" t="s">
        <v>142</v>
      </c>
      <c r="K195" s="4" t="s">
        <v>57</v>
      </c>
      <c r="L195" s="4" t="s">
        <v>40</v>
      </c>
      <c r="M195" s="4" t="s">
        <v>24</v>
      </c>
    </row>
    <row r="196" spans="1:13" ht="60" customHeight="1" x14ac:dyDescent="0.45">
      <c r="A196" s="5">
        <v>194</v>
      </c>
      <c r="B196" s="6" t="s">
        <v>25</v>
      </c>
      <c r="C196" s="4" t="s">
        <v>47</v>
      </c>
      <c r="D196" s="4" t="s">
        <v>27</v>
      </c>
      <c r="E196" s="4" t="s">
        <v>47</v>
      </c>
      <c r="F196" s="4" t="s">
        <v>549</v>
      </c>
      <c r="G196" s="4" t="s">
        <v>550</v>
      </c>
      <c r="H196" s="4" t="s">
        <v>539</v>
      </c>
      <c r="I196" s="4" t="s">
        <v>540</v>
      </c>
      <c r="J196" s="4" t="s">
        <v>142</v>
      </c>
      <c r="K196" s="4" t="s">
        <v>57</v>
      </c>
      <c r="L196" s="4" t="s">
        <v>40</v>
      </c>
      <c r="M196" s="4" t="s">
        <v>24</v>
      </c>
    </row>
    <row r="197" spans="1:13" ht="60" customHeight="1" x14ac:dyDescent="0.45">
      <c r="A197" s="5">
        <v>195</v>
      </c>
      <c r="B197" s="6" t="s">
        <v>25</v>
      </c>
      <c r="C197" s="4" t="s">
        <v>114</v>
      </c>
      <c r="D197" s="4" t="s">
        <v>27</v>
      </c>
      <c r="E197" s="4" t="s">
        <v>114</v>
      </c>
      <c r="F197" s="4" t="s">
        <v>551</v>
      </c>
      <c r="G197" s="4" t="s">
        <v>552</v>
      </c>
      <c r="H197" s="4" t="s">
        <v>553</v>
      </c>
      <c r="I197" s="4" t="s">
        <v>554</v>
      </c>
      <c r="J197" s="4" t="s">
        <v>555</v>
      </c>
      <c r="K197" s="4" t="s">
        <v>403</v>
      </c>
      <c r="L197" s="4" t="s">
        <v>86</v>
      </c>
      <c r="M197" s="4" t="s">
        <v>87</v>
      </c>
    </row>
    <row r="198" spans="1:13" ht="60" customHeight="1" x14ac:dyDescent="0.45">
      <c r="A198" s="7">
        <v>196</v>
      </c>
      <c r="B198" s="8" t="s">
        <v>31</v>
      </c>
      <c r="C198" s="4" t="s">
        <v>109</v>
      </c>
      <c r="D198" s="4" t="s">
        <v>33</v>
      </c>
      <c r="E198" s="4" t="s">
        <v>109</v>
      </c>
      <c r="F198" s="4" t="s">
        <v>551</v>
      </c>
      <c r="G198" s="4" t="s">
        <v>556</v>
      </c>
      <c r="H198" s="4" t="s">
        <v>553</v>
      </c>
      <c r="I198" s="4" t="s">
        <v>554</v>
      </c>
      <c r="J198" s="4" t="s">
        <v>555</v>
      </c>
      <c r="K198" s="4" t="s">
        <v>403</v>
      </c>
      <c r="L198" s="4" t="s">
        <v>86</v>
      </c>
      <c r="M198" s="4" t="s">
        <v>87</v>
      </c>
    </row>
    <row r="199" spans="1:13" ht="60" customHeight="1" x14ac:dyDescent="0.45">
      <c r="A199" s="5">
        <v>197</v>
      </c>
      <c r="B199" s="6" t="s">
        <v>25</v>
      </c>
      <c r="C199" s="4" t="s">
        <v>114</v>
      </c>
      <c r="D199" s="4" t="s">
        <v>27</v>
      </c>
      <c r="E199" s="4" t="s">
        <v>114</v>
      </c>
      <c r="F199" s="4" t="s">
        <v>557</v>
      </c>
      <c r="G199" s="4" t="s">
        <v>558</v>
      </c>
      <c r="H199" s="4" t="s">
        <v>553</v>
      </c>
      <c r="I199" s="4" t="s">
        <v>554</v>
      </c>
      <c r="J199" s="4" t="s">
        <v>555</v>
      </c>
      <c r="K199" s="4" t="s">
        <v>403</v>
      </c>
      <c r="L199" s="4" t="s">
        <v>86</v>
      </c>
      <c r="M199" s="4" t="s">
        <v>87</v>
      </c>
    </row>
    <row r="200" spans="1:13" ht="60" customHeight="1" x14ac:dyDescent="0.45">
      <c r="A200" s="5">
        <v>198</v>
      </c>
      <c r="B200" s="6" t="s">
        <v>25</v>
      </c>
      <c r="C200" s="4" t="s">
        <v>114</v>
      </c>
      <c r="D200" s="4" t="s">
        <v>27</v>
      </c>
      <c r="E200" s="4" t="s">
        <v>114</v>
      </c>
      <c r="F200" s="4" t="s">
        <v>559</v>
      </c>
      <c r="G200" s="4" t="s">
        <v>560</v>
      </c>
      <c r="H200" s="4" t="s">
        <v>561</v>
      </c>
      <c r="I200" s="4" t="s">
        <v>562</v>
      </c>
      <c r="J200" s="4" t="s">
        <v>555</v>
      </c>
      <c r="K200" s="4" t="s">
        <v>563</v>
      </c>
      <c r="L200" s="4" t="s">
        <v>177</v>
      </c>
      <c r="M200" s="4" t="s">
        <v>87</v>
      </c>
    </row>
    <row r="201" spans="1:13" ht="60" customHeight="1" x14ac:dyDescent="0.45">
      <c r="A201" s="5">
        <v>199</v>
      </c>
      <c r="B201" s="6" t="s">
        <v>25</v>
      </c>
      <c r="C201" s="4" t="s">
        <v>26</v>
      </c>
      <c r="D201" s="4" t="s">
        <v>27</v>
      </c>
      <c r="E201" s="4" t="s">
        <v>26</v>
      </c>
      <c r="F201" s="4" t="s">
        <v>559</v>
      </c>
      <c r="G201" s="4" t="s">
        <v>564</v>
      </c>
      <c r="H201" s="4" t="s">
        <v>561</v>
      </c>
      <c r="I201" s="4" t="s">
        <v>562</v>
      </c>
      <c r="J201" s="4" t="s">
        <v>555</v>
      </c>
      <c r="K201" s="4" t="s">
        <v>563</v>
      </c>
      <c r="L201" s="4" t="s">
        <v>177</v>
      </c>
      <c r="M201" s="4" t="s">
        <v>87</v>
      </c>
    </row>
    <row r="202" spans="1:13" ht="60" customHeight="1" x14ac:dyDescent="0.45">
      <c r="A202" s="7">
        <v>200</v>
      </c>
      <c r="B202" s="8" t="s">
        <v>31</v>
      </c>
      <c r="C202" s="4" t="s">
        <v>79</v>
      </c>
      <c r="D202" s="4" t="s">
        <v>33</v>
      </c>
      <c r="E202" s="4" t="s">
        <v>79</v>
      </c>
      <c r="F202" s="4" t="s">
        <v>559</v>
      </c>
      <c r="G202" s="4" t="s">
        <v>565</v>
      </c>
      <c r="H202" s="4" t="s">
        <v>561</v>
      </c>
      <c r="I202" s="4" t="s">
        <v>562</v>
      </c>
      <c r="J202" s="4" t="s">
        <v>555</v>
      </c>
      <c r="K202" s="4" t="s">
        <v>563</v>
      </c>
      <c r="L202" s="4" t="s">
        <v>177</v>
      </c>
      <c r="M202" s="4" t="s">
        <v>87</v>
      </c>
    </row>
    <row r="203" spans="1:13" ht="60" customHeight="1" x14ac:dyDescent="0.45">
      <c r="A203" s="2">
        <v>201</v>
      </c>
      <c r="B203" s="3" t="s">
        <v>14</v>
      </c>
      <c r="C203" s="4" t="s">
        <v>29</v>
      </c>
      <c r="D203" s="4" t="s">
        <v>16</v>
      </c>
      <c r="E203" s="4" t="s">
        <v>29</v>
      </c>
      <c r="F203" s="4" t="s">
        <v>566</v>
      </c>
      <c r="G203" s="4" t="s">
        <v>567</v>
      </c>
      <c r="H203" s="4" t="s">
        <v>561</v>
      </c>
      <c r="I203" s="4" t="s">
        <v>562</v>
      </c>
      <c r="J203" s="4" t="s">
        <v>555</v>
      </c>
      <c r="K203" s="4" t="s">
        <v>563</v>
      </c>
      <c r="L203" s="4" t="s">
        <v>177</v>
      </c>
      <c r="M203" s="4" t="s">
        <v>87</v>
      </c>
    </row>
    <row r="204" spans="1:13" ht="60" customHeight="1" x14ac:dyDescent="0.45">
      <c r="A204" s="5">
        <v>202</v>
      </c>
      <c r="B204" s="6" t="s">
        <v>25</v>
      </c>
      <c r="C204" s="4" t="s">
        <v>114</v>
      </c>
      <c r="D204" s="4" t="s">
        <v>27</v>
      </c>
      <c r="E204" s="4" t="s">
        <v>114</v>
      </c>
      <c r="F204" s="4" t="s">
        <v>568</v>
      </c>
      <c r="G204" s="4" t="s">
        <v>569</v>
      </c>
      <c r="H204" s="4" t="s">
        <v>561</v>
      </c>
      <c r="I204" s="4" t="s">
        <v>562</v>
      </c>
      <c r="J204" s="4" t="s">
        <v>555</v>
      </c>
      <c r="K204" s="4" t="s">
        <v>563</v>
      </c>
      <c r="L204" s="4" t="s">
        <v>177</v>
      </c>
      <c r="M204" s="4" t="s">
        <v>87</v>
      </c>
    </row>
    <row r="205" spans="1:13" ht="60" customHeight="1" x14ac:dyDescent="0.45">
      <c r="A205" s="5">
        <v>203</v>
      </c>
      <c r="B205" s="6" t="s">
        <v>25</v>
      </c>
      <c r="C205" s="4" t="s">
        <v>26</v>
      </c>
      <c r="D205" s="4" t="s">
        <v>27</v>
      </c>
      <c r="E205" s="4" t="s">
        <v>26</v>
      </c>
      <c r="F205" s="4" t="s">
        <v>568</v>
      </c>
      <c r="G205" s="4" t="s">
        <v>570</v>
      </c>
      <c r="H205" s="4" t="s">
        <v>561</v>
      </c>
      <c r="I205" s="4" t="s">
        <v>562</v>
      </c>
      <c r="J205" s="4" t="s">
        <v>555</v>
      </c>
      <c r="K205" s="4" t="s">
        <v>563</v>
      </c>
      <c r="L205" s="4" t="s">
        <v>177</v>
      </c>
      <c r="M205" s="4" t="s">
        <v>87</v>
      </c>
    </row>
    <row r="206" spans="1:13" ht="60" customHeight="1" x14ac:dyDescent="0.45">
      <c r="A206" s="5">
        <v>204</v>
      </c>
      <c r="B206" s="6" t="s">
        <v>25</v>
      </c>
      <c r="C206" s="4" t="s">
        <v>26</v>
      </c>
      <c r="D206" s="4" t="s">
        <v>27</v>
      </c>
      <c r="E206" s="4" t="s">
        <v>26</v>
      </c>
      <c r="F206" s="4" t="s">
        <v>571</v>
      </c>
      <c r="G206" s="4" t="s">
        <v>572</v>
      </c>
      <c r="H206" s="4" t="s">
        <v>561</v>
      </c>
      <c r="I206" s="4" t="s">
        <v>562</v>
      </c>
      <c r="J206" s="4" t="s">
        <v>555</v>
      </c>
      <c r="K206" s="4" t="s">
        <v>563</v>
      </c>
      <c r="L206" s="4" t="s">
        <v>177</v>
      </c>
      <c r="M206" s="4" t="s">
        <v>87</v>
      </c>
    </row>
    <row r="207" spans="1:13" ht="60" customHeight="1" x14ac:dyDescent="0.45">
      <c r="A207" s="7">
        <v>205</v>
      </c>
      <c r="B207" s="8" t="s">
        <v>31</v>
      </c>
      <c r="C207" s="4" t="s">
        <v>109</v>
      </c>
      <c r="D207" s="4" t="s">
        <v>33</v>
      </c>
      <c r="E207" s="4" t="s">
        <v>109</v>
      </c>
      <c r="F207" s="4" t="s">
        <v>571</v>
      </c>
      <c r="G207" s="4" t="s">
        <v>573</v>
      </c>
      <c r="H207" s="4" t="s">
        <v>561</v>
      </c>
      <c r="I207" s="4" t="s">
        <v>562</v>
      </c>
      <c r="J207" s="4" t="s">
        <v>555</v>
      </c>
      <c r="K207" s="4" t="s">
        <v>563</v>
      </c>
      <c r="L207" s="4" t="s">
        <v>177</v>
      </c>
      <c r="M207" s="4" t="s">
        <v>87</v>
      </c>
    </row>
    <row r="208" spans="1:13" ht="60" customHeight="1" x14ac:dyDescent="0.45">
      <c r="A208" s="5">
        <v>206</v>
      </c>
      <c r="B208" s="6" t="s">
        <v>25</v>
      </c>
      <c r="C208" s="4" t="s">
        <v>114</v>
      </c>
      <c r="D208" s="4" t="s">
        <v>27</v>
      </c>
      <c r="E208" s="4" t="s">
        <v>114</v>
      </c>
      <c r="F208" s="4" t="s">
        <v>574</v>
      </c>
      <c r="G208" s="4" t="s">
        <v>575</v>
      </c>
      <c r="H208" s="4" t="s">
        <v>561</v>
      </c>
      <c r="I208" s="4" t="s">
        <v>562</v>
      </c>
      <c r="J208" s="4" t="s">
        <v>555</v>
      </c>
      <c r="K208" s="4" t="s">
        <v>563</v>
      </c>
      <c r="L208" s="4" t="s">
        <v>177</v>
      </c>
      <c r="M208" s="4" t="s">
        <v>87</v>
      </c>
    </row>
    <row r="209" spans="1:13" ht="60" customHeight="1" x14ac:dyDescent="0.45">
      <c r="A209" s="7">
        <v>207</v>
      </c>
      <c r="B209" s="8" t="s">
        <v>31</v>
      </c>
      <c r="C209" s="4" t="s">
        <v>109</v>
      </c>
      <c r="D209" s="4" t="s">
        <v>33</v>
      </c>
      <c r="E209" s="4" t="s">
        <v>109</v>
      </c>
      <c r="F209" s="4" t="s">
        <v>576</v>
      </c>
      <c r="G209" s="4" t="s">
        <v>577</v>
      </c>
      <c r="H209" s="4" t="s">
        <v>561</v>
      </c>
      <c r="I209" s="4" t="s">
        <v>562</v>
      </c>
      <c r="J209" s="4" t="s">
        <v>555</v>
      </c>
      <c r="K209" s="4" t="s">
        <v>563</v>
      </c>
      <c r="L209" s="4" t="s">
        <v>177</v>
      </c>
      <c r="M209" s="4" t="s">
        <v>87</v>
      </c>
    </row>
    <row r="210" spans="1:13" ht="60" customHeight="1" x14ac:dyDescent="0.45">
      <c r="A210" s="5">
        <v>208</v>
      </c>
      <c r="B210" s="6" t="s">
        <v>25</v>
      </c>
      <c r="C210" s="4" t="s">
        <v>114</v>
      </c>
      <c r="D210" s="4" t="s">
        <v>27</v>
      </c>
      <c r="E210" s="4" t="s">
        <v>114</v>
      </c>
      <c r="F210" s="4" t="s">
        <v>578</v>
      </c>
      <c r="G210" s="4" t="s">
        <v>579</v>
      </c>
      <c r="H210" s="4" t="s">
        <v>561</v>
      </c>
      <c r="I210" s="4" t="s">
        <v>562</v>
      </c>
      <c r="J210" s="4" t="s">
        <v>555</v>
      </c>
      <c r="K210" s="4" t="s">
        <v>563</v>
      </c>
      <c r="L210" s="4" t="s">
        <v>177</v>
      </c>
      <c r="M210" s="4" t="s">
        <v>87</v>
      </c>
    </row>
    <row r="211" spans="1:13" ht="60" customHeight="1" x14ac:dyDescent="0.45">
      <c r="A211" s="5">
        <v>209</v>
      </c>
      <c r="B211" s="6" t="s">
        <v>25</v>
      </c>
      <c r="C211" s="4" t="s">
        <v>114</v>
      </c>
      <c r="D211" s="4" t="s">
        <v>27</v>
      </c>
      <c r="E211" s="4" t="s">
        <v>114</v>
      </c>
      <c r="F211" s="4" t="s">
        <v>580</v>
      </c>
      <c r="G211" s="4" t="s">
        <v>581</v>
      </c>
      <c r="H211" s="4" t="s">
        <v>561</v>
      </c>
      <c r="I211" s="4" t="s">
        <v>562</v>
      </c>
      <c r="J211" s="4" t="s">
        <v>555</v>
      </c>
      <c r="K211" s="4" t="s">
        <v>563</v>
      </c>
      <c r="L211" s="4" t="s">
        <v>177</v>
      </c>
      <c r="M211" s="4" t="s">
        <v>87</v>
      </c>
    </row>
    <row r="212" spans="1:13" ht="60" customHeight="1" x14ac:dyDescent="0.45">
      <c r="A212" s="7">
        <v>210</v>
      </c>
      <c r="B212" s="8" t="s">
        <v>31</v>
      </c>
      <c r="C212" s="4" t="s">
        <v>79</v>
      </c>
      <c r="D212" s="4" t="s">
        <v>33</v>
      </c>
      <c r="E212" s="4" t="s">
        <v>79</v>
      </c>
      <c r="F212" s="4" t="s">
        <v>580</v>
      </c>
      <c r="G212" s="4" t="s">
        <v>582</v>
      </c>
      <c r="H212" s="4" t="s">
        <v>561</v>
      </c>
      <c r="I212" s="4" t="s">
        <v>562</v>
      </c>
      <c r="J212" s="4" t="s">
        <v>555</v>
      </c>
      <c r="K212" s="4" t="s">
        <v>563</v>
      </c>
      <c r="L212" s="4" t="s">
        <v>177</v>
      </c>
      <c r="M212" s="4" t="s">
        <v>87</v>
      </c>
    </row>
    <row r="213" spans="1:13" ht="60" customHeight="1" x14ac:dyDescent="0.45">
      <c r="A213" s="2">
        <v>211</v>
      </c>
      <c r="B213" s="3" t="s">
        <v>14</v>
      </c>
      <c r="C213" s="4" t="s">
        <v>137</v>
      </c>
      <c r="D213" s="4" t="s">
        <v>16</v>
      </c>
      <c r="E213" s="4" t="s">
        <v>137</v>
      </c>
      <c r="F213" s="4" t="s">
        <v>583</v>
      </c>
      <c r="G213" s="4" t="s">
        <v>584</v>
      </c>
      <c r="H213" s="4" t="s">
        <v>585</v>
      </c>
      <c r="I213" s="4" t="s">
        <v>586</v>
      </c>
      <c r="J213" s="4" t="s">
        <v>21</v>
      </c>
      <c r="K213" s="4" t="s">
        <v>211</v>
      </c>
      <c r="L213" s="4" t="s">
        <v>86</v>
      </c>
      <c r="M213" s="4" t="s">
        <v>24</v>
      </c>
    </row>
    <row r="214" spans="1:13" ht="60" customHeight="1" x14ac:dyDescent="0.45">
      <c r="A214" s="5">
        <v>212</v>
      </c>
      <c r="B214" s="6" t="s">
        <v>25</v>
      </c>
      <c r="C214" s="4" t="s">
        <v>44</v>
      </c>
      <c r="D214" s="4" t="s">
        <v>27</v>
      </c>
      <c r="E214" s="4" t="s">
        <v>44</v>
      </c>
      <c r="F214" s="4" t="s">
        <v>587</v>
      </c>
      <c r="G214" s="4" t="s">
        <v>588</v>
      </c>
      <c r="H214" s="4" t="s">
        <v>585</v>
      </c>
      <c r="I214" s="4" t="s">
        <v>586</v>
      </c>
      <c r="J214" s="4" t="s">
        <v>21</v>
      </c>
      <c r="K214" s="4" t="s">
        <v>211</v>
      </c>
      <c r="L214" s="4" t="s">
        <v>86</v>
      </c>
      <c r="M214" s="4" t="s">
        <v>24</v>
      </c>
    </row>
    <row r="215" spans="1:13" ht="60" customHeight="1" x14ac:dyDescent="0.45">
      <c r="A215" s="7">
        <v>213</v>
      </c>
      <c r="B215" s="8" t="s">
        <v>31</v>
      </c>
      <c r="C215" s="4" t="s">
        <v>32</v>
      </c>
      <c r="D215" s="4" t="s">
        <v>33</v>
      </c>
      <c r="E215" s="4" t="s">
        <v>32</v>
      </c>
      <c r="F215" s="4" t="s">
        <v>587</v>
      </c>
      <c r="G215" s="4" t="s">
        <v>589</v>
      </c>
      <c r="H215" s="4" t="s">
        <v>585</v>
      </c>
      <c r="I215" s="4" t="s">
        <v>586</v>
      </c>
      <c r="J215" s="4" t="s">
        <v>21</v>
      </c>
      <c r="K215" s="4" t="s">
        <v>211</v>
      </c>
      <c r="L215" s="4" t="s">
        <v>86</v>
      </c>
      <c r="M215" s="4" t="s">
        <v>24</v>
      </c>
    </row>
    <row r="216" spans="1:13" ht="60" customHeight="1" x14ac:dyDescent="0.45">
      <c r="A216" s="5">
        <v>214</v>
      </c>
      <c r="B216" s="6" t="s">
        <v>25</v>
      </c>
      <c r="C216" s="4" t="s">
        <v>62</v>
      </c>
      <c r="D216" s="4" t="s">
        <v>27</v>
      </c>
      <c r="E216" s="4" t="s">
        <v>62</v>
      </c>
      <c r="F216" s="4" t="s">
        <v>590</v>
      </c>
      <c r="G216" s="4" t="s">
        <v>591</v>
      </c>
      <c r="H216" s="4" t="s">
        <v>585</v>
      </c>
      <c r="I216" s="4" t="s">
        <v>586</v>
      </c>
      <c r="J216" s="4" t="s">
        <v>21</v>
      </c>
      <c r="K216" s="4" t="s">
        <v>211</v>
      </c>
      <c r="L216" s="4" t="s">
        <v>86</v>
      </c>
      <c r="M216" s="4" t="s">
        <v>24</v>
      </c>
    </row>
    <row r="217" spans="1:13" ht="60" customHeight="1" x14ac:dyDescent="0.45">
      <c r="A217" s="7">
        <v>215</v>
      </c>
      <c r="B217" s="8" t="s">
        <v>31</v>
      </c>
      <c r="C217" s="4" t="s">
        <v>32</v>
      </c>
      <c r="D217" s="4" t="s">
        <v>33</v>
      </c>
      <c r="E217" s="4" t="s">
        <v>32</v>
      </c>
      <c r="F217" s="4" t="s">
        <v>592</v>
      </c>
      <c r="G217" s="4" t="s">
        <v>593</v>
      </c>
      <c r="H217" s="4" t="s">
        <v>594</v>
      </c>
      <c r="I217" s="4" t="s">
        <v>595</v>
      </c>
      <c r="J217" s="4" t="s">
        <v>21</v>
      </c>
      <c r="K217" s="4" t="s">
        <v>39</v>
      </c>
      <c r="L217" s="4" t="s">
        <v>40</v>
      </c>
      <c r="M217" s="4" t="s">
        <v>24</v>
      </c>
    </row>
    <row r="218" spans="1:13" ht="60" customHeight="1" x14ac:dyDescent="0.45">
      <c r="A218" s="2">
        <v>216</v>
      </c>
      <c r="B218" s="3" t="s">
        <v>14</v>
      </c>
      <c r="C218" s="4" t="s">
        <v>137</v>
      </c>
      <c r="D218" s="4" t="s">
        <v>16</v>
      </c>
      <c r="E218" s="4" t="s">
        <v>137</v>
      </c>
      <c r="F218" s="4" t="s">
        <v>596</v>
      </c>
      <c r="G218" s="4" t="s">
        <v>597</v>
      </c>
      <c r="H218" s="4" t="s">
        <v>594</v>
      </c>
      <c r="I218" s="4" t="s">
        <v>595</v>
      </c>
      <c r="J218" s="4" t="s">
        <v>21</v>
      </c>
      <c r="K218" s="4" t="s">
        <v>39</v>
      </c>
      <c r="L218" s="4" t="s">
        <v>40</v>
      </c>
      <c r="M218" s="4" t="s">
        <v>24</v>
      </c>
    </row>
    <row r="219" spans="1:13" ht="60" customHeight="1" x14ac:dyDescent="0.45">
      <c r="A219" s="5">
        <v>217</v>
      </c>
      <c r="B219" s="6" t="s">
        <v>25</v>
      </c>
      <c r="C219" s="4" t="s">
        <v>41</v>
      </c>
      <c r="D219" s="4" t="s">
        <v>27</v>
      </c>
      <c r="E219" s="4" t="s">
        <v>41</v>
      </c>
      <c r="F219" s="4" t="s">
        <v>598</v>
      </c>
      <c r="G219" s="4" t="s">
        <v>599</v>
      </c>
      <c r="H219" s="4" t="s">
        <v>594</v>
      </c>
      <c r="I219" s="4" t="s">
        <v>595</v>
      </c>
      <c r="J219" s="4" t="s">
        <v>21</v>
      </c>
      <c r="K219" s="4" t="s">
        <v>39</v>
      </c>
      <c r="L219" s="4" t="s">
        <v>40</v>
      </c>
      <c r="M219" s="4" t="s">
        <v>24</v>
      </c>
    </row>
    <row r="220" spans="1:13" ht="60" customHeight="1" x14ac:dyDescent="0.45">
      <c r="A220" s="7">
        <v>218</v>
      </c>
      <c r="B220" s="8" t="s">
        <v>31</v>
      </c>
      <c r="C220" s="4" t="s">
        <v>32</v>
      </c>
      <c r="D220" s="4" t="s">
        <v>33</v>
      </c>
      <c r="E220" s="4" t="s">
        <v>32</v>
      </c>
      <c r="F220" s="4" t="s">
        <v>600</v>
      </c>
      <c r="G220" s="4" t="s">
        <v>601</v>
      </c>
      <c r="H220" s="4" t="s">
        <v>602</v>
      </c>
      <c r="I220" s="4" t="s">
        <v>603</v>
      </c>
      <c r="J220" s="4" t="s">
        <v>21</v>
      </c>
      <c r="K220" s="4" t="s">
        <v>85</v>
      </c>
      <c r="L220" s="4" t="s">
        <v>86</v>
      </c>
      <c r="M220" s="4" t="s">
        <v>24</v>
      </c>
    </row>
    <row r="221" spans="1:13" ht="60" customHeight="1" x14ac:dyDescent="0.45">
      <c r="A221" s="2">
        <v>219</v>
      </c>
      <c r="B221" s="3" t="s">
        <v>14</v>
      </c>
      <c r="C221" s="4" t="s">
        <v>29</v>
      </c>
      <c r="D221" s="4" t="s">
        <v>16</v>
      </c>
      <c r="E221" s="4" t="s">
        <v>29</v>
      </c>
      <c r="F221" s="4" t="s">
        <v>604</v>
      </c>
      <c r="G221" s="4" t="s">
        <v>605</v>
      </c>
      <c r="H221" s="4" t="s">
        <v>602</v>
      </c>
      <c r="I221" s="4" t="s">
        <v>603</v>
      </c>
      <c r="J221" s="4" t="s">
        <v>21</v>
      </c>
      <c r="K221" s="4" t="s">
        <v>85</v>
      </c>
      <c r="L221" s="4" t="s">
        <v>86</v>
      </c>
      <c r="M221" s="4" t="s">
        <v>24</v>
      </c>
    </row>
    <row r="222" spans="1:13" ht="60" customHeight="1" x14ac:dyDescent="0.45">
      <c r="A222" s="5">
        <v>220</v>
      </c>
      <c r="B222" s="6" t="s">
        <v>25</v>
      </c>
      <c r="C222" s="4" t="s">
        <v>47</v>
      </c>
      <c r="D222" s="4" t="s">
        <v>27</v>
      </c>
      <c r="E222" s="4" t="s">
        <v>47</v>
      </c>
      <c r="F222" s="4" t="s">
        <v>606</v>
      </c>
      <c r="G222" s="4" t="s">
        <v>607</v>
      </c>
      <c r="H222" s="4" t="s">
        <v>608</v>
      </c>
      <c r="I222" s="4" t="s">
        <v>609</v>
      </c>
      <c r="J222" s="4" t="s">
        <v>610</v>
      </c>
      <c r="K222" s="4" t="s">
        <v>85</v>
      </c>
      <c r="L222" s="4" t="s">
        <v>86</v>
      </c>
      <c r="M222" s="4" t="s">
        <v>24</v>
      </c>
    </row>
    <row r="223" spans="1:13" ht="60" customHeight="1" x14ac:dyDescent="0.45">
      <c r="A223" s="5">
        <v>221</v>
      </c>
      <c r="B223" s="6" t="s">
        <v>25</v>
      </c>
      <c r="C223" s="4" t="s">
        <v>26</v>
      </c>
      <c r="D223" s="4" t="s">
        <v>27</v>
      </c>
      <c r="E223" s="4" t="s">
        <v>26</v>
      </c>
      <c r="F223" s="4" t="s">
        <v>611</v>
      </c>
      <c r="G223" s="4" t="s">
        <v>612</v>
      </c>
      <c r="H223" s="4" t="s">
        <v>613</v>
      </c>
      <c r="I223" s="4" t="s">
        <v>614</v>
      </c>
      <c r="J223" s="4" t="s">
        <v>615</v>
      </c>
      <c r="K223" s="4" t="s">
        <v>501</v>
      </c>
      <c r="L223" s="4" t="s">
        <v>86</v>
      </c>
      <c r="M223" s="4" t="s">
        <v>24</v>
      </c>
    </row>
    <row r="224" spans="1:13" ht="60" customHeight="1" x14ac:dyDescent="0.45">
      <c r="A224" s="7">
        <v>222</v>
      </c>
      <c r="B224" s="8" t="s">
        <v>31</v>
      </c>
      <c r="C224" s="4" t="s">
        <v>32</v>
      </c>
      <c r="D224" s="4" t="s">
        <v>33</v>
      </c>
      <c r="E224" s="4" t="s">
        <v>32</v>
      </c>
      <c r="F224" s="4" t="s">
        <v>611</v>
      </c>
      <c r="G224" s="4" t="s">
        <v>616</v>
      </c>
      <c r="H224" s="4" t="s">
        <v>613</v>
      </c>
      <c r="I224" s="4" t="s">
        <v>614</v>
      </c>
      <c r="J224" s="4" t="s">
        <v>615</v>
      </c>
      <c r="K224" s="4" t="s">
        <v>501</v>
      </c>
      <c r="L224" s="4" t="s">
        <v>86</v>
      </c>
      <c r="M224" s="4" t="s">
        <v>24</v>
      </c>
    </row>
    <row r="225" spans="1:13" ht="60" customHeight="1" x14ac:dyDescent="0.45">
      <c r="A225" s="2">
        <v>223</v>
      </c>
      <c r="B225" s="3" t="s">
        <v>14</v>
      </c>
      <c r="C225" s="4" t="s">
        <v>96</v>
      </c>
      <c r="D225" s="4" t="s">
        <v>16</v>
      </c>
      <c r="E225" s="4" t="s">
        <v>96</v>
      </c>
      <c r="F225" s="4" t="s">
        <v>611</v>
      </c>
      <c r="G225" s="4" t="s">
        <v>617</v>
      </c>
      <c r="H225" s="4" t="s">
        <v>613</v>
      </c>
      <c r="I225" s="4" t="s">
        <v>614</v>
      </c>
      <c r="J225" s="4" t="s">
        <v>615</v>
      </c>
      <c r="K225" s="4" t="s">
        <v>501</v>
      </c>
      <c r="L225" s="4" t="s">
        <v>86</v>
      </c>
      <c r="M225" s="4" t="s">
        <v>24</v>
      </c>
    </row>
    <row r="226" spans="1:13" ht="60" customHeight="1" x14ac:dyDescent="0.45">
      <c r="A226" s="7">
        <v>224</v>
      </c>
      <c r="B226" s="8" t="s">
        <v>31</v>
      </c>
      <c r="C226" s="4" t="s">
        <v>32</v>
      </c>
      <c r="D226" s="4" t="s">
        <v>33</v>
      </c>
      <c r="E226" s="4" t="s">
        <v>32</v>
      </c>
      <c r="F226" s="4" t="s">
        <v>618</v>
      </c>
      <c r="G226" s="4" t="s">
        <v>619</v>
      </c>
      <c r="H226" s="4" t="s">
        <v>613</v>
      </c>
      <c r="I226" s="4" t="s">
        <v>614</v>
      </c>
      <c r="J226" s="4" t="s">
        <v>615</v>
      </c>
      <c r="K226" s="4" t="s">
        <v>501</v>
      </c>
      <c r="L226" s="4" t="s">
        <v>86</v>
      </c>
      <c r="M226" s="4" t="s">
        <v>24</v>
      </c>
    </row>
    <row r="227" spans="1:13" ht="60" customHeight="1" x14ac:dyDescent="0.45">
      <c r="A227" s="2">
        <v>225</v>
      </c>
      <c r="B227" s="3" t="s">
        <v>14</v>
      </c>
      <c r="C227" s="4" t="s">
        <v>91</v>
      </c>
      <c r="D227" s="4" t="s">
        <v>16</v>
      </c>
      <c r="E227" s="4" t="s">
        <v>91</v>
      </c>
      <c r="F227" s="4" t="s">
        <v>620</v>
      </c>
      <c r="G227" s="4" t="s">
        <v>621</v>
      </c>
      <c r="H227" s="4" t="s">
        <v>613</v>
      </c>
      <c r="I227" s="4" t="s">
        <v>614</v>
      </c>
      <c r="J227" s="4" t="s">
        <v>615</v>
      </c>
      <c r="K227" s="4" t="s">
        <v>501</v>
      </c>
      <c r="L227" s="4" t="s">
        <v>86</v>
      </c>
      <c r="M227" s="4" t="s">
        <v>24</v>
      </c>
    </row>
    <row r="228" spans="1:13" ht="60" customHeight="1" x14ac:dyDescent="0.45">
      <c r="A228" s="2">
        <v>226</v>
      </c>
      <c r="B228" s="3" t="s">
        <v>14</v>
      </c>
      <c r="C228" s="4" t="s">
        <v>29</v>
      </c>
      <c r="D228" s="4" t="s">
        <v>16</v>
      </c>
      <c r="E228" s="4" t="s">
        <v>29</v>
      </c>
      <c r="F228" s="4" t="s">
        <v>622</v>
      </c>
      <c r="G228" s="4" t="s">
        <v>623</v>
      </c>
      <c r="H228" s="4" t="s">
        <v>613</v>
      </c>
      <c r="I228" s="4" t="s">
        <v>614</v>
      </c>
      <c r="J228" s="4" t="s">
        <v>615</v>
      </c>
      <c r="K228" s="4" t="s">
        <v>501</v>
      </c>
      <c r="L228" s="4" t="s">
        <v>86</v>
      </c>
      <c r="M228" s="4" t="s">
        <v>24</v>
      </c>
    </row>
    <row r="229" spans="1:13" ht="60" customHeight="1" x14ac:dyDescent="0.45">
      <c r="A229" s="5">
        <v>227</v>
      </c>
      <c r="B229" s="6" t="s">
        <v>25</v>
      </c>
      <c r="C229" s="4" t="s">
        <v>26</v>
      </c>
      <c r="D229" s="4" t="s">
        <v>27</v>
      </c>
      <c r="E229" s="4" t="s">
        <v>26</v>
      </c>
      <c r="F229" s="4" t="s">
        <v>624</v>
      </c>
      <c r="G229" s="4" t="s">
        <v>625</v>
      </c>
      <c r="H229" s="4" t="s">
        <v>613</v>
      </c>
      <c r="I229" s="4" t="s">
        <v>614</v>
      </c>
      <c r="J229" s="4" t="s">
        <v>615</v>
      </c>
      <c r="K229" s="4" t="s">
        <v>501</v>
      </c>
      <c r="L229" s="4" t="s">
        <v>86</v>
      </c>
      <c r="M229" s="4" t="s">
        <v>24</v>
      </c>
    </row>
    <row r="230" spans="1:13" ht="60" customHeight="1" x14ac:dyDescent="0.45">
      <c r="A230" s="5">
        <v>228</v>
      </c>
      <c r="B230" s="6" t="s">
        <v>25</v>
      </c>
      <c r="C230" s="4" t="s">
        <v>62</v>
      </c>
      <c r="D230" s="4" t="s">
        <v>27</v>
      </c>
      <c r="E230" s="4" t="s">
        <v>62</v>
      </c>
      <c r="F230" s="4" t="s">
        <v>626</v>
      </c>
      <c r="G230" s="4" t="s">
        <v>627</v>
      </c>
      <c r="H230" s="4" t="s">
        <v>613</v>
      </c>
      <c r="I230" s="4" t="s">
        <v>614</v>
      </c>
      <c r="J230" s="4" t="s">
        <v>615</v>
      </c>
      <c r="K230" s="4" t="s">
        <v>501</v>
      </c>
      <c r="L230" s="4" t="s">
        <v>86</v>
      </c>
      <c r="M230" s="4" t="s">
        <v>24</v>
      </c>
    </row>
    <row r="231" spans="1:13" ht="60" customHeight="1" x14ac:dyDescent="0.45">
      <c r="A231" s="5">
        <v>229</v>
      </c>
      <c r="B231" s="6" t="s">
        <v>25</v>
      </c>
      <c r="C231" s="4" t="s">
        <v>47</v>
      </c>
      <c r="D231" s="4" t="s">
        <v>27</v>
      </c>
      <c r="E231" s="4" t="s">
        <v>47</v>
      </c>
      <c r="F231" s="4" t="s">
        <v>628</v>
      </c>
      <c r="G231" s="4" t="s">
        <v>629</v>
      </c>
      <c r="H231" s="4" t="s">
        <v>630</v>
      </c>
      <c r="I231" s="4" t="s">
        <v>631</v>
      </c>
      <c r="J231" s="4" t="s">
        <v>21</v>
      </c>
      <c r="K231" s="4" t="s">
        <v>85</v>
      </c>
      <c r="L231" s="4" t="s">
        <v>86</v>
      </c>
      <c r="M231" s="4" t="s">
        <v>24</v>
      </c>
    </row>
    <row r="232" spans="1:13" ht="60" customHeight="1" x14ac:dyDescent="0.45">
      <c r="A232" s="7">
        <v>230</v>
      </c>
      <c r="B232" s="8" t="s">
        <v>31</v>
      </c>
      <c r="C232" s="4" t="s">
        <v>32</v>
      </c>
      <c r="D232" s="4" t="s">
        <v>33</v>
      </c>
      <c r="E232" s="4" t="s">
        <v>32</v>
      </c>
      <c r="F232" s="4" t="s">
        <v>632</v>
      </c>
      <c r="G232" s="4" t="s">
        <v>633</v>
      </c>
      <c r="H232" s="4" t="s">
        <v>630</v>
      </c>
      <c r="I232" s="4" t="s">
        <v>631</v>
      </c>
      <c r="J232" s="4" t="s">
        <v>21</v>
      </c>
      <c r="K232" s="4" t="s">
        <v>85</v>
      </c>
      <c r="L232" s="4" t="s">
        <v>86</v>
      </c>
      <c r="M232" s="4" t="s">
        <v>24</v>
      </c>
    </row>
    <row r="233" spans="1:13" ht="60" customHeight="1" x14ac:dyDescent="0.45">
      <c r="A233" s="5">
        <v>231</v>
      </c>
      <c r="B233" s="6" t="s">
        <v>25</v>
      </c>
      <c r="C233" s="4" t="s">
        <v>47</v>
      </c>
      <c r="D233" s="4" t="s">
        <v>27</v>
      </c>
      <c r="E233" s="4" t="s">
        <v>47</v>
      </c>
      <c r="F233" s="4" t="s">
        <v>634</v>
      </c>
      <c r="G233" s="4" t="s">
        <v>635</v>
      </c>
      <c r="H233" s="4" t="s">
        <v>636</v>
      </c>
      <c r="I233" s="4" t="s">
        <v>637</v>
      </c>
      <c r="J233" s="4" t="s">
        <v>638</v>
      </c>
      <c r="K233" s="4" t="s">
        <v>199</v>
      </c>
      <c r="L233" s="4" t="s">
        <v>200</v>
      </c>
      <c r="M233" s="4" t="s">
        <v>24</v>
      </c>
    </row>
    <row r="234" spans="1:13" ht="60" customHeight="1" x14ac:dyDescent="0.45">
      <c r="A234" s="7">
        <v>232</v>
      </c>
      <c r="B234" s="8" t="s">
        <v>31</v>
      </c>
      <c r="C234" s="4" t="s">
        <v>32</v>
      </c>
      <c r="D234" s="4" t="s">
        <v>33</v>
      </c>
      <c r="E234" s="4" t="s">
        <v>32</v>
      </c>
      <c r="F234" s="4" t="s">
        <v>639</v>
      </c>
      <c r="G234" s="4" t="s">
        <v>640</v>
      </c>
      <c r="H234" s="4" t="s">
        <v>641</v>
      </c>
      <c r="I234" s="4" t="s">
        <v>642</v>
      </c>
      <c r="J234" s="4" t="s">
        <v>21</v>
      </c>
      <c r="K234" s="4" t="s">
        <v>39</v>
      </c>
      <c r="L234" s="4" t="s">
        <v>40</v>
      </c>
      <c r="M234" s="4" t="s">
        <v>24</v>
      </c>
    </row>
    <row r="235" spans="1:13" ht="60" customHeight="1" x14ac:dyDescent="0.45">
      <c r="A235" s="7">
        <v>233</v>
      </c>
      <c r="B235" s="8" t="s">
        <v>31</v>
      </c>
      <c r="C235" s="4" t="s">
        <v>109</v>
      </c>
      <c r="D235" s="4" t="s">
        <v>33</v>
      </c>
      <c r="E235" s="4" t="s">
        <v>109</v>
      </c>
      <c r="F235" s="4" t="s">
        <v>643</v>
      </c>
      <c r="G235" s="4" t="s">
        <v>644</v>
      </c>
      <c r="H235" s="4" t="s">
        <v>645</v>
      </c>
      <c r="I235" s="4" t="s">
        <v>646</v>
      </c>
      <c r="J235" s="4" t="s">
        <v>21</v>
      </c>
      <c r="K235" s="4" t="s">
        <v>403</v>
      </c>
      <c r="L235" s="4" t="s">
        <v>86</v>
      </c>
      <c r="M235" s="4" t="s">
        <v>24</v>
      </c>
    </row>
    <row r="236" spans="1:13" ht="60" customHeight="1" x14ac:dyDescent="0.45">
      <c r="A236" s="7">
        <v>234</v>
      </c>
      <c r="B236" s="8" t="s">
        <v>31</v>
      </c>
      <c r="C236" s="4" t="s">
        <v>32</v>
      </c>
      <c r="D236" s="4" t="s">
        <v>33</v>
      </c>
      <c r="E236" s="4" t="s">
        <v>32</v>
      </c>
      <c r="F236" s="4" t="s">
        <v>647</v>
      </c>
      <c r="G236" s="4" t="s">
        <v>648</v>
      </c>
      <c r="H236" s="4" t="s">
        <v>645</v>
      </c>
      <c r="I236" s="4" t="s">
        <v>646</v>
      </c>
      <c r="J236" s="4" t="s">
        <v>21</v>
      </c>
      <c r="K236" s="4" t="s">
        <v>403</v>
      </c>
      <c r="L236" s="4" t="s">
        <v>86</v>
      </c>
      <c r="M236" s="4" t="s">
        <v>24</v>
      </c>
    </row>
    <row r="237" spans="1:13" ht="60" customHeight="1" x14ac:dyDescent="0.45">
      <c r="A237" s="5">
        <v>235</v>
      </c>
      <c r="B237" s="6" t="s">
        <v>25</v>
      </c>
      <c r="C237" s="4" t="s">
        <v>47</v>
      </c>
      <c r="D237" s="4" t="s">
        <v>27</v>
      </c>
      <c r="E237" s="4" t="s">
        <v>47</v>
      </c>
      <c r="F237" s="4" t="s">
        <v>647</v>
      </c>
      <c r="G237" s="4" t="s">
        <v>649</v>
      </c>
      <c r="H237" s="4" t="s">
        <v>645</v>
      </c>
      <c r="I237" s="4" t="s">
        <v>646</v>
      </c>
      <c r="J237" s="4" t="s">
        <v>21</v>
      </c>
      <c r="K237" s="4" t="s">
        <v>403</v>
      </c>
      <c r="L237" s="4" t="s">
        <v>86</v>
      </c>
      <c r="M237" s="4" t="s">
        <v>24</v>
      </c>
    </row>
    <row r="238" spans="1:13" ht="60" customHeight="1" x14ac:dyDescent="0.45">
      <c r="A238" s="5">
        <v>236</v>
      </c>
      <c r="B238" s="6" t="s">
        <v>25</v>
      </c>
      <c r="C238" s="4" t="s">
        <v>47</v>
      </c>
      <c r="D238" s="4" t="s">
        <v>27</v>
      </c>
      <c r="E238" s="4" t="s">
        <v>47</v>
      </c>
      <c r="F238" s="4" t="s">
        <v>650</v>
      </c>
      <c r="G238" s="4" t="s">
        <v>651</v>
      </c>
      <c r="H238" s="4" t="s">
        <v>652</v>
      </c>
      <c r="I238" s="4" t="s">
        <v>653</v>
      </c>
      <c r="J238" s="4" t="s">
        <v>654</v>
      </c>
      <c r="K238" s="4" t="s">
        <v>501</v>
      </c>
      <c r="L238" s="4" t="s">
        <v>86</v>
      </c>
      <c r="M238" s="4" t="s">
        <v>24</v>
      </c>
    </row>
    <row r="239" spans="1:13" ht="60" customHeight="1" x14ac:dyDescent="0.45">
      <c r="A239" s="7">
        <v>237</v>
      </c>
      <c r="B239" s="8" t="s">
        <v>31</v>
      </c>
      <c r="C239" s="4" t="s">
        <v>32</v>
      </c>
      <c r="D239" s="4" t="s">
        <v>33</v>
      </c>
      <c r="E239" s="4" t="s">
        <v>32</v>
      </c>
      <c r="F239" s="4" t="s">
        <v>655</v>
      </c>
      <c r="G239" s="4" t="s">
        <v>656</v>
      </c>
      <c r="H239" s="4" t="s">
        <v>657</v>
      </c>
      <c r="I239" s="4" t="s">
        <v>658</v>
      </c>
      <c r="J239" s="4" t="s">
        <v>21</v>
      </c>
      <c r="K239" s="4" t="s">
        <v>199</v>
      </c>
      <c r="L239" s="4" t="s">
        <v>200</v>
      </c>
      <c r="M239" s="4" t="s">
        <v>24</v>
      </c>
    </row>
    <row r="240" spans="1:13" ht="60" customHeight="1" x14ac:dyDescent="0.45">
      <c r="A240" s="5">
        <v>238</v>
      </c>
      <c r="B240" s="6" t="s">
        <v>25</v>
      </c>
      <c r="C240" s="4" t="s">
        <v>41</v>
      </c>
      <c r="D240" s="4" t="s">
        <v>27</v>
      </c>
      <c r="E240" s="4" t="s">
        <v>41</v>
      </c>
      <c r="F240" s="4" t="s">
        <v>659</v>
      </c>
      <c r="G240" s="4" t="s">
        <v>660</v>
      </c>
      <c r="H240" s="4" t="s">
        <v>657</v>
      </c>
      <c r="I240" s="4" t="s">
        <v>658</v>
      </c>
      <c r="J240" s="4" t="s">
        <v>21</v>
      </c>
      <c r="K240" s="4" t="s">
        <v>199</v>
      </c>
      <c r="L240" s="4" t="s">
        <v>200</v>
      </c>
      <c r="M240" s="4" t="s">
        <v>24</v>
      </c>
    </row>
    <row r="241" spans="1:13" ht="60" customHeight="1" x14ac:dyDescent="0.45">
      <c r="A241" s="5">
        <v>239</v>
      </c>
      <c r="B241" s="6" t="s">
        <v>25</v>
      </c>
      <c r="C241" s="4" t="s">
        <v>62</v>
      </c>
      <c r="D241" s="4" t="s">
        <v>27</v>
      </c>
      <c r="E241" s="4" t="s">
        <v>62</v>
      </c>
      <c r="F241" s="4" t="s">
        <v>661</v>
      </c>
      <c r="G241" s="4" t="s">
        <v>662</v>
      </c>
      <c r="H241" s="4" t="s">
        <v>657</v>
      </c>
      <c r="I241" s="4" t="s">
        <v>658</v>
      </c>
      <c r="J241" s="4" t="s">
        <v>21</v>
      </c>
      <c r="K241" s="4" t="s">
        <v>199</v>
      </c>
      <c r="L241" s="4" t="s">
        <v>200</v>
      </c>
      <c r="M241" s="4" t="s">
        <v>24</v>
      </c>
    </row>
    <row r="242" spans="1:13" ht="60" customHeight="1" x14ac:dyDescent="0.45">
      <c r="A242" s="2">
        <v>240</v>
      </c>
      <c r="B242" s="3" t="s">
        <v>14</v>
      </c>
      <c r="C242" s="4" t="s">
        <v>29</v>
      </c>
      <c r="D242" s="4" t="s">
        <v>16</v>
      </c>
      <c r="E242" s="4" t="s">
        <v>29</v>
      </c>
      <c r="F242" s="4" t="s">
        <v>663</v>
      </c>
      <c r="G242" s="4" t="s">
        <v>664</v>
      </c>
      <c r="H242" s="4" t="s">
        <v>657</v>
      </c>
      <c r="I242" s="4" t="s">
        <v>658</v>
      </c>
      <c r="J242" s="4" t="s">
        <v>21</v>
      </c>
      <c r="K242" s="4" t="s">
        <v>199</v>
      </c>
      <c r="L242" s="4" t="s">
        <v>200</v>
      </c>
      <c r="M242" s="4" t="s">
        <v>24</v>
      </c>
    </row>
    <row r="243" spans="1:13" ht="60" customHeight="1" x14ac:dyDescent="0.45">
      <c r="A243" s="7">
        <v>241</v>
      </c>
      <c r="B243" s="8" t="s">
        <v>31</v>
      </c>
      <c r="C243" s="4" t="s">
        <v>32</v>
      </c>
      <c r="D243" s="4" t="s">
        <v>33</v>
      </c>
      <c r="E243" s="4" t="s">
        <v>32</v>
      </c>
      <c r="F243" s="4" t="s">
        <v>665</v>
      </c>
      <c r="G243" s="4" t="s">
        <v>666</v>
      </c>
      <c r="H243" s="4" t="s">
        <v>657</v>
      </c>
      <c r="I243" s="4" t="s">
        <v>658</v>
      </c>
      <c r="J243" s="4" t="s">
        <v>21</v>
      </c>
      <c r="K243" s="4" t="s">
        <v>199</v>
      </c>
      <c r="L243" s="4" t="s">
        <v>200</v>
      </c>
      <c r="M243" s="4" t="s">
        <v>24</v>
      </c>
    </row>
    <row r="244" spans="1:13" ht="60" customHeight="1" x14ac:dyDescent="0.45">
      <c r="A244" s="2">
        <v>242</v>
      </c>
      <c r="B244" s="3" t="s">
        <v>14</v>
      </c>
      <c r="C244" s="4" t="s">
        <v>91</v>
      </c>
      <c r="D244" s="4" t="s">
        <v>16</v>
      </c>
      <c r="E244" s="4" t="s">
        <v>91</v>
      </c>
      <c r="F244" s="4" t="s">
        <v>667</v>
      </c>
      <c r="G244" s="4" t="s">
        <v>668</v>
      </c>
      <c r="H244" s="4" t="s">
        <v>669</v>
      </c>
      <c r="I244" s="4" t="s">
        <v>658</v>
      </c>
      <c r="J244" s="4" t="s">
        <v>511</v>
      </c>
      <c r="K244" s="4" t="s">
        <v>501</v>
      </c>
      <c r="L244" s="4" t="s">
        <v>86</v>
      </c>
      <c r="M244" s="4" t="s">
        <v>24</v>
      </c>
    </row>
    <row r="245" spans="1:13" ht="60" customHeight="1" x14ac:dyDescent="0.45">
      <c r="A245" s="5">
        <v>243</v>
      </c>
      <c r="B245" s="6" t="s">
        <v>25</v>
      </c>
      <c r="C245" s="4" t="s">
        <v>47</v>
      </c>
      <c r="D245" s="4" t="s">
        <v>27</v>
      </c>
      <c r="E245" s="4" t="s">
        <v>47</v>
      </c>
      <c r="F245" s="4" t="s">
        <v>670</v>
      </c>
      <c r="G245" s="4" t="s">
        <v>671</v>
      </c>
      <c r="H245" s="4" t="s">
        <v>669</v>
      </c>
      <c r="I245" s="4" t="s">
        <v>658</v>
      </c>
      <c r="J245" s="4" t="s">
        <v>511</v>
      </c>
      <c r="K245" s="4" t="s">
        <v>501</v>
      </c>
      <c r="L245" s="4" t="s">
        <v>86</v>
      </c>
      <c r="M245" s="4" t="s">
        <v>24</v>
      </c>
    </row>
    <row r="246" spans="1:13" ht="60" customHeight="1" x14ac:dyDescent="0.45">
      <c r="A246" s="5">
        <v>244</v>
      </c>
      <c r="B246" s="6" t="s">
        <v>25</v>
      </c>
      <c r="C246" s="4" t="s">
        <v>47</v>
      </c>
      <c r="D246" s="4" t="s">
        <v>27</v>
      </c>
      <c r="E246" s="4" t="s">
        <v>47</v>
      </c>
      <c r="F246" s="4" t="s">
        <v>672</v>
      </c>
      <c r="G246" s="4" t="s">
        <v>673</v>
      </c>
      <c r="H246" s="4" t="s">
        <v>669</v>
      </c>
      <c r="I246" s="4" t="s">
        <v>658</v>
      </c>
      <c r="J246" s="4" t="s">
        <v>511</v>
      </c>
      <c r="K246" s="4" t="s">
        <v>501</v>
      </c>
      <c r="L246" s="4" t="s">
        <v>86</v>
      </c>
      <c r="M246" s="4" t="s">
        <v>24</v>
      </c>
    </row>
    <row r="247" spans="1:13" ht="60" customHeight="1" x14ac:dyDescent="0.45">
      <c r="A247" s="5">
        <v>245</v>
      </c>
      <c r="B247" s="6" t="s">
        <v>25</v>
      </c>
      <c r="C247" s="4" t="s">
        <v>41</v>
      </c>
      <c r="D247" s="4" t="s">
        <v>27</v>
      </c>
      <c r="E247" s="4" t="s">
        <v>41</v>
      </c>
      <c r="F247" s="4" t="s">
        <v>674</v>
      </c>
      <c r="G247" s="4" t="s">
        <v>675</v>
      </c>
      <c r="H247" s="4" t="s">
        <v>669</v>
      </c>
      <c r="I247" s="4" t="s">
        <v>658</v>
      </c>
      <c r="J247" s="4" t="s">
        <v>511</v>
      </c>
      <c r="K247" s="4" t="s">
        <v>501</v>
      </c>
      <c r="L247" s="4" t="s">
        <v>86</v>
      </c>
      <c r="M247" s="4" t="s">
        <v>24</v>
      </c>
    </row>
    <row r="248" spans="1:13" ht="60" customHeight="1" x14ac:dyDescent="0.45">
      <c r="A248" s="2">
        <v>246</v>
      </c>
      <c r="B248" s="3" t="s">
        <v>14</v>
      </c>
      <c r="C248" s="4" t="s">
        <v>15</v>
      </c>
      <c r="D248" s="4" t="s">
        <v>16</v>
      </c>
      <c r="E248" s="4" t="s">
        <v>15</v>
      </c>
      <c r="F248" s="4" t="s">
        <v>676</v>
      </c>
      <c r="G248" s="4" t="s">
        <v>677</v>
      </c>
      <c r="H248" s="4" t="s">
        <v>678</v>
      </c>
      <c r="I248" s="4" t="s">
        <v>679</v>
      </c>
      <c r="J248" s="4" t="s">
        <v>21</v>
      </c>
      <c r="K248" s="4" t="s">
        <v>199</v>
      </c>
      <c r="L248" s="4" t="s">
        <v>200</v>
      </c>
      <c r="M248" s="4" t="s">
        <v>24</v>
      </c>
    </row>
    <row r="249" spans="1:13" ht="60" customHeight="1" x14ac:dyDescent="0.45">
      <c r="A249" s="2">
        <v>247</v>
      </c>
      <c r="B249" s="3" t="s">
        <v>14</v>
      </c>
      <c r="C249" s="4" t="s">
        <v>137</v>
      </c>
      <c r="D249" s="4" t="s">
        <v>16</v>
      </c>
      <c r="E249" s="4" t="s">
        <v>137</v>
      </c>
      <c r="F249" s="4" t="s">
        <v>680</v>
      </c>
      <c r="G249" s="4" t="s">
        <v>681</v>
      </c>
      <c r="H249" s="4" t="s">
        <v>678</v>
      </c>
      <c r="I249" s="4" t="s">
        <v>679</v>
      </c>
      <c r="J249" s="4" t="s">
        <v>21</v>
      </c>
      <c r="K249" s="4" t="s">
        <v>199</v>
      </c>
      <c r="L249" s="4" t="s">
        <v>200</v>
      </c>
      <c r="M249" s="4" t="s">
        <v>24</v>
      </c>
    </row>
    <row r="250" spans="1:13" ht="60" customHeight="1" x14ac:dyDescent="0.45">
      <c r="A250" s="5">
        <v>248</v>
      </c>
      <c r="B250" s="6" t="s">
        <v>25</v>
      </c>
      <c r="C250" s="4" t="s">
        <v>47</v>
      </c>
      <c r="D250" s="4" t="s">
        <v>27</v>
      </c>
      <c r="E250" s="4" t="s">
        <v>47</v>
      </c>
      <c r="F250" s="4" t="s">
        <v>682</v>
      </c>
      <c r="G250" s="4" t="s">
        <v>683</v>
      </c>
      <c r="H250" s="4" t="s">
        <v>678</v>
      </c>
      <c r="I250" s="4" t="s">
        <v>679</v>
      </c>
      <c r="J250" s="4" t="s">
        <v>21</v>
      </c>
      <c r="K250" s="4" t="s">
        <v>199</v>
      </c>
      <c r="L250" s="4" t="s">
        <v>200</v>
      </c>
      <c r="M250" s="4" t="s">
        <v>24</v>
      </c>
    </row>
    <row r="251" spans="1:13" ht="60" customHeight="1" x14ac:dyDescent="0.45">
      <c r="A251" s="7">
        <v>249</v>
      </c>
      <c r="B251" s="8" t="s">
        <v>31</v>
      </c>
      <c r="C251" s="4" t="s">
        <v>109</v>
      </c>
      <c r="D251" s="4" t="s">
        <v>33</v>
      </c>
      <c r="E251" s="4" t="s">
        <v>109</v>
      </c>
      <c r="F251" s="4" t="s">
        <v>684</v>
      </c>
      <c r="G251" s="4" t="s">
        <v>685</v>
      </c>
      <c r="H251" s="4" t="s">
        <v>678</v>
      </c>
      <c r="I251" s="4" t="s">
        <v>679</v>
      </c>
      <c r="J251" s="4" t="s">
        <v>21</v>
      </c>
      <c r="K251" s="4" t="s">
        <v>199</v>
      </c>
      <c r="L251" s="4" t="s">
        <v>200</v>
      </c>
      <c r="M251" s="4" t="s">
        <v>24</v>
      </c>
    </row>
    <row r="252" spans="1:13" ht="60" customHeight="1" x14ac:dyDescent="0.45">
      <c r="A252" s="7">
        <v>250</v>
      </c>
      <c r="B252" s="8" t="s">
        <v>31</v>
      </c>
      <c r="C252" s="4" t="s">
        <v>32</v>
      </c>
      <c r="D252" s="4" t="s">
        <v>33</v>
      </c>
      <c r="E252" s="4" t="s">
        <v>32</v>
      </c>
      <c r="F252" s="4" t="s">
        <v>686</v>
      </c>
      <c r="G252" s="4" t="s">
        <v>687</v>
      </c>
      <c r="H252" s="4" t="s">
        <v>678</v>
      </c>
      <c r="I252" s="4" t="s">
        <v>679</v>
      </c>
      <c r="J252" s="4" t="s">
        <v>21</v>
      </c>
      <c r="K252" s="4" t="s">
        <v>199</v>
      </c>
      <c r="L252" s="4" t="s">
        <v>200</v>
      </c>
      <c r="M252" s="4" t="s">
        <v>24</v>
      </c>
    </row>
    <row r="253" spans="1:13" ht="60" customHeight="1" x14ac:dyDescent="0.45">
      <c r="A253" s="5">
        <v>251</v>
      </c>
      <c r="B253" s="6" t="s">
        <v>25</v>
      </c>
      <c r="C253" s="4" t="s">
        <v>41</v>
      </c>
      <c r="D253" s="4" t="s">
        <v>27</v>
      </c>
      <c r="E253" s="4" t="s">
        <v>41</v>
      </c>
      <c r="F253" s="4" t="s">
        <v>688</v>
      </c>
      <c r="G253" s="4" t="s">
        <v>689</v>
      </c>
      <c r="H253" s="4" t="s">
        <v>678</v>
      </c>
      <c r="I253" s="4" t="s">
        <v>679</v>
      </c>
      <c r="J253" s="4" t="s">
        <v>21</v>
      </c>
      <c r="K253" s="4" t="s">
        <v>199</v>
      </c>
      <c r="L253" s="4" t="s">
        <v>200</v>
      </c>
      <c r="M253" s="4" t="s">
        <v>24</v>
      </c>
    </row>
    <row r="254" spans="1:13" ht="60" customHeight="1" x14ac:dyDescent="0.45">
      <c r="A254" s="5">
        <v>252</v>
      </c>
      <c r="B254" s="6" t="s">
        <v>25</v>
      </c>
      <c r="C254" s="4" t="s">
        <v>62</v>
      </c>
      <c r="D254" s="4" t="s">
        <v>27</v>
      </c>
      <c r="E254" s="4" t="s">
        <v>62</v>
      </c>
      <c r="F254" s="4" t="s">
        <v>690</v>
      </c>
      <c r="G254" s="4" t="s">
        <v>691</v>
      </c>
      <c r="H254" s="4" t="s">
        <v>678</v>
      </c>
      <c r="I254" s="4" t="s">
        <v>679</v>
      </c>
      <c r="J254" s="4" t="s">
        <v>21</v>
      </c>
      <c r="K254" s="4" t="s">
        <v>199</v>
      </c>
      <c r="L254" s="4" t="s">
        <v>200</v>
      </c>
      <c r="M254" s="4" t="s">
        <v>24</v>
      </c>
    </row>
    <row r="255" spans="1:13" ht="60" customHeight="1" x14ac:dyDescent="0.45">
      <c r="A255" s="7">
        <v>253</v>
      </c>
      <c r="B255" s="8" t="s">
        <v>31</v>
      </c>
      <c r="C255" s="4" t="s">
        <v>32</v>
      </c>
      <c r="D255" s="4" t="s">
        <v>33</v>
      </c>
      <c r="E255" s="4" t="s">
        <v>32</v>
      </c>
      <c r="F255" s="4" t="s">
        <v>692</v>
      </c>
      <c r="G255" s="4" t="s">
        <v>693</v>
      </c>
      <c r="H255" s="4" t="s">
        <v>694</v>
      </c>
      <c r="I255" s="4" t="s">
        <v>695</v>
      </c>
      <c r="J255" s="4" t="s">
        <v>696</v>
      </c>
      <c r="K255" s="4" t="s">
        <v>127</v>
      </c>
      <c r="L255" s="4" t="s">
        <v>23</v>
      </c>
      <c r="M255" s="4" t="s">
        <v>87</v>
      </c>
    </row>
    <row r="256" spans="1:13" ht="60" customHeight="1" x14ac:dyDescent="0.45">
      <c r="A256" s="5">
        <v>254</v>
      </c>
      <c r="B256" s="6" t="s">
        <v>25</v>
      </c>
      <c r="C256" s="4" t="s">
        <v>41</v>
      </c>
      <c r="D256" s="4" t="s">
        <v>27</v>
      </c>
      <c r="E256" s="4" t="s">
        <v>41</v>
      </c>
      <c r="F256" s="4" t="s">
        <v>697</v>
      </c>
      <c r="G256" s="4" t="s">
        <v>698</v>
      </c>
      <c r="H256" s="4" t="s">
        <v>694</v>
      </c>
      <c r="I256" s="4" t="s">
        <v>695</v>
      </c>
      <c r="J256" s="4" t="s">
        <v>696</v>
      </c>
      <c r="K256" s="4" t="s">
        <v>127</v>
      </c>
      <c r="L256" s="4" t="s">
        <v>23</v>
      </c>
      <c r="M256" s="4" t="s">
        <v>87</v>
      </c>
    </row>
    <row r="257" spans="1:13" ht="60" customHeight="1" x14ac:dyDescent="0.45">
      <c r="A257" s="7">
        <v>255</v>
      </c>
      <c r="B257" s="8" t="s">
        <v>31</v>
      </c>
      <c r="C257" s="4" t="s">
        <v>109</v>
      </c>
      <c r="D257" s="4" t="s">
        <v>33</v>
      </c>
      <c r="E257" s="4" t="s">
        <v>109</v>
      </c>
      <c r="F257" s="4" t="s">
        <v>699</v>
      </c>
      <c r="G257" s="4" t="s">
        <v>700</v>
      </c>
      <c r="H257" s="4" t="s">
        <v>694</v>
      </c>
      <c r="I257" s="4" t="s">
        <v>695</v>
      </c>
      <c r="J257" s="4" t="s">
        <v>696</v>
      </c>
      <c r="K257" s="4" t="s">
        <v>127</v>
      </c>
      <c r="L257" s="4" t="s">
        <v>23</v>
      </c>
      <c r="M257" s="4" t="s">
        <v>87</v>
      </c>
    </row>
    <row r="258" spans="1:13" ht="60" customHeight="1" x14ac:dyDescent="0.45">
      <c r="A258" s="7">
        <v>256</v>
      </c>
      <c r="B258" s="8" t="s">
        <v>31</v>
      </c>
      <c r="C258" s="4" t="s">
        <v>79</v>
      </c>
      <c r="D258" s="4" t="s">
        <v>33</v>
      </c>
      <c r="E258" s="4" t="s">
        <v>79</v>
      </c>
      <c r="F258" s="4" t="s">
        <v>701</v>
      </c>
      <c r="G258" s="4" t="s">
        <v>702</v>
      </c>
      <c r="H258" s="4" t="s">
        <v>694</v>
      </c>
      <c r="I258" s="4" t="s">
        <v>695</v>
      </c>
      <c r="J258" s="4" t="s">
        <v>696</v>
      </c>
      <c r="K258" s="4" t="s">
        <v>127</v>
      </c>
      <c r="L258" s="4" t="s">
        <v>23</v>
      </c>
      <c r="M258" s="4" t="s">
        <v>87</v>
      </c>
    </row>
    <row r="259" spans="1:13" ht="60" customHeight="1" x14ac:dyDescent="0.45">
      <c r="A259" s="7">
        <v>257</v>
      </c>
      <c r="B259" s="8" t="s">
        <v>31</v>
      </c>
      <c r="C259" s="4" t="s">
        <v>32</v>
      </c>
      <c r="D259" s="4" t="s">
        <v>33</v>
      </c>
      <c r="E259" s="4" t="s">
        <v>32</v>
      </c>
      <c r="F259" s="4" t="s">
        <v>703</v>
      </c>
      <c r="G259" s="4" t="s">
        <v>704</v>
      </c>
      <c r="H259" s="4" t="s">
        <v>705</v>
      </c>
      <c r="I259" s="4" t="s">
        <v>706</v>
      </c>
      <c r="J259" s="4" t="s">
        <v>696</v>
      </c>
      <c r="K259" s="4" t="s">
        <v>127</v>
      </c>
      <c r="L259" s="4" t="s">
        <v>23</v>
      </c>
      <c r="M259" s="4" t="s">
        <v>87</v>
      </c>
    </row>
    <row r="260" spans="1:13" ht="60" customHeight="1" x14ac:dyDescent="0.45">
      <c r="A260" s="7">
        <v>258</v>
      </c>
      <c r="B260" s="8" t="s">
        <v>31</v>
      </c>
      <c r="C260" s="4" t="s">
        <v>32</v>
      </c>
      <c r="D260" s="4" t="s">
        <v>33</v>
      </c>
      <c r="E260" s="4" t="s">
        <v>32</v>
      </c>
      <c r="F260" s="4" t="s">
        <v>707</v>
      </c>
      <c r="G260" s="4" t="s">
        <v>708</v>
      </c>
      <c r="H260" s="4" t="s">
        <v>705</v>
      </c>
      <c r="I260" s="4" t="s">
        <v>706</v>
      </c>
      <c r="J260" s="4" t="s">
        <v>696</v>
      </c>
      <c r="K260" s="4" t="s">
        <v>127</v>
      </c>
      <c r="L260" s="4" t="s">
        <v>23</v>
      </c>
      <c r="M260" s="4" t="s">
        <v>87</v>
      </c>
    </row>
    <row r="261" spans="1:13" ht="60" customHeight="1" x14ac:dyDescent="0.45">
      <c r="A261" s="5">
        <v>259</v>
      </c>
      <c r="B261" s="6" t="s">
        <v>25</v>
      </c>
      <c r="C261" s="4" t="s">
        <v>44</v>
      </c>
      <c r="D261" s="4" t="s">
        <v>27</v>
      </c>
      <c r="E261" s="4" t="s">
        <v>44</v>
      </c>
      <c r="F261" s="4" t="s">
        <v>709</v>
      </c>
      <c r="G261" s="4" t="s">
        <v>710</v>
      </c>
      <c r="H261" s="4" t="s">
        <v>705</v>
      </c>
      <c r="I261" s="4" t="s">
        <v>706</v>
      </c>
      <c r="J261" s="4" t="s">
        <v>696</v>
      </c>
      <c r="K261" s="4" t="s">
        <v>127</v>
      </c>
      <c r="L261" s="4" t="s">
        <v>23</v>
      </c>
      <c r="M261" s="4" t="s">
        <v>87</v>
      </c>
    </row>
    <row r="262" spans="1:13" ht="60" customHeight="1" x14ac:dyDescent="0.45">
      <c r="A262" s="5">
        <v>260</v>
      </c>
      <c r="B262" s="6" t="s">
        <v>25</v>
      </c>
      <c r="C262" s="4" t="s">
        <v>41</v>
      </c>
      <c r="D262" s="4" t="s">
        <v>27</v>
      </c>
      <c r="E262" s="4" t="s">
        <v>41</v>
      </c>
      <c r="F262" s="4" t="s">
        <v>711</v>
      </c>
      <c r="G262" s="4" t="s">
        <v>712</v>
      </c>
      <c r="H262" s="4" t="s">
        <v>705</v>
      </c>
      <c r="I262" s="4" t="s">
        <v>706</v>
      </c>
      <c r="J262" s="4" t="s">
        <v>696</v>
      </c>
      <c r="K262" s="4" t="s">
        <v>127</v>
      </c>
      <c r="L262" s="4" t="s">
        <v>23</v>
      </c>
      <c r="M262" s="4" t="s">
        <v>87</v>
      </c>
    </row>
    <row r="263" spans="1:13" ht="60" customHeight="1" x14ac:dyDescent="0.45">
      <c r="A263" s="5">
        <v>261</v>
      </c>
      <c r="B263" s="6" t="s">
        <v>25</v>
      </c>
      <c r="C263" s="4" t="s">
        <v>41</v>
      </c>
      <c r="D263" s="4" t="s">
        <v>27</v>
      </c>
      <c r="E263" s="4" t="s">
        <v>41</v>
      </c>
      <c r="F263" s="4" t="s">
        <v>713</v>
      </c>
      <c r="G263" s="4" t="s">
        <v>714</v>
      </c>
      <c r="H263" s="4" t="s">
        <v>705</v>
      </c>
      <c r="I263" s="4" t="s">
        <v>706</v>
      </c>
      <c r="J263" s="4" t="s">
        <v>696</v>
      </c>
      <c r="K263" s="4" t="s">
        <v>127</v>
      </c>
      <c r="L263" s="4" t="s">
        <v>23</v>
      </c>
      <c r="M263" s="4" t="s">
        <v>87</v>
      </c>
    </row>
    <row r="264" spans="1:13" ht="60" customHeight="1" x14ac:dyDescent="0.45">
      <c r="A264" s="7">
        <v>262</v>
      </c>
      <c r="B264" s="8" t="s">
        <v>31</v>
      </c>
      <c r="C264" s="4" t="s">
        <v>32</v>
      </c>
      <c r="D264" s="4" t="s">
        <v>33</v>
      </c>
      <c r="E264" s="4" t="s">
        <v>32</v>
      </c>
      <c r="F264" s="4" t="s">
        <v>715</v>
      </c>
      <c r="G264" s="4" t="s">
        <v>716</v>
      </c>
      <c r="H264" s="4" t="s">
        <v>705</v>
      </c>
      <c r="I264" s="4" t="s">
        <v>706</v>
      </c>
      <c r="J264" s="4" t="s">
        <v>696</v>
      </c>
      <c r="K264" s="4" t="s">
        <v>127</v>
      </c>
      <c r="L264" s="4" t="s">
        <v>23</v>
      </c>
      <c r="M264" s="4" t="s">
        <v>87</v>
      </c>
    </row>
    <row r="265" spans="1:13" ht="60" customHeight="1" x14ac:dyDescent="0.45">
      <c r="A265" s="7">
        <v>263</v>
      </c>
      <c r="B265" s="8" t="s">
        <v>31</v>
      </c>
      <c r="C265" s="4" t="s">
        <v>32</v>
      </c>
      <c r="D265" s="4" t="s">
        <v>33</v>
      </c>
      <c r="E265" s="4" t="s">
        <v>32</v>
      </c>
      <c r="F265" s="4" t="s">
        <v>717</v>
      </c>
      <c r="G265" s="4" t="s">
        <v>718</v>
      </c>
      <c r="H265" s="4" t="s">
        <v>705</v>
      </c>
      <c r="I265" s="4" t="s">
        <v>706</v>
      </c>
      <c r="J265" s="4" t="s">
        <v>696</v>
      </c>
      <c r="K265" s="4" t="s">
        <v>127</v>
      </c>
      <c r="L265" s="4" t="s">
        <v>23</v>
      </c>
      <c r="M265" s="4" t="s">
        <v>87</v>
      </c>
    </row>
    <row r="266" spans="1:13" ht="60" customHeight="1" x14ac:dyDescent="0.45">
      <c r="A266" s="5">
        <v>264</v>
      </c>
      <c r="B266" s="6" t="s">
        <v>25</v>
      </c>
      <c r="C266" s="4" t="s">
        <v>41</v>
      </c>
      <c r="D266" s="4" t="s">
        <v>27</v>
      </c>
      <c r="E266" s="4" t="s">
        <v>41</v>
      </c>
      <c r="F266" s="4" t="s">
        <v>719</v>
      </c>
      <c r="G266" s="4" t="s">
        <v>720</v>
      </c>
      <c r="H266" s="4" t="s">
        <v>705</v>
      </c>
      <c r="I266" s="4" t="s">
        <v>706</v>
      </c>
      <c r="J266" s="4" t="s">
        <v>696</v>
      </c>
      <c r="K266" s="4" t="s">
        <v>127</v>
      </c>
      <c r="L266" s="4" t="s">
        <v>23</v>
      </c>
      <c r="M266" s="4" t="s">
        <v>87</v>
      </c>
    </row>
    <row r="267" spans="1:13" ht="60" customHeight="1" x14ac:dyDescent="0.45">
      <c r="A267" s="7">
        <v>265</v>
      </c>
      <c r="B267" s="8" t="s">
        <v>31</v>
      </c>
      <c r="C267" s="4" t="s">
        <v>79</v>
      </c>
      <c r="D267" s="4" t="s">
        <v>33</v>
      </c>
      <c r="E267" s="4" t="s">
        <v>79</v>
      </c>
      <c r="F267" s="4" t="s">
        <v>721</v>
      </c>
      <c r="G267" s="4" t="s">
        <v>722</v>
      </c>
      <c r="H267" s="4" t="s">
        <v>705</v>
      </c>
      <c r="I267" s="4" t="s">
        <v>706</v>
      </c>
      <c r="J267" s="4" t="s">
        <v>696</v>
      </c>
      <c r="K267" s="4" t="s">
        <v>127</v>
      </c>
      <c r="L267" s="4" t="s">
        <v>23</v>
      </c>
      <c r="M267" s="4" t="s">
        <v>87</v>
      </c>
    </row>
    <row r="268" spans="1:13" ht="60" customHeight="1" x14ac:dyDescent="0.45">
      <c r="A268" s="7">
        <v>266</v>
      </c>
      <c r="B268" s="8" t="s">
        <v>31</v>
      </c>
      <c r="C268" s="4" t="s">
        <v>79</v>
      </c>
      <c r="D268" s="4" t="s">
        <v>33</v>
      </c>
      <c r="E268" s="4" t="s">
        <v>79</v>
      </c>
      <c r="F268" s="4" t="s">
        <v>723</v>
      </c>
      <c r="G268" s="4" t="s">
        <v>724</v>
      </c>
      <c r="H268" s="4" t="s">
        <v>705</v>
      </c>
      <c r="I268" s="4" t="s">
        <v>706</v>
      </c>
      <c r="J268" s="4" t="s">
        <v>696</v>
      </c>
      <c r="K268" s="4" t="s">
        <v>127</v>
      </c>
      <c r="L268" s="4" t="s">
        <v>23</v>
      </c>
      <c r="M268" s="4" t="s">
        <v>87</v>
      </c>
    </row>
    <row r="269" spans="1:13" ht="60" customHeight="1" x14ac:dyDescent="0.45">
      <c r="A269" s="5">
        <v>267</v>
      </c>
      <c r="B269" s="6" t="s">
        <v>25</v>
      </c>
      <c r="C269" s="4" t="s">
        <v>47</v>
      </c>
      <c r="D269" s="4" t="s">
        <v>27</v>
      </c>
      <c r="E269" s="4" t="s">
        <v>47</v>
      </c>
      <c r="F269" s="4" t="s">
        <v>725</v>
      </c>
      <c r="G269" s="4" t="s">
        <v>726</v>
      </c>
      <c r="H269" s="4" t="s">
        <v>727</v>
      </c>
      <c r="I269" s="4" t="s">
        <v>728</v>
      </c>
      <c r="J269" s="4" t="s">
        <v>729</v>
      </c>
      <c r="K269" s="4" t="s">
        <v>563</v>
      </c>
      <c r="L269" s="4" t="s">
        <v>177</v>
      </c>
      <c r="M269" s="4" t="s">
        <v>87</v>
      </c>
    </row>
    <row r="270" spans="1:13" ht="60" customHeight="1" x14ac:dyDescent="0.45">
      <c r="A270" s="5">
        <v>268</v>
      </c>
      <c r="B270" s="6" t="s">
        <v>25</v>
      </c>
      <c r="C270" s="4" t="s">
        <v>47</v>
      </c>
      <c r="D270" s="4" t="s">
        <v>27</v>
      </c>
      <c r="E270" s="4" t="s">
        <v>47</v>
      </c>
      <c r="F270" s="4" t="s">
        <v>730</v>
      </c>
      <c r="G270" s="4" t="s">
        <v>731</v>
      </c>
      <c r="H270" s="4" t="s">
        <v>727</v>
      </c>
      <c r="I270" s="4" t="s">
        <v>728</v>
      </c>
      <c r="J270" s="4" t="s">
        <v>729</v>
      </c>
      <c r="K270" s="4" t="s">
        <v>563</v>
      </c>
      <c r="L270" s="4" t="s">
        <v>177</v>
      </c>
      <c r="M270" s="4" t="s">
        <v>87</v>
      </c>
    </row>
    <row r="271" spans="1:13" ht="60" customHeight="1" x14ac:dyDescent="0.45">
      <c r="A271" s="5">
        <v>269</v>
      </c>
      <c r="B271" s="6" t="s">
        <v>25</v>
      </c>
      <c r="C271" s="4" t="s">
        <v>26</v>
      </c>
      <c r="D271" s="4" t="s">
        <v>27</v>
      </c>
      <c r="E271" s="4" t="s">
        <v>26</v>
      </c>
      <c r="F271" s="4" t="s">
        <v>732</v>
      </c>
      <c r="G271" s="4" t="s">
        <v>733</v>
      </c>
      <c r="H271" s="4" t="s">
        <v>727</v>
      </c>
      <c r="I271" s="4" t="s">
        <v>728</v>
      </c>
      <c r="J271" s="4" t="s">
        <v>729</v>
      </c>
      <c r="K271" s="4" t="s">
        <v>563</v>
      </c>
      <c r="L271" s="4" t="s">
        <v>177</v>
      </c>
      <c r="M271" s="4" t="s">
        <v>87</v>
      </c>
    </row>
    <row r="272" spans="1:13" ht="60" customHeight="1" x14ac:dyDescent="0.45">
      <c r="A272" s="2">
        <v>270</v>
      </c>
      <c r="B272" s="3" t="s">
        <v>14</v>
      </c>
      <c r="C272" s="4" t="s">
        <v>29</v>
      </c>
      <c r="D272" s="4" t="s">
        <v>16</v>
      </c>
      <c r="E272" s="4" t="s">
        <v>29</v>
      </c>
      <c r="F272" s="4" t="s">
        <v>734</v>
      </c>
      <c r="G272" s="4" t="s">
        <v>735</v>
      </c>
      <c r="H272" s="4" t="s">
        <v>727</v>
      </c>
      <c r="I272" s="4" t="s">
        <v>728</v>
      </c>
      <c r="J272" s="4" t="s">
        <v>729</v>
      </c>
      <c r="K272" s="4" t="s">
        <v>563</v>
      </c>
      <c r="L272" s="4" t="s">
        <v>177</v>
      </c>
      <c r="M272" s="4" t="s">
        <v>87</v>
      </c>
    </row>
    <row r="273" spans="1:13" ht="60" customHeight="1" x14ac:dyDescent="0.45">
      <c r="A273" s="5">
        <v>271</v>
      </c>
      <c r="B273" s="6" t="s">
        <v>25</v>
      </c>
      <c r="C273" s="4" t="s">
        <v>114</v>
      </c>
      <c r="D273" s="4" t="s">
        <v>27</v>
      </c>
      <c r="E273" s="4" t="s">
        <v>114</v>
      </c>
      <c r="F273" s="4" t="s">
        <v>736</v>
      </c>
      <c r="G273" s="4" t="s">
        <v>737</v>
      </c>
      <c r="H273" s="4" t="s">
        <v>738</v>
      </c>
      <c r="I273" s="4" t="s">
        <v>728</v>
      </c>
      <c r="J273" s="4" t="s">
        <v>729</v>
      </c>
      <c r="K273" s="4" t="s">
        <v>563</v>
      </c>
      <c r="L273" s="4" t="s">
        <v>177</v>
      </c>
      <c r="M273" s="4" t="s">
        <v>87</v>
      </c>
    </row>
    <row r="274" spans="1:13" ht="60" customHeight="1" x14ac:dyDescent="0.45">
      <c r="A274" s="5">
        <v>272</v>
      </c>
      <c r="B274" s="6" t="s">
        <v>25</v>
      </c>
      <c r="C274" s="4" t="s">
        <v>62</v>
      </c>
      <c r="D274" s="4" t="s">
        <v>27</v>
      </c>
      <c r="E274" s="4" t="s">
        <v>62</v>
      </c>
      <c r="F274" s="4" t="s">
        <v>739</v>
      </c>
      <c r="G274" s="4" t="s">
        <v>740</v>
      </c>
      <c r="H274" s="4" t="s">
        <v>738</v>
      </c>
      <c r="I274" s="4" t="s">
        <v>728</v>
      </c>
      <c r="J274" s="4" t="s">
        <v>729</v>
      </c>
      <c r="K274" s="4" t="s">
        <v>563</v>
      </c>
      <c r="L274" s="4" t="s">
        <v>177</v>
      </c>
      <c r="M274" s="4" t="s">
        <v>87</v>
      </c>
    </row>
    <row r="275" spans="1:13" ht="60" customHeight="1" x14ac:dyDescent="0.45">
      <c r="A275" s="5">
        <v>273</v>
      </c>
      <c r="B275" s="6" t="s">
        <v>25</v>
      </c>
      <c r="C275" s="4" t="s">
        <v>114</v>
      </c>
      <c r="D275" s="4" t="s">
        <v>27</v>
      </c>
      <c r="E275" s="4" t="s">
        <v>114</v>
      </c>
      <c r="F275" s="4" t="s">
        <v>741</v>
      </c>
      <c r="G275" s="4" t="s">
        <v>742</v>
      </c>
      <c r="H275" s="4" t="s">
        <v>738</v>
      </c>
      <c r="I275" s="4" t="s">
        <v>728</v>
      </c>
      <c r="J275" s="4" t="s">
        <v>729</v>
      </c>
      <c r="K275" s="4" t="s">
        <v>563</v>
      </c>
      <c r="L275" s="4" t="s">
        <v>177</v>
      </c>
      <c r="M275" s="4" t="s">
        <v>87</v>
      </c>
    </row>
    <row r="276" spans="1:13" ht="60" customHeight="1" x14ac:dyDescent="0.45">
      <c r="A276" s="7">
        <v>274</v>
      </c>
      <c r="B276" s="8" t="s">
        <v>31</v>
      </c>
      <c r="C276" s="4" t="s">
        <v>109</v>
      </c>
      <c r="D276" s="4" t="s">
        <v>33</v>
      </c>
      <c r="E276" s="4" t="s">
        <v>109</v>
      </c>
      <c r="F276" s="4" t="s">
        <v>743</v>
      </c>
      <c r="G276" s="4" t="s">
        <v>744</v>
      </c>
      <c r="H276" s="4" t="s">
        <v>738</v>
      </c>
      <c r="I276" s="4" t="s">
        <v>728</v>
      </c>
      <c r="J276" s="4" t="s">
        <v>729</v>
      </c>
      <c r="K276" s="4" t="s">
        <v>563</v>
      </c>
      <c r="L276" s="4" t="s">
        <v>177</v>
      </c>
      <c r="M276" s="4" t="s">
        <v>87</v>
      </c>
    </row>
    <row r="277" spans="1:13" ht="60" customHeight="1" x14ac:dyDescent="0.45">
      <c r="A277" s="5">
        <v>275</v>
      </c>
      <c r="B277" s="6" t="s">
        <v>25</v>
      </c>
      <c r="C277" s="4" t="s">
        <v>114</v>
      </c>
      <c r="D277" s="4" t="s">
        <v>27</v>
      </c>
      <c r="E277" s="4" t="s">
        <v>114</v>
      </c>
      <c r="F277" s="4" t="s">
        <v>745</v>
      </c>
      <c r="G277" s="4" t="s">
        <v>746</v>
      </c>
      <c r="H277" s="4" t="s">
        <v>747</v>
      </c>
      <c r="I277" s="4" t="s">
        <v>748</v>
      </c>
      <c r="J277" s="4" t="s">
        <v>749</v>
      </c>
      <c r="K277" s="4" t="s">
        <v>176</v>
      </c>
      <c r="L277" s="4" t="s">
        <v>177</v>
      </c>
      <c r="M277" s="4" t="s">
        <v>24</v>
      </c>
    </row>
    <row r="278" spans="1:13" ht="60" customHeight="1" x14ac:dyDescent="0.45">
      <c r="A278" s="5">
        <v>276</v>
      </c>
      <c r="B278" s="6" t="s">
        <v>25</v>
      </c>
      <c r="C278" s="4" t="s">
        <v>62</v>
      </c>
      <c r="D278" s="4" t="s">
        <v>27</v>
      </c>
      <c r="E278" s="4" t="s">
        <v>62</v>
      </c>
      <c r="F278" s="4" t="s">
        <v>745</v>
      </c>
      <c r="G278" s="4" t="s">
        <v>750</v>
      </c>
      <c r="H278" s="4" t="s">
        <v>747</v>
      </c>
      <c r="I278" s="4" t="s">
        <v>748</v>
      </c>
      <c r="J278" s="4" t="s">
        <v>749</v>
      </c>
      <c r="K278" s="4" t="s">
        <v>176</v>
      </c>
      <c r="L278" s="4" t="s">
        <v>177</v>
      </c>
      <c r="M278" s="4" t="s">
        <v>24</v>
      </c>
    </row>
    <row r="279" spans="1:13" ht="60" customHeight="1" x14ac:dyDescent="0.45">
      <c r="A279" s="7">
        <v>277</v>
      </c>
      <c r="B279" s="8" t="s">
        <v>31</v>
      </c>
      <c r="C279" s="4" t="s">
        <v>109</v>
      </c>
      <c r="D279" s="4" t="s">
        <v>33</v>
      </c>
      <c r="E279" s="4" t="s">
        <v>109</v>
      </c>
      <c r="F279" s="4" t="s">
        <v>745</v>
      </c>
      <c r="G279" s="4" t="s">
        <v>751</v>
      </c>
      <c r="H279" s="4" t="s">
        <v>747</v>
      </c>
      <c r="I279" s="4" t="s">
        <v>748</v>
      </c>
      <c r="J279" s="4" t="s">
        <v>749</v>
      </c>
      <c r="K279" s="4" t="s">
        <v>176</v>
      </c>
      <c r="L279" s="4" t="s">
        <v>177</v>
      </c>
      <c r="M279" s="4" t="s">
        <v>24</v>
      </c>
    </row>
    <row r="280" spans="1:13" ht="60" customHeight="1" x14ac:dyDescent="0.45">
      <c r="A280" s="5">
        <v>278</v>
      </c>
      <c r="B280" s="6" t="s">
        <v>25</v>
      </c>
      <c r="C280" s="4" t="s">
        <v>41</v>
      </c>
      <c r="D280" s="4" t="s">
        <v>27</v>
      </c>
      <c r="E280" s="4" t="s">
        <v>41</v>
      </c>
      <c r="F280" s="4" t="s">
        <v>752</v>
      </c>
      <c r="G280" s="4" t="s">
        <v>753</v>
      </c>
      <c r="H280" s="4" t="s">
        <v>754</v>
      </c>
      <c r="I280" s="4" t="s">
        <v>755</v>
      </c>
      <c r="J280" s="4" t="s">
        <v>21</v>
      </c>
      <c r="K280" s="4" t="s">
        <v>176</v>
      </c>
      <c r="L280" s="4" t="s">
        <v>177</v>
      </c>
      <c r="M280" s="4" t="s">
        <v>24</v>
      </c>
    </row>
    <row r="281" spans="1:13" ht="60" customHeight="1" x14ac:dyDescent="0.45">
      <c r="A281" s="7">
        <v>279</v>
      </c>
      <c r="B281" s="8" t="s">
        <v>31</v>
      </c>
      <c r="C281" s="4" t="s">
        <v>109</v>
      </c>
      <c r="D281" s="4" t="s">
        <v>33</v>
      </c>
      <c r="E281" s="4" t="s">
        <v>109</v>
      </c>
      <c r="F281" s="4" t="s">
        <v>756</v>
      </c>
      <c r="G281" s="4" t="s">
        <v>757</v>
      </c>
      <c r="H281" s="4" t="s">
        <v>758</v>
      </c>
      <c r="I281" s="4" t="s">
        <v>759</v>
      </c>
      <c r="J281" s="4" t="s">
        <v>56</v>
      </c>
      <c r="K281" s="4" t="s">
        <v>39</v>
      </c>
      <c r="L281" s="4" t="s">
        <v>40</v>
      </c>
      <c r="M281" s="4" t="s">
        <v>24</v>
      </c>
    </row>
    <row r="282" spans="1:13" ht="60" customHeight="1" x14ac:dyDescent="0.45">
      <c r="A282" s="5">
        <v>280</v>
      </c>
      <c r="B282" s="6" t="s">
        <v>25</v>
      </c>
      <c r="C282" s="4" t="s">
        <v>62</v>
      </c>
      <c r="D282" s="4" t="s">
        <v>27</v>
      </c>
      <c r="E282" s="4" t="s">
        <v>62</v>
      </c>
      <c r="F282" s="4" t="s">
        <v>760</v>
      </c>
      <c r="G282" s="4" t="s">
        <v>761</v>
      </c>
      <c r="H282" s="4" t="s">
        <v>762</v>
      </c>
      <c r="I282" s="4" t="s">
        <v>763</v>
      </c>
      <c r="J282" s="4" t="s">
        <v>764</v>
      </c>
      <c r="K282" s="4" t="s">
        <v>307</v>
      </c>
      <c r="L282" s="4" t="s">
        <v>86</v>
      </c>
      <c r="M282" s="4" t="s">
        <v>24</v>
      </c>
    </row>
    <row r="283" spans="1:13" ht="60" customHeight="1" x14ac:dyDescent="0.45">
      <c r="A283" s="7">
        <v>281</v>
      </c>
      <c r="B283" s="8" t="s">
        <v>31</v>
      </c>
      <c r="C283" s="4" t="s">
        <v>109</v>
      </c>
      <c r="D283" s="4" t="s">
        <v>33</v>
      </c>
      <c r="E283" s="4" t="s">
        <v>109</v>
      </c>
      <c r="F283" s="4" t="s">
        <v>765</v>
      </c>
      <c r="G283" s="4" t="s">
        <v>766</v>
      </c>
      <c r="H283" s="4" t="s">
        <v>762</v>
      </c>
      <c r="I283" s="4" t="s">
        <v>763</v>
      </c>
      <c r="J283" s="4" t="s">
        <v>764</v>
      </c>
      <c r="K283" s="4" t="s">
        <v>307</v>
      </c>
      <c r="L283" s="4" t="s">
        <v>86</v>
      </c>
      <c r="M283" s="4" t="s">
        <v>24</v>
      </c>
    </row>
    <row r="284" spans="1:13" ht="60" customHeight="1" x14ac:dyDescent="0.45">
      <c r="A284" s="2">
        <v>282</v>
      </c>
      <c r="B284" s="3" t="s">
        <v>14</v>
      </c>
      <c r="C284" s="4" t="s">
        <v>137</v>
      </c>
      <c r="D284" s="4" t="s">
        <v>16</v>
      </c>
      <c r="E284" s="4" t="s">
        <v>137</v>
      </c>
      <c r="F284" s="4" t="s">
        <v>767</v>
      </c>
      <c r="G284" s="4" t="s">
        <v>768</v>
      </c>
      <c r="H284" s="4" t="s">
        <v>769</v>
      </c>
      <c r="I284" s="4" t="s">
        <v>770</v>
      </c>
      <c r="J284" s="4" t="s">
        <v>21</v>
      </c>
      <c r="K284" s="4" t="s">
        <v>127</v>
      </c>
      <c r="L284" s="4" t="s">
        <v>23</v>
      </c>
      <c r="M284" s="4" t="s">
        <v>24</v>
      </c>
    </row>
    <row r="285" spans="1:13" ht="60" customHeight="1" x14ac:dyDescent="0.45">
      <c r="A285" s="5">
        <v>283</v>
      </c>
      <c r="B285" s="6" t="s">
        <v>25</v>
      </c>
      <c r="C285" s="4" t="s">
        <v>47</v>
      </c>
      <c r="D285" s="4" t="s">
        <v>27</v>
      </c>
      <c r="E285" s="4" t="s">
        <v>47</v>
      </c>
      <c r="F285" s="4" t="s">
        <v>771</v>
      </c>
      <c r="G285" s="4" t="s">
        <v>772</v>
      </c>
      <c r="H285" s="4" t="s">
        <v>769</v>
      </c>
      <c r="I285" s="4" t="s">
        <v>770</v>
      </c>
      <c r="J285" s="4" t="s">
        <v>21</v>
      </c>
      <c r="K285" s="4" t="s">
        <v>127</v>
      </c>
      <c r="L285" s="4" t="s">
        <v>23</v>
      </c>
      <c r="M285" s="4" t="s">
        <v>24</v>
      </c>
    </row>
    <row r="286" spans="1:13" ht="60" customHeight="1" x14ac:dyDescent="0.45">
      <c r="A286" s="5">
        <v>284</v>
      </c>
      <c r="B286" s="6" t="s">
        <v>25</v>
      </c>
      <c r="C286" s="4" t="s">
        <v>41</v>
      </c>
      <c r="D286" s="4" t="s">
        <v>27</v>
      </c>
      <c r="E286" s="4" t="s">
        <v>41</v>
      </c>
      <c r="F286" s="4" t="s">
        <v>773</v>
      </c>
      <c r="G286" s="4" t="s">
        <v>774</v>
      </c>
      <c r="H286" s="4" t="s">
        <v>769</v>
      </c>
      <c r="I286" s="4" t="s">
        <v>770</v>
      </c>
      <c r="J286" s="4" t="s">
        <v>21</v>
      </c>
      <c r="K286" s="4" t="s">
        <v>127</v>
      </c>
      <c r="L286" s="4" t="s">
        <v>23</v>
      </c>
      <c r="M286" s="4" t="s">
        <v>24</v>
      </c>
    </row>
    <row r="287" spans="1:13" ht="60" customHeight="1" x14ac:dyDescent="0.45">
      <c r="A287" s="5">
        <v>285</v>
      </c>
      <c r="B287" s="6" t="s">
        <v>25</v>
      </c>
      <c r="C287" s="4" t="s">
        <v>62</v>
      </c>
      <c r="D287" s="4" t="s">
        <v>27</v>
      </c>
      <c r="E287" s="4" t="s">
        <v>62</v>
      </c>
      <c r="F287" s="4" t="s">
        <v>775</v>
      </c>
      <c r="G287" s="4" t="s">
        <v>776</v>
      </c>
      <c r="H287" s="4" t="s">
        <v>769</v>
      </c>
      <c r="I287" s="4" t="s">
        <v>770</v>
      </c>
      <c r="J287" s="4" t="s">
        <v>21</v>
      </c>
      <c r="K287" s="4" t="s">
        <v>127</v>
      </c>
      <c r="L287" s="4" t="s">
        <v>23</v>
      </c>
      <c r="M287" s="4" t="s">
        <v>24</v>
      </c>
    </row>
    <row r="288" spans="1:13" ht="60" customHeight="1" x14ac:dyDescent="0.45">
      <c r="A288" s="5">
        <v>286</v>
      </c>
      <c r="B288" s="6" t="s">
        <v>25</v>
      </c>
      <c r="C288" s="4" t="s">
        <v>41</v>
      </c>
      <c r="D288" s="4" t="s">
        <v>27</v>
      </c>
      <c r="E288" s="4" t="s">
        <v>41</v>
      </c>
      <c r="F288" s="4" t="s">
        <v>777</v>
      </c>
      <c r="G288" s="4" t="s">
        <v>778</v>
      </c>
      <c r="H288" s="4" t="s">
        <v>769</v>
      </c>
      <c r="I288" s="4" t="s">
        <v>770</v>
      </c>
      <c r="J288" s="4" t="s">
        <v>21</v>
      </c>
      <c r="K288" s="4" t="s">
        <v>127</v>
      </c>
      <c r="L288" s="4" t="s">
        <v>23</v>
      </c>
      <c r="M288" s="4" t="s">
        <v>24</v>
      </c>
    </row>
    <row r="289" spans="1:13" ht="60" customHeight="1" x14ac:dyDescent="0.45">
      <c r="A289" s="7">
        <v>287</v>
      </c>
      <c r="B289" s="8" t="s">
        <v>31</v>
      </c>
      <c r="C289" s="4" t="s">
        <v>109</v>
      </c>
      <c r="D289" s="4" t="s">
        <v>33</v>
      </c>
      <c r="E289" s="4" t="s">
        <v>109</v>
      </c>
      <c r="F289" s="4" t="s">
        <v>779</v>
      </c>
      <c r="G289" s="4" t="s">
        <v>780</v>
      </c>
      <c r="H289" s="4" t="s">
        <v>769</v>
      </c>
      <c r="I289" s="4" t="s">
        <v>770</v>
      </c>
      <c r="J289" s="4" t="s">
        <v>21</v>
      </c>
      <c r="K289" s="4" t="s">
        <v>127</v>
      </c>
      <c r="L289" s="4" t="s">
        <v>23</v>
      </c>
      <c r="M289" s="4" t="s">
        <v>24</v>
      </c>
    </row>
    <row r="290" spans="1:13" ht="60" customHeight="1" x14ac:dyDescent="0.45">
      <c r="A290" s="7">
        <v>288</v>
      </c>
      <c r="B290" s="8" t="s">
        <v>31</v>
      </c>
      <c r="C290" s="4" t="s">
        <v>109</v>
      </c>
      <c r="D290" s="4" t="s">
        <v>33</v>
      </c>
      <c r="E290" s="4" t="s">
        <v>109</v>
      </c>
      <c r="F290" s="4" t="s">
        <v>781</v>
      </c>
      <c r="G290" s="4" t="s">
        <v>782</v>
      </c>
      <c r="H290" s="4" t="s">
        <v>769</v>
      </c>
      <c r="I290" s="4" t="s">
        <v>770</v>
      </c>
      <c r="J290" s="4" t="s">
        <v>21</v>
      </c>
      <c r="K290" s="4" t="s">
        <v>127</v>
      </c>
      <c r="L290" s="4" t="s">
        <v>23</v>
      </c>
      <c r="M290" s="4" t="s">
        <v>24</v>
      </c>
    </row>
    <row r="291" spans="1:13" ht="60" customHeight="1" x14ac:dyDescent="0.45">
      <c r="A291" s="2">
        <v>289</v>
      </c>
      <c r="B291" s="3" t="s">
        <v>14</v>
      </c>
      <c r="C291" s="4" t="s">
        <v>137</v>
      </c>
      <c r="D291" s="4" t="s">
        <v>16</v>
      </c>
      <c r="E291" s="4" t="s">
        <v>137</v>
      </c>
      <c r="F291" s="4" t="s">
        <v>783</v>
      </c>
      <c r="G291" s="4" t="s">
        <v>784</v>
      </c>
      <c r="H291" s="4" t="s">
        <v>785</v>
      </c>
      <c r="I291" s="4" t="s">
        <v>770</v>
      </c>
      <c r="J291" s="4" t="s">
        <v>21</v>
      </c>
      <c r="K291" s="4" t="s">
        <v>85</v>
      </c>
      <c r="L291" s="4" t="s">
        <v>86</v>
      </c>
      <c r="M291" s="4" t="s">
        <v>24</v>
      </c>
    </row>
    <row r="292" spans="1:13" ht="60" customHeight="1" x14ac:dyDescent="0.45">
      <c r="A292" s="5">
        <v>290</v>
      </c>
      <c r="B292" s="6" t="s">
        <v>25</v>
      </c>
      <c r="C292" s="4" t="s">
        <v>47</v>
      </c>
      <c r="D292" s="4" t="s">
        <v>27</v>
      </c>
      <c r="E292" s="4" t="s">
        <v>47</v>
      </c>
      <c r="F292" s="4" t="s">
        <v>786</v>
      </c>
      <c r="G292" s="4" t="s">
        <v>787</v>
      </c>
      <c r="H292" s="4" t="s">
        <v>788</v>
      </c>
      <c r="I292" s="4" t="s">
        <v>770</v>
      </c>
      <c r="J292" s="4" t="s">
        <v>610</v>
      </c>
      <c r="K292" s="4" t="s">
        <v>501</v>
      </c>
      <c r="L292" s="4" t="s">
        <v>86</v>
      </c>
      <c r="M292" s="4" t="s">
        <v>24</v>
      </c>
    </row>
    <row r="293" spans="1:13" ht="60" customHeight="1" x14ac:dyDescent="0.45">
      <c r="A293" s="5">
        <v>291</v>
      </c>
      <c r="B293" s="6" t="s">
        <v>25</v>
      </c>
      <c r="C293" s="4" t="s">
        <v>41</v>
      </c>
      <c r="D293" s="4" t="s">
        <v>27</v>
      </c>
      <c r="E293" s="4" t="s">
        <v>41</v>
      </c>
      <c r="F293" s="4" t="s">
        <v>786</v>
      </c>
      <c r="G293" s="4" t="s">
        <v>789</v>
      </c>
      <c r="H293" s="4" t="s">
        <v>788</v>
      </c>
      <c r="I293" s="4" t="s">
        <v>770</v>
      </c>
      <c r="J293" s="4" t="s">
        <v>610</v>
      </c>
      <c r="K293" s="4" t="s">
        <v>501</v>
      </c>
      <c r="L293" s="4" t="s">
        <v>86</v>
      </c>
      <c r="M293" s="4" t="s">
        <v>24</v>
      </c>
    </row>
    <row r="294" spans="1:13" ht="60" customHeight="1" x14ac:dyDescent="0.45">
      <c r="A294" s="5">
        <v>292</v>
      </c>
      <c r="B294" s="6" t="s">
        <v>25</v>
      </c>
      <c r="C294" s="4" t="s">
        <v>62</v>
      </c>
      <c r="D294" s="4" t="s">
        <v>27</v>
      </c>
      <c r="E294" s="4" t="s">
        <v>62</v>
      </c>
      <c r="F294" s="4" t="s">
        <v>790</v>
      </c>
      <c r="G294" s="4" t="s">
        <v>791</v>
      </c>
      <c r="H294" s="4" t="s">
        <v>788</v>
      </c>
      <c r="I294" s="4" t="s">
        <v>770</v>
      </c>
      <c r="J294" s="4" t="s">
        <v>610</v>
      </c>
      <c r="K294" s="4" t="s">
        <v>501</v>
      </c>
      <c r="L294" s="4" t="s">
        <v>86</v>
      </c>
      <c r="M294" s="4" t="s">
        <v>24</v>
      </c>
    </row>
    <row r="295" spans="1:13" ht="60" customHeight="1" x14ac:dyDescent="0.45">
      <c r="A295" s="5">
        <v>293</v>
      </c>
      <c r="B295" s="6" t="s">
        <v>25</v>
      </c>
      <c r="C295" s="4" t="s">
        <v>62</v>
      </c>
      <c r="D295" s="4" t="s">
        <v>27</v>
      </c>
      <c r="E295" s="4" t="s">
        <v>62</v>
      </c>
      <c r="F295" s="4" t="s">
        <v>792</v>
      </c>
      <c r="G295" s="4" t="s">
        <v>793</v>
      </c>
      <c r="H295" s="4" t="s">
        <v>794</v>
      </c>
      <c r="I295" s="4" t="s">
        <v>795</v>
      </c>
      <c r="J295" s="4" t="s">
        <v>796</v>
      </c>
      <c r="K295" s="4" t="s">
        <v>563</v>
      </c>
      <c r="L295" s="4" t="s">
        <v>177</v>
      </c>
      <c r="M295" s="4" t="s">
        <v>87</v>
      </c>
    </row>
    <row r="296" spans="1:13" ht="60" customHeight="1" x14ac:dyDescent="0.45">
      <c r="A296" s="5">
        <v>294</v>
      </c>
      <c r="B296" s="6" t="s">
        <v>25</v>
      </c>
      <c r="C296" s="4" t="s">
        <v>44</v>
      </c>
      <c r="D296" s="4" t="s">
        <v>27</v>
      </c>
      <c r="E296" s="4" t="s">
        <v>44</v>
      </c>
      <c r="F296" s="4" t="s">
        <v>797</v>
      </c>
      <c r="G296" s="4" t="s">
        <v>798</v>
      </c>
      <c r="H296" s="4" t="s">
        <v>794</v>
      </c>
      <c r="I296" s="4" t="s">
        <v>795</v>
      </c>
      <c r="J296" s="4" t="s">
        <v>796</v>
      </c>
      <c r="K296" s="4" t="s">
        <v>563</v>
      </c>
      <c r="L296" s="4" t="s">
        <v>177</v>
      </c>
      <c r="M296" s="4" t="s">
        <v>87</v>
      </c>
    </row>
    <row r="297" spans="1:13" ht="60" customHeight="1" x14ac:dyDescent="0.45">
      <c r="A297" s="5">
        <v>295</v>
      </c>
      <c r="B297" s="6" t="s">
        <v>25</v>
      </c>
      <c r="C297" s="4" t="s">
        <v>41</v>
      </c>
      <c r="D297" s="4" t="s">
        <v>27</v>
      </c>
      <c r="E297" s="4" t="s">
        <v>41</v>
      </c>
      <c r="F297" s="4" t="s">
        <v>799</v>
      </c>
      <c r="G297" s="4" t="s">
        <v>800</v>
      </c>
      <c r="H297" s="4" t="s">
        <v>801</v>
      </c>
      <c r="I297" s="4" t="s">
        <v>795</v>
      </c>
      <c r="J297" s="4" t="s">
        <v>796</v>
      </c>
      <c r="K297" s="4" t="s">
        <v>563</v>
      </c>
      <c r="L297" s="4" t="s">
        <v>177</v>
      </c>
      <c r="M297" s="4" t="s">
        <v>87</v>
      </c>
    </row>
    <row r="298" spans="1:13" ht="60" customHeight="1" x14ac:dyDescent="0.45">
      <c r="A298" s="7">
        <v>296</v>
      </c>
      <c r="B298" s="8" t="s">
        <v>31</v>
      </c>
      <c r="C298" s="4" t="s">
        <v>32</v>
      </c>
      <c r="D298" s="4" t="s">
        <v>33</v>
      </c>
      <c r="E298" s="4" t="s">
        <v>32</v>
      </c>
      <c r="F298" s="4" t="s">
        <v>802</v>
      </c>
      <c r="G298" s="4" t="s">
        <v>803</v>
      </c>
      <c r="H298" s="4" t="s">
        <v>804</v>
      </c>
      <c r="I298" s="4" t="s">
        <v>795</v>
      </c>
      <c r="J298" s="4" t="s">
        <v>796</v>
      </c>
      <c r="K298" s="4" t="s">
        <v>336</v>
      </c>
      <c r="L298" s="4" t="s">
        <v>200</v>
      </c>
      <c r="M298" s="4" t="s">
        <v>87</v>
      </c>
    </row>
    <row r="299" spans="1:13" ht="60" customHeight="1" x14ac:dyDescent="0.45">
      <c r="A299" s="7">
        <v>297</v>
      </c>
      <c r="B299" s="8" t="s">
        <v>31</v>
      </c>
      <c r="C299" s="4" t="s">
        <v>79</v>
      </c>
      <c r="D299" s="4" t="s">
        <v>33</v>
      </c>
      <c r="E299" s="4" t="s">
        <v>79</v>
      </c>
      <c r="F299" s="4" t="s">
        <v>805</v>
      </c>
      <c r="G299" s="4" t="s">
        <v>806</v>
      </c>
      <c r="H299" s="4" t="s">
        <v>804</v>
      </c>
      <c r="I299" s="4" t="s">
        <v>795</v>
      </c>
      <c r="J299" s="4" t="s">
        <v>796</v>
      </c>
      <c r="K299" s="4" t="s">
        <v>336</v>
      </c>
      <c r="L299" s="4" t="s">
        <v>200</v>
      </c>
      <c r="M299" s="4" t="s">
        <v>87</v>
      </c>
    </row>
    <row r="300" spans="1:13" ht="60" customHeight="1" x14ac:dyDescent="0.45">
      <c r="A300" s="5">
        <v>298</v>
      </c>
      <c r="B300" s="6" t="s">
        <v>25</v>
      </c>
      <c r="C300" s="4" t="s">
        <v>47</v>
      </c>
      <c r="D300" s="4" t="s">
        <v>27</v>
      </c>
      <c r="E300" s="4" t="s">
        <v>47</v>
      </c>
      <c r="F300" s="4" t="s">
        <v>807</v>
      </c>
      <c r="G300" s="4" t="s">
        <v>808</v>
      </c>
      <c r="H300" s="4" t="s">
        <v>804</v>
      </c>
      <c r="I300" s="4" t="s">
        <v>795</v>
      </c>
      <c r="J300" s="4" t="s">
        <v>796</v>
      </c>
      <c r="K300" s="4" t="s">
        <v>336</v>
      </c>
      <c r="L300" s="4" t="s">
        <v>200</v>
      </c>
      <c r="M300" s="4" t="s">
        <v>87</v>
      </c>
    </row>
    <row r="301" spans="1:13" ht="60" customHeight="1" x14ac:dyDescent="0.45">
      <c r="A301" s="5">
        <v>299</v>
      </c>
      <c r="B301" s="6" t="s">
        <v>25</v>
      </c>
      <c r="C301" s="4" t="s">
        <v>41</v>
      </c>
      <c r="D301" s="4" t="s">
        <v>27</v>
      </c>
      <c r="E301" s="4" t="s">
        <v>41</v>
      </c>
      <c r="F301" s="4" t="s">
        <v>809</v>
      </c>
      <c r="G301" s="4" t="s">
        <v>810</v>
      </c>
      <c r="H301" s="4" t="s">
        <v>811</v>
      </c>
      <c r="I301" s="4" t="s">
        <v>812</v>
      </c>
      <c r="J301" s="4" t="s">
        <v>21</v>
      </c>
      <c r="K301" s="4" t="s">
        <v>57</v>
      </c>
      <c r="L301" s="4" t="s">
        <v>40</v>
      </c>
      <c r="M301" s="4" t="s">
        <v>24</v>
      </c>
    </row>
    <row r="302" spans="1:13" ht="60" customHeight="1" x14ac:dyDescent="0.45">
      <c r="A302" s="7">
        <v>300</v>
      </c>
      <c r="B302" s="8" t="s">
        <v>31</v>
      </c>
      <c r="C302" s="4" t="s">
        <v>109</v>
      </c>
      <c r="D302" s="4" t="s">
        <v>33</v>
      </c>
      <c r="E302" s="4" t="s">
        <v>109</v>
      </c>
      <c r="F302" s="4" t="s">
        <v>813</v>
      </c>
      <c r="G302" s="4" t="s">
        <v>814</v>
      </c>
      <c r="H302" s="4" t="s">
        <v>811</v>
      </c>
      <c r="I302" s="4" t="s">
        <v>812</v>
      </c>
      <c r="J302" s="4" t="s">
        <v>21</v>
      </c>
      <c r="K302" s="4" t="s">
        <v>57</v>
      </c>
      <c r="L302" s="4" t="s">
        <v>40</v>
      </c>
      <c r="M302" s="4" t="s">
        <v>24</v>
      </c>
    </row>
    <row r="303" spans="1:13" ht="60" customHeight="1" x14ac:dyDescent="0.45">
      <c r="A303" s="5">
        <v>301</v>
      </c>
      <c r="B303" s="6" t="s">
        <v>25</v>
      </c>
      <c r="C303" s="4" t="s">
        <v>62</v>
      </c>
      <c r="D303" s="4" t="s">
        <v>27</v>
      </c>
      <c r="E303" s="4" t="s">
        <v>62</v>
      </c>
      <c r="F303" s="4" t="s">
        <v>815</v>
      </c>
      <c r="G303" s="4" t="s">
        <v>816</v>
      </c>
      <c r="H303" s="4" t="s">
        <v>811</v>
      </c>
      <c r="I303" s="4" t="s">
        <v>812</v>
      </c>
      <c r="J303" s="4" t="s">
        <v>21</v>
      </c>
      <c r="K303" s="4" t="s">
        <v>57</v>
      </c>
      <c r="L303" s="4" t="s">
        <v>40</v>
      </c>
      <c r="M303" s="4" t="s">
        <v>24</v>
      </c>
    </row>
    <row r="304" spans="1:13" ht="60" customHeight="1" x14ac:dyDescent="0.45">
      <c r="A304" s="5">
        <v>302</v>
      </c>
      <c r="B304" s="6" t="s">
        <v>25</v>
      </c>
      <c r="C304" s="4" t="s">
        <v>47</v>
      </c>
      <c r="D304" s="4" t="s">
        <v>27</v>
      </c>
      <c r="E304" s="4" t="s">
        <v>47</v>
      </c>
      <c r="F304" s="4" t="s">
        <v>817</v>
      </c>
      <c r="G304" s="4" t="s">
        <v>818</v>
      </c>
      <c r="H304" s="4" t="s">
        <v>811</v>
      </c>
      <c r="I304" s="4" t="s">
        <v>812</v>
      </c>
      <c r="J304" s="4" t="s">
        <v>21</v>
      </c>
      <c r="K304" s="4" t="s">
        <v>57</v>
      </c>
      <c r="L304" s="4" t="s">
        <v>40</v>
      </c>
      <c r="M304" s="4" t="s">
        <v>24</v>
      </c>
    </row>
    <row r="305" spans="1:13" ht="60" customHeight="1" x14ac:dyDescent="0.45">
      <c r="A305" s="2">
        <v>303</v>
      </c>
      <c r="B305" s="3" t="s">
        <v>14</v>
      </c>
      <c r="C305" s="4" t="s">
        <v>29</v>
      </c>
      <c r="D305" s="4" t="s">
        <v>16</v>
      </c>
      <c r="E305" s="4" t="s">
        <v>29</v>
      </c>
      <c r="F305" s="4" t="s">
        <v>819</v>
      </c>
      <c r="G305" s="4" t="s">
        <v>820</v>
      </c>
      <c r="H305" s="4" t="s">
        <v>821</v>
      </c>
      <c r="I305" s="4" t="s">
        <v>822</v>
      </c>
      <c r="J305" s="4" t="s">
        <v>823</v>
      </c>
      <c r="K305" s="4" t="s">
        <v>336</v>
      </c>
      <c r="L305" s="4" t="s">
        <v>200</v>
      </c>
      <c r="M305" s="4" t="s">
        <v>87</v>
      </c>
    </row>
    <row r="306" spans="1:13" ht="60" customHeight="1" x14ac:dyDescent="0.45">
      <c r="A306" s="5">
        <v>304</v>
      </c>
      <c r="B306" s="6" t="s">
        <v>25</v>
      </c>
      <c r="C306" s="4" t="s">
        <v>47</v>
      </c>
      <c r="D306" s="4" t="s">
        <v>27</v>
      </c>
      <c r="E306" s="4" t="s">
        <v>47</v>
      </c>
      <c r="F306" s="4" t="s">
        <v>819</v>
      </c>
      <c r="G306" s="4" t="s">
        <v>824</v>
      </c>
      <c r="H306" s="4" t="s">
        <v>821</v>
      </c>
      <c r="I306" s="4" t="s">
        <v>822</v>
      </c>
      <c r="J306" s="4" t="s">
        <v>823</v>
      </c>
      <c r="K306" s="4" t="s">
        <v>336</v>
      </c>
      <c r="L306" s="4" t="s">
        <v>200</v>
      </c>
      <c r="M306" s="4" t="s">
        <v>87</v>
      </c>
    </row>
    <row r="307" spans="1:13" ht="60" customHeight="1" x14ac:dyDescent="0.45">
      <c r="A307" s="5">
        <v>305</v>
      </c>
      <c r="B307" s="6" t="s">
        <v>25</v>
      </c>
      <c r="C307" s="4" t="s">
        <v>41</v>
      </c>
      <c r="D307" s="4" t="s">
        <v>27</v>
      </c>
      <c r="E307" s="4" t="s">
        <v>41</v>
      </c>
      <c r="F307" s="4" t="s">
        <v>825</v>
      </c>
      <c r="G307" s="4" t="s">
        <v>826</v>
      </c>
      <c r="H307" s="4" t="s">
        <v>827</v>
      </c>
      <c r="I307" s="4" t="s">
        <v>828</v>
      </c>
      <c r="J307" s="4" t="s">
        <v>829</v>
      </c>
      <c r="K307" s="4" t="s">
        <v>39</v>
      </c>
      <c r="L307" s="4" t="s">
        <v>40</v>
      </c>
      <c r="M307" s="4" t="s">
        <v>24</v>
      </c>
    </row>
    <row r="308" spans="1:13" ht="60" customHeight="1" x14ac:dyDescent="0.45">
      <c r="A308" s="7">
        <v>306</v>
      </c>
      <c r="B308" s="8" t="s">
        <v>31</v>
      </c>
      <c r="C308" s="4" t="s">
        <v>109</v>
      </c>
      <c r="D308" s="4" t="s">
        <v>33</v>
      </c>
      <c r="E308" s="4" t="s">
        <v>109</v>
      </c>
      <c r="F308" s="4" t="s">
        <v>830</v>
      </c>
      <c r="G308" s="4" t="s">
        <v>831</v>
      </c>
      <c r="H308" s="4" t="s">
        <v>832</v>
      </c>
      <c r="I308" s="4" t="s">
        <v>833</v>
      </c>
      <c r="J308" s="4" t="s">
        <v>638</v>
      </c>
      <c r="K308" s="4" t="s">
        <v>403</v>
      </c>
      <c r="L308" s="4" t="s">
        <v>86</v>
      </c>
      <c r="M308" s="4" t="s">
        <v>24</v>
      </c>
    </row>
    <row r="309" spans="1:13" ht="60" customHeight="1" x14ac:dyDescent="0.45">
      <c r="A309" s="7">
        <v>307</v>
      </c>
      <c r="B309" s="8" t="s">
        <v>31</v>
      </c>
      <c r="C309" s="4" t="s">
        <v>109</v>
      </c>
      <c r="D309" s="4" t="s">
        <v>33</v>
      </c>
      <c r="E309" s="4" t="s">
        <v>109</v>
      </c>
      <c r="F309" s="4" t="s">
        <v>834</v>
      </c>
      <c r="G309" s="4" t="s">
        <v>835</v>
      </c>
      <c r="H309" s="4" t="s">
        <v>836</v>
      </c>
      <c r="I309" s="4" t="s">
        <v>833</v>
      </c>
      <c r="J309" s="4" t="s">
        <v>388</v>
      </c>
      <c r="K309" s="4" t="s">
        <v>199</v>
      </c>
      <c r="L309" s="4" t="s">
        <v>200</v>
      </c>
      <c r="M309" s="4" t="s">
        <v>24</v>
      </c>
    </row>
    <row r="310" spans="1:13" ht="60" customHeight="1" x14ac:dyDescent="0.45">
      <c r="A310" s="7">
        <v>308</v>
      </c>
      <c r="B310" s="8" t="s">
        <v>31</v>
      </c>
      <c r="C310" s="4" t="s">
        <v>32</v>
      </c>
      <c r="D310" s="4" t="s">
        <v>33</v>
      </c>
      <c r="E310" s="4" t="s">
        <v>32</v>
      </c>
      <c r="F310" s="4" t="s">
        <v>837</v>
      </c>
      <c r="G310" s="4" t="s">
        <v>838</v>
      </c>
      <c r="H310" s="4" t="s">
        <v>836</v>
      </c>
      <c r="I310" s="4" t="s">
        <v>833</v>
      </c>
      <c r="J310" s="4" t="s">
        <v>388</v>
      </c>
      <c r="K310" s="4" t="s">
        <v>199</v>
      </c>
      <c r="L310" s="4" t="s">
        <v>200</v>
      </c>
      <c r="M310" s="4" t="s">
        <v>24</v>
      </c>
    </row>
    <row r="311" spans="1:13" ht="60" customHeight="1" x14ac:dyDescent="0.45">
      <c r="A311" s="5">
        <v>309</v>
      </c>
      <c r="B311" s="6" t="s">
        <v>25</v>
      </c>
      <c r="C311" s="4" t="s">
        <v>62</v>
      </c>
      <c r="D311" s="4" t="s">
        <v>27</v>
      </c>
      <c r="E311" s="4" t="s">
        <v>62</v>
      </c>
      <c r="F311" s="4" t="s">
        <v>839</v>
      </c>
      <c r="G311" s="4" t="s">
        <v>840</v>
      </c>
      <c r="H311" s="4" t="s">
        <v>841</v>
      </c>
      <c r="I311" s="4" t="s">
        <v>842</v>
      </c>
      <c r="J311" s="4" t="s">
        <v>21</v>
      </c>
      <c r="K311" s="4" t="s">
        <v>39</v>
      </c>
      <c r="L311" s="4" t="s">
        <v>40</v>
      </c>
      <c r="M311" s="4" t="s">
        <v>24</v>
      </c>
    </row>
    <row r="312" spans="1:13" ht="60" customHeight="1" x14ac:dyDescent="0.45">
      <c r="A312" s="5">
        <v>310</v>
      </c>
      <c r="B312" s="6" t="s">
        <v>25</v>
      </c>
      <c r="C312" s="4" t="s">
        <v>26</v>
      </c>
      <c r="D312" s="4" t="s">
        <v>27</v>
      </c>
      <c r="E312" s="4" t="s">
        <v>26</v>
      </c>
      <c r="F312" s="4" t="s">
        <v>843</v>
      </c>
      <c r="G312" s="4" t="s">
        <v>844</v>
      </c>
      <c r="H312" s="4" t="s">
        <v>841</v>
      </c>
      <c r="I312" s="4" t="s">
        <v>842</v>
      </c>
      <c r="J312" s="4" t="s">
        <v>21</v>
      </c>
      <c r="K312" s="4" t="s">
        <v>39</v>
      </c>
      <c r="L312" s="4" t="s">
        <v>40</v>
      </c>
      <c r="M312" s="4" t="s">
        <v>24</v>
      </c>
    </row>
    <row r="313" spans="1:13" ht="60" customHeight="1" x14ac:dyDescent="0.45">
      <c r="A313" s="7">
        <v>311</v>
      </c>
      <c r="B313" s="8" t="s">
        <v>31</v>
      </c>
      <c r="C313" s="4" t="s">
        <v>32</v>
      </c>
      <c r="D313" s="4" t="s">
        <v>33</v>
      </c>
      <c r="E313" s="4" t="s">
        <v>32</v>
      </c>
      <c r="F313" s="4" t="s">
        <v>845</v>
      </c>
      <c r="G313" s="4" t="s">
        <v>846</v>
      </c>
      <c r="H313" s="4" t="s">
        <v>847</v>
      </c>
      <c r="I313" s="4" t="s">
        <v>848</v>
      </c>
      <c r="J313" s="4" t="s">
        <v>126</v>
      </c>
      <c r="K313" s="4" t="s">
        <v>336</v>
      </c>
      <c r="L313" s="4" t="s">
        <v>200</v>
      </c>
      <c r="M313" s="4" t="s">
        <v>87</v>
      </c>
    </row>
    <row r="314" spans="1:13" ht="60" customHeight="1" x14ac:dyDescent="0.45">
      <c r="A314" s="5">
        <v>312</v>
      </c>
      <c r="B314" s="6" t="s">
        <v>25</v>
      </c>
      <c r="C314" s="4" t="s">
        <v>47</v>
      </c>
      <c r="D314" s="4" t="s">
        <v>27</v>
      </c>
      <c r="E314" s="4" t="s">
        <v>47</v>
      </c>
      <c r="F314" s="4" t="s">
        <v>849</v>
      </c>
      <c r="G314" s="4" t="s">
        <v>850</v>
      </c>
      <c r="H314" s="4" t="s">
        <v>847</v>
      </c>
      <c r="I314" s="4" t="s">
        <v>848</v>
      </c>
      <c r="J314" s="4" t="s">
        <v>126</v>
      </c>
      <c r="K314" s="4" t="s">
        <v>336</v>
      </c>
      <c r="L314" s="4" t="s">
        <v>200</v>
      </c>
      <c r="M314" s="4" t="s">
        <v>87</v>
      </c>
    </row>
    <row r="315" spans="1:13" ht="60" customHeight="1" x14ac:dyDescent="0.45">
      <c r="A315" s="5">
        <v>313</v>
      </c>
      <c r="B315" s="6" t="s">
        <v>25</v>
      </c>
      <c r="C315" s="4" t="s">
        <v>62</v>
      </c>
      <c r="D315" s="4" t="s">
        <v>27</v>
      </c>
      <c r="E315" s="4" t="s">
        <v>62</v>
      </c>
      <c r="F315" s="4" t="s">
        <v>851</v>
      </c>
      <c r="G315" s="4" t="s">
        <v>852</v>
      </c>
      <c r="H315" s="4" t="s">
        <v>853</v>
      </c>
      <c r="I315" s="4" t="s">
        <v>854</v>
      </c>
      <c r="J315" s="4" t="s">
        <v>126</v>
      </c>
      <c r="K315" s="4" t="s">
        <v>336</v>
      </c>
      <c r="L315" s="4" t="s">
        <v>200</v>
      </c>
      <c r="M315" s="4" t="s">
        <v>87</v>
      </c>
    </row>
    <row r="316" spans="1:13" ht="60" customHeight="1" x14ac:dyDescent="0.45">
      <c r="A316" s="5">
        <v>314</v>
      </c>
      <c r="B316" s="6" t="s">
        <v>25</v>
      </c>
      <c r="C316" s="4" t="s">
        <v>62</v>
      </c>
      <c r="D316" s="4" t="s">
        <v>27</v>
      </c>
      <c r="E316" s="4" t="s">
        <v>62</v>
      </c>
      <c r="F316" s="4" t="s">
        <v>855</v>
      </c>
      <c r="G316" s="4" t="s">
        <v>856</v>
      </c>
      <c r="H316" s="4" t="s">
        <v>857</v>
      </c>
      <c r="I316" s="4" t="s">
        <v>854</v>
      </c>
      <c r="J316" s="4" t="s">
        <v>126</v>
      </c>
      <c r="K316" s="4" t="s">
        <v>199</v>
      </c>
      <c r="L316" s="4" t="s">
        <v>200</v>
      </c>
      <c r="M316" s="4" t="s">
        <v>87</v>
      </c>
    </row>
    <row r="317" spans="1:13" ht="60" customHeight="1" x14ac:dyDescent="0.45">
      <c r="A317" s="5">
        <v>315</v>
      </c>
      <c r="B317" s="6" t="s">
        <v>25</v>
      </c>
      <c r="C317" s="4" t="s">
        <v>62</v>
      </c>
      <c r="D317" s="4" t="s">
        <v>27</v>
      </c>
      <c r="E317" s="4" t="s">
        <v>62</v>
      </c>
      <c r="F317" s="4" t="s">
        <v>858</v>
      </c>
      <c r="G317" s="4" t="s">
        <v>859</v>
      </c>
      <c r="H317" s="4" t="s">
        <v>857</v>
      </c>
      <c r="I317" s="4" t="s">
        <v>854</v>
      </c>
      <c r="J317" s="4" t="s">
        <v>126</v>
      </c>
      <c r="K317" s="4" t="s">
        <v>199</v>
      </c>
      <c r="L317" s="4" t="s">
        <v>200</v>
      </c>
      <c r="M317" s="4" t="s">
        <v>87</v>
      </c>
    </row>
    <row r="318" spans="1:13" ht="60" customHeight="1" x14ac:dyDescent="0.45">
      <c r="A318" s="7">
        <v>316</v>
      </c>
      <c r="B318" s="8" t="s">
        <v>31</v>
      </c>
      <c r="C318" s="4" t="s">
        <v>109</v>
      </c>
      <c r="D318" s="4" t="s">
        <v>33</v>
      </c>
      <c r="E318" s="4" t="s">
        <v>109</v>
      </c>
      <c r="F318" s="4" t="s">
        <v>860</v>
      </c>
      <c r="G318" s="4" t="s">
        <v>861</v>
      </c>
      <c r="H318" s="4" t="s">
        <v>862</v>
      </c>
      <c r="I318" s="4" t="s">
        <v>863</v>
      </c>
      <c r="J318" s="4" t="s">
        <v>84</v>
      </c>
      <c r="K318" s="4" t="s">
        <v>85</v>
      </c>
      <c r="L318" s="4" t="s">
        <v>86</v>
      </c>
      <c r="M318" s="4" t="s">
        <v>87</v>
      </c>
    </row>
    <row r="319" spans="1:13" ht="60" customHeight="1" x14ac:dyDescent="0.45">
      <c r="A319" s="7">
        <v>317</v>
      </c>
      <c r="B319" s="8" t="s">
        <v>31</v>
      </c>
      <c r="C319" s="4" t="s">
        <v>109</v>
      </c>
      <c r="D319" s="4" t="s">
        <v>33</v>
      </c>
      <c r="E319" s="4" t="s">
        <v>109</v>
      </c>
      <c r="F319" s="4" t="s">
        <v>864</v>
      </c>
      <c r="G319" s="4" t="s">
        <v>865</v>
      </c>
      <c r="H319" s="4" t="s">
        <v>862</v>
      </c>
      <c r="I319" s="4" t="s">
        <v>863</v>
      </c>
      <c r="J319" s="4" t="s">
        <v>84</v>
      </c>
      <c r="K319" s="4" t="s">
        <v>85</v>
      </c>
      <c r="L319" s="4" t="s">
        <v>86</v>
      </c>
      <c r="M319" s="4" t="s">
        <v>87</v>
      </c>
    </row>
    <row r="320" spans="1:13" ht="60" customHeight="1" x14ac:dyDescent="0.45">
      <c r="A320" s="5">
        <v>318</v>
      </c>
      <c r="B320" s="6" t="s">
        <v>25</v>
      </c>
      <c r="C320" s="4" t="s">
        <v>26</v>
      </c>
      <c r="D320" s="4" t="s">
        <v>27</v>
      </c>
      <c r="E320" s="4" t="s">
        <v>26</v>
      </c>
      <c r="F320" s="4" t="s">
        <v>866</v>
      </c>
      <c r="G320" s="4" t="s">
        <v>867</v>
      </c>
      <c r="H320" s="4" t="s">
        <v>862</v>
      </c>
      <c r="I320" s="4" t="s">
        <v>863</v>
      </c>
      <c r="J320" s="4" t="s">
        <v>84</v>
      </c>
      <c r="K320" s="4" t="s">
        <v>85</v>
      </c>
      <c r="L320" s="4" t="s">
        <v>86</v>
      </c>
      <c r="M320" s="4" t="s">
        <v>87</v>
      </c>
    </row>
    <row r="321" spans="1:13" ht="60" customHeight="1" x14ac:dyDescent="0.45">
      <c r="A321" s="2">
        <v>319</v>
      </c>
      <c r="B321" s="3" t="s">
        <v>14</v>
      </c>
      <c r="C321" s="4" t="s">
        <v>15</v>
      </c>
      <c r="D321" s="4" t="s">
        <v>16</v>
      </c>
      <c r="E321" s="4" t="s">
        <v>15</v>
      </c>
      <c r="F321" s="4" t="s">
        <v>868</v>
      </c>
      <c r="G321" s="4" t="s">
        <v>869</v>
      </c>
      <c r="H321" s="4" t="s">
        <v>862</v>
      </c>
      <c r="I321" s="4" t="s">
        <v>863</v>
      </c>
      <c r="J321" s="4" t="s">
        <v>84</v>
      </c>
      <c r="K321" s="4" t="s">
        <v>85</v>
      </c>
      <c r="L321" s="4" t="s">
        <v>86</v>
      </c>
      <c r="M321" s="4" t="s">
        <v>87</v>
      </c>
    </row>
    <row r="322" spans="1:13" ht="60" customHeight="1" x14ac:dyDescent="0.45">
      <c r="A322" s="2">
        <v>320</v>
      </c>
      <c r="B322" s="3" t="s">
        <v>14</v>
      </c>
      <c r="C322" s="4" t="s">
        <v>96</v>
      </c>
      <c r="D322" s="4" t="s">
        <v>16</v>
      </c>
      <c r="E322" s="4" t="s">
        <v>96</v>
      </c>
      <c r="F322" s="4" t="s">
        <v>868</v>
      </c>
      <c r="G322" s="4" t="s">
        <v>870</v>
      </c>
      <c r="H322" s="4" t="s">
        <v>862</v>
      </c>
      <c r="I322" s="4" t="s">
        <v>863</v>
      </c>
      <c r="J322" s="4" t="s">
        <v>84</v>
      </c>
      <c r="K322" s="4" t="s">
        <v>85</v>
      </c>
      <c r="L322" s="4" t="s">
        <v>86</v>
      </c>
      <c r="M322" s="4" t="s">
        <v>87</v>
      </c>
    </row>
    <row r="323" spans="1:13" ht="60" customHeight="1" x14ac:dyDescent="0.45">
      <c r="A323" s="2">
        <v>321</v>
      </c>
      <c r="B323" s="3" t="s">
        <v>14</v>
      </c>
      <c r="C323" s="4" t="s">
        <v>137</v>
      </c>
      <c r="D323" s="4" t="s">
        <v>16</v>
      </c>
      <c r="E323" s="4" t="s">
        <v>137</v>
      </c>
      <c r="F323" s="4" t="s">
        <v>871</v>
      </c>
      <c r="G323" s="4" t="s">
        <v>872</v>
      </c>
      <c r="H323" s="4" t="s">
        <v>862</v>
      </c>
      <c r="I323" s="4" t="s">
        <v>863</v>
      </c>
      <c r="J323" s="4" t="s">
        <v>84</v>
      </c>
      <c r="K323" s="4" t="s">
        <v>85</v>
      </c>
      <c r="L323" s="4" t="s">
        <v>86</v>
      </c>
      <c r="M323" s="4" t="s">
        <v>87</v>
      </c>
    </row>
    <row r="324" spans="1:13" ht="60" customHeight="1" x14ac:dyDescent="0.45">
      <c r="A324" s="5">
        <v>322</v>
      </c>
      <c r="B324" s="6" t="s">
        <v>25</v>
      </c>
      <c r="C324" s="4" t="s">
        <v>114</v>
      </c>
      <c r="D324" s="4" t="s">
        <v>27</v>
      </c>
      <c r="E324" s="4" t="s">
        <v>114</v>
      </c>
      <c r="F324" s="4" t="s">
        <v>873</v>
      </c>
      <c r="G324" s="4" t="s">
        <v>874</v>
      </c>
      <c r="H324" s="4" t="s">
        <v>862</v>
      </c>
      <c r="I324" s="4" t="s">
        <v>863</v>
      </c>
      <c r="J324" s="4" t="s">
        <v>84</v>
      </c>
      <c r="K324" s="4" t="s">
        <v>85</v>
      </c>
      <c r="L324" s="4" t="s">
        <v>86</v>
      </c>
      <c r="M324" s="4" t="s">
        <v>87</v>
      </c>
    </row>
    <row r="325" spans="1:13" ht="60" customHeight="1" x14ac:dyDescent="0.45">
      <c r="A325" s="5">
        <v>323</v>
      </c>
      <c r="B325" s="6" t="s">
        <v>25</v>
      </c>
      <c r="C325" s="4" t="s">
        <v>62</v>
      </c>
      <c r="D325" s="4" t="s">
        <v>27</v>
      </c>
      <c r="E325" s="4" t="s">
        <v>62</v>
      </c>
      <c r="F325" s="4" t="s">
        <v>875</v>
      </c>
      <c r="G325" s="4" t="s">
        <v>876</v>
      </c>
      <c r="H325" s="4" t="s">
        <v>862</v>
      </c>
      <c r="I325" s="4" t="s">
        <v>863</v>
      </c>
      <c r="J325" s="4" t="s">
        <v>84</v>
      </c>
      <c r="K325" s="4" t="s">
        <v>85</v>
      </c>
      <c r="L325" s="4" t="s">
        <v>86</v>
      </c>
      <c r="M325" s="4" t="s">
        <v>87</v>
      </c>
    </row>
    <row r="326" spans="1:13" ht="60" customHeight="1" x14ac:dyDescent="0.45">
      <c r="A326" s="7">
        <v>324</v>
      </c>
      <c r="B326" s="8" t="s">
        <v>31</v>
      </c>
      <c r="C326" s="4" t="s">
        <v>32</v>
      </c>
      <c r="D326" s="4" t="s">
        <v>33</v>
      </c>
      <c r="E326" s="4" t="s">
        <v>32</v>
      </c>
      <c r="F326" s="4" t="s">
        <v>877</v>
      </c>
      <c r="G326" s="4" t="s">
        <v>878</v>
      </c>
      <c r="H326" s="4" t="s">
        <v>879</v>
      </c>
      <c r="I326" s="4" t="s">
        <v>880</v>
      </c>
      <c r="J326" s="4" t="s">
        <v>881</v>
      </c>
      <c r="K326" s="4" t="s">
        <v>336</v>
      </c>
      <c r="L326" s="4" t="s">
        <v>200</v>
      </c>
      <c r="M326" s="4" t="s">
        <v>87</v>
      </c>
    </row>
    <row r="327" spans="1:13" ht="60" customHeight="1" x14ac:dyDescent="0.45">
      <c r="A327" s="7">
        <v>325</v>
      </c>
      <c r="B327" s="8" t="s">
        <v>31</v>
      </c>
      <c r="C327" s="4" t="s">
        <v>32</v>
      </c>
      <c r="D327" s="4" t="s">
        <v>33</v>
      </c>
      <c r="E327" s="4" t="s">
        <v>32</v>
      </c>
      <c r="F327" s="4" t="s">
        <v>882</v>
      </c>
      <c r="G327" s="4" t="s">
        <v>883</v>
      </c>
      <c r="H327" s="4" t="s">
        <v>884</v>
      </c>
      <c r="I327" s="4" t="s">
        <v>885</v>
      </c>
      <c r="J327" s="4" t="s">
        <v>126</v>
      </c>
      <c r="K327" s="4" t="s">
        <v>886</v>
      </c>
      <c r="L327" s="4" t="s">
        <v>177</v>
      </c>
      <c r="M327" s="4" t="s">
        <v>87</v>
      </c>
    </row>
    <row r="328" spans="1:13" ht="60" customHeight="1" x14ac:dyDescent="0.45">
      <c r="A328" s="5">
        <v>326</v>
      </c>
      <c r="B328" s="6" t="s">
        <v>25</v>
      </c>
      <c r="C328" s="4" t="s">
        <v>62</v>
      </c>
      <c r="D328" s="4" t="s">
        <v>27</v>
      </c>
      <c r="E328" s="4" t="s">
        <v>62</v>
      </c>
      <c r="F328" s="4" t="s">
        <v>887</v>
      </c>
      <c r="G328" s="4" t="s">
        <v>888</v>
      </c>
      <c r="H328" s="4" t="s">
        <v>884</v>
      </c>
      <c r="I328" s="4" t="s">
        <v>885</v>
      </c>
      <c r="J328" s="4" t="s">
        <v>126</v>
      </c>
      <c r="K328" s="4" t="s">
        <v>886</v>
      </c>
      <c r="L328" s="4" t="s">
        <v>177</v>
      </c>
      <c r="M328" s="4" t="s">
        <v>87</v>
      </c>
    </row>
    <row r="329" spans="1:13" ht="60" customHeight="1" x14ac:dyDescent="0.45">
      <c r="A329" s="5">
        <v>327</v>
      </c>
      <c r="B329" s="6" t="s">
        <v>25</v>
      </c>
      <c r="C329" s="4" t="s">
        <v>47</v>
      </c>
      <c r="D329" s="4" t="s">
        <v>27</v>
      </c>
      <c r="E329" s="4" t="s">
        <v>47</v>
      </c>
      <c r="F329" s="4" t="s">
        <v>889</v>
      </c>
      <c r="G329" s="4" t="s">
        <v>890</v>
      </c>
      <c r="H329" s="4" t="s">
        <v>884</v>
      </c>
      <c r="I329" s="4" t="s">
        <v>885</v>
      </c>
      <c r="J329" s="4" t="s">
        <v>126</v>
      </c>
      <c r="K329" s="4" t="s">
        <v>886</v>
      </c>
      <c r="L329" s="4" t="s">
        <v>177</v>
      </c>
      <c r="M329" s="4" t="s">
        <v>87</v>
      </c>
    </row>
    <row r="330" spans="1:13" ht="60" customHeight="1" x14ac:dyDescent="0.45">
      <c r="A330" s="5">
        <v>328</v>
      </c>
      <c r="B330" s="6" t="s">
        <v>25</v>
      </c>
      <c r="C330" s="4" t="s">
        <v>62</v>
      </c>
      <c r="D330" s="4" t="s">
        <v>27</v>
      </c>
      <c r="E330" s="4" t="s">
        <v>62</v>
      </c>
      <c r="F330" s="4" t="s">
        <v>891</v>
      </c>
      <c r="G330" s="4" t="s">
        <v>892</v>
      </c>
      <c r="H330" s="4" t="s">
        <v>884</v>
      </c>
      <c r="I330" s="4" t="s">
        <v>885</v>
      </c>
      <c r="J330" s="4" t="s">
        <v>126</v>
      </c>
      <c r="K330" s="4" t="s">
        <v>886</v>
      </c>
      <c r="L330" s="4" t="s">
        <v>177</v>
      </c>
      <c r="M330" s="4" t="s">
        <v>87</v>
      </c>
    </row>
    <row r="331" spans="1:13" ht="60" customHeight="1" x14ac:dyDescent="0.45">
      <c r="A331" s="5">
        <v>329</v>
      </c>
      <c r="B331" s="6" t="s">
        <v>25</v>
      </c>
      <c r="C331" s="4" t="s">
        <v>44</v>
      </c>
      <c r="D331" s="4" t="s">
        <v>27</v>
      </c>
      <c r="E331" s="4" t="s">
        <v>44</v>
      </c>
      <c r="F331" s="4" t="s">
        <v>893</v>
      </c>
      <c r="G331" s="4" t="s">
        <v>894</v>
      </c>
      <c r="H331" s="4" t="s">
        <v>884</v>
      </c>
      <c r="I331" s="4" t="s">
        <v>885</v>
      </c>
      <c r="J331" s="4" t="s">
        <v>126</v>
      </c>
      <c r="K331" s="4" t="s">
        <v>886</v>
      </c>
      <c r="L331" s="4" t="s">
        <v>177</v>
      </c>
      <c r="M331" s="4" t="s">
        <v>87</v>
      </c>
    </row>
    <row r="332" spans="1:13" ht="60" customHeight="1" x14ac:dyDescent="0.45">
      <c r="A332" s="5">
        <v>330</v>
      </c>
      <c r="B332" s="6" t="s">
        <v>25</v>
      </c>
      <c r="C332" s="4" t="s">
        <v>47</v>
      </c>
      <c r="D332" s="4" t="s">
        <v>27</v>
      </c>
      <c r="E332" s="4" t="s">
        <v>47</v>
      </c>
      <c r="F332" s="4" t="s">
        <v>895</v>
      </c>
      <c r="G332" s="4" t="s">
        <v>896</v>
      </c>
      <c r="H332" s="4" t="s">
        <v>884</v>
      </c>
      <c r="I332" s="4" t="s">
        <v>885</v>
      </c>
      <c r="J332" s="4" t="s">
        <v>126</v>
      </c>
      <c r="K332" s="4" t="s">
        <v>886</v>
      </c>
      <c r="L332" s="4" t="s">
        <v>177</v>
      </c>
      <c r="M332" s="4" t="s">
        <v>87</v>
      </c>
    </row>
    <row r="333" spans="1:13" ht="60" customHeight="1" x14ac:dyDescent="0.45">
      <c r="A333" s="5">
        <v>331</v>
      </c>
      <c r="B333" s="6" t="s">
        <v>25</v>
      </c>
      <c r="C333" s="4" t="s">
        <v>41</v>
      </c>
      <c r="D333" s="4" t="s">
        <v>27</v>
      </c>
      <c r="E333" s="4" t="s">
        <v>41</v>
      </c>
      <c r="F333" s="4" t="s">
        <v>897</v>
      </c>
      <c r="G333" s="4" t="s">
        <v>898</v>
      </c>
      <c r="H333" s="4" t="s">
        <v>899</v>
      </c>
      <c r="I333" s="4" t="s">
        <v>900</v>
      </c>
      <c r="J333" s="4" t="s">
        <v>126</v>
      </c>
      <c r="K333" s="4" t="s">
        <v>127</v>
      </c>
      <c r="L333" s="4" t="s">
        <v>23</v>
      </c>
      <c r="M333" s="4" t="s">
        <v>87</v>
      </c>
    </row>
    <row r="334" spans="1:13" ht="60" customHeight="1" x14ac:dyDescent="0.45">
      <c r="A334" s="2">
        <v>332</v>
      </c>
      <c r="B334" s="3" t="s">
        <v>14</v>
      </c>
      <c r="C334" s="4" t="s">
        <v>137</v>
      </c>
      <c r="D334" s="4" t="s">
        <v>16</v>
      </c>
      <c r="E334" s="4" t="s">
        <v>137</v>
      </c>
      <c r="F334" s="4" t="s">
        <v>901</v>
      </c>
      <c r="G334" s="4" t="s">
        <v>902</v>
      </c>
      <c r="H334" s="4" t="s">
        <v>899</v>
      </c>
      <c r="I334" s="4" t="s">
        <v>900</v>
      </c>
      <c r="J334" s="4" t="s">
        <v>126</v>
      </c>
      <c r="K334" s="4" t="s">
        <v>127</v>
      </c>
      <c r="L334" s="4" t="s">
        <v>23</v>
      </c>
      <c r="M334" s="4" t="s">
        <v>87</v>
      </c>
    </row>
    <row r="335" spans="1:13" ht="60" customHeight="1" x14ac:dyDescent="0.45">
      <c r="A335" s="5">
        <v>333</v>
      </c>
      <c r="B335" s="6" t="s">
        <v>25</v>
      </c>
      <c r="C335" s="4" t="s">
        <v>114</v>
      </c>
      <c r="D335" s="4" t="s">
        <v>27</v>
      </c>
      <c r="E335" s="4" t="s">
        <v>114</v>
      </c>
      <c r="F335" s="4" t="s">
        <v>901</v>
      </c>
      <c r="G335" s="4" t="s">
        <v>903</v>
      </c>
      <c r="H335" s="4" t="s">
        <v>899</v>
      </c>
      <c r="I335" s="4" t="s">
        <v>900</v>
      </c>
      <c r="J335" s="4" t="s">
        <v>126</v>
      </c>
      <c r="K335" s="4" t="s">
        <v>127</v>
      </c>
      <c r="L335" s="4" t="s">
        <v>23</v>
      </c>
      <c r="M335" s="4" t="s">
        <v>87</v>
      </c>
    </row>
    <row r="336" spans="1:13" ht="60" customHeight="1" x14ac:dyDescent="0.45">
      <c r="A336" s="7">
        <v>334</v>
      </c>
      <c r="B336" s="8" t="s">
        <v>31</v>
      </c>
      <c r="C336" s="4" t="s">
        <v>109</v>
      </c>
      <c r="D336" s="4" t="s">
        <v>33</v>
      </c>
      <c r="E336" s="4" t="s">
        <v>109</v>
      </c>
      <c r="F336" s="4" t="s">
        <v>904</v>
      </c>
      <c r="G336" s="4" t="s">
        <v>905</v>
      </c>
      <c r="H336" s="4" t="s">
        <v>899</v>
      </c>
      <c r="I336" s="4" t="s">
        <v>900</v>
      </c>
      <c r="J336" s="4" t="s">
        <v>126</v>
      </c>
      <c r="K336" s="4" t="s">
        <v>127</v>
      </c>
      <c r="L336" s="4" t="s">
        <v>23</v>
      </c>
      <c r="M336" s="4" t="s">
        <v>87</v>
      </c>
    </row>
    <row r="337" spans="1:13" ht="60" customHeight="1" x14ac:dyDescent="0.45">
      <c r="A337" s="2">
        <v>335</v>
      </c>
      <c r="B337" s="3" t="s">
        <v>14</v>
      </c>
      <c r="C337" s="4" t="s">
        <v>15</v>
      </c>
      <c r="D337" s="4" t="s">
        <v>16</v>
      </c>
      <c r="E337" s="4" t="s">
        <v>15</v>
      </c>
      <c r="F337" s="4" t="s">
        <v>904</v>
      </c>
      <c r="G337" s="4" t="s">
        <v>906</v>
      </c>
      <c r="H337" s="4" t="s">
        <v>899</v>
      </c>
      <c r="I337" s="4" t="s">
        <v>900</v>
      </c>
      <c r="J337" s="4" t="s">
        <v>126</v>
      </c>
      <c r="K337" s="4" t="s">
        <v>127</v>
      </c>
      <c r="L337" s="4" t="s">
        <v>23</v>
      </c>
      <c r="M337" s="4" t="s">
        <v>87</v>
      </c>
    </row>
    <row r="338" spans="1:13" ht="60" customHeight="1" x14ac:dyDescent="0.45">
      <c r="A338" s="5">
        <v>336</v>
      </c>
      <c r="B338" s="6" t="s">
        <v>25</v>
      </c>
      <c r="C338" s="4" t="s">
        <v>47</v>
      </c>
      <c r="D338" s="4" t="s">
        <v>27</v>
      </c>
      <c r="E338" s="4" t="s">
        <v>47</v>
      </c>
      <c r="F338" s="4" t="s">
        <v>907</v>
      </c>
      <c r="G338" s="4" t="s">
        <v>908</v>
      </c>
      <c r="H338" s="4" t="s">
        <v>899</v>
      </c>
      <c r="I338" s="4" t="s">
        <v>900</v>
      </c>
      <c r="J338" s="4" t="s">
        <v>126</v>
      </c>
      <c r="K338" s="4" t="s">
        <v>127</v>
      </c>
      <c r="L338" s="4" t="s">
        <v>23</v>
      </c>
      <c r="M338" s="4" t="s">
        <v>87</v>
      </c>
    </row>
    <row r="339" spans="1:13" ht="60" customHeight="1" x14ac:dyDescent="0.45">
      <c r="A339" s="7">
        <v>337</v>
      </c>
      <c r="B339" s="8" t="s">
        <v>31</v>
      </c>
      <c r="C339" s="4" t="s">
        <v>79</v>
      </c>
      <c r="D339" s="4" t="s">
        <v>33</v>
      </c>
      <c r="E339" s="4" t="s">
        <v>79</v>
      </c>
      <c r="F339" s="4" t="s">
        <v>909</v>
      </c>
      <c r="G339" s="4" t="s">
        <v>910</v>
      </c>
      <c r="H339" s="4" t="s">
        <v>899</v>
      </c>
      <c r="I339" s="4" t="s">
        <v>900</v>
      </c>
      <c r="J339" s="4" t="s">
        <v>126</v>
      </c>
      <c r="K339" s="4" t="s">
        <v>127</v>
      </c>
      <c r="L339" s="4" t="s">
        <v>23</v>
      </c>
      <c r="M339" s="4" t="s">
        <v>87</v>
      </c>
    </row>
    <row r="340" spans="1:13" ht="60" customHeight="1" x14ac:dyDescent="0.45">
      <c r="A340" s="5">
        <v>338</v>
      </c>
      <c r="B340" s="6" t="s">
        <v>25</v>
      </c>
      <c r="C340" s="4" t="s">
        <v>41</v>
      </c>
      <c r="D340" s="4" t="s">
        <v>27</v>
      </c>
      <c r="E340" s="4" t="s">
        <v>41</v>
      </c>
      <c r="F340" s="4" t="s">
        <v>911</v>
      </c>
      <c r="G340" s="4" t="s">
        <v>912</v>
      </c>
      <c r="H340" s="4" t="s">
        <v>913</v>
      </c>
      <c r="I340" s="4" t="s">
        <v>914</v>
      </c>
      <c r="J340" s="4" t="s">
        <v>142</v>
      </c>
      <c r="K340" s="4" t="s">
        <v>39</v>
      </c>
      <c r="L340" s="4" t="s">
        <v>40</v>
      </c>
      <c r="M340" s="4" t="s">
        <v>24</v>
      </c>
    </row>
    <row r="341" spans="1:13" ht="60" customHeight="1" x14ac:dyDescent="0.45">
      <c r="A341" s="7">
        <v>339</v>
      </c>
      <c r="B341" s="8" t="s">
        <v>31</v>
      </c>
      <c r="C341" s="4" t="s">
        <v>109</v>
      </c>
      <c r="D341" s="4" t="s">
        <v>33</v>
      </c>
      <c r="E341" s="4" t="s">
        <v>109</v>
      </c>
      <c r="F341" s="4" t="s">
        <v>915</v>
      </c>
      <c r="G341" s="4" t="s">
        <v>916</v>
      </c>
      <c r="H341" s="4" t="s">
        <v>913</v>
      </c>
      <c r="I341" s="4" t="s">
        <v>914</v>
      </c>
      <c r="J341" s="4" t="s">
        <v>142</v>
      </c>
      <c r="K341" s="4" t="s">
        <v>39</v>
      </c>
      <c r="L341" s="4" t="s">
        <v>40</v>
      </c>
      <c r="M341" s="4" t="s">
        <v>24</v>
      </c>
    </row>
    <row r="342" spans="1:13" ht="60" customHeight="1" x14ac:dyDescent="0.45">
      <c r="A342" s="5">
        <v>340</v>
      </c>
      <c r="B342" s="6" t="s">
        <v>25</v>
      </c>
      <c r="C342" s="4" t="s">
        <v>44</v>
      </c>
      <c r="D342" s="4" t="s">
        <v>27</v>
      </c>
      <c r="E342" s="4" t="s">
        <v>44</v>
      </c>
      <c r="F342" s="4" t="s">
        <v>917</v>
      </c>
      <c r="G342" s="4" t="s">
        <v>918</v>
      </c>
      <c r="H342" s="4" t="s">
        <v>913</v>
      </c>
      <c r="I342" s="4" t="s">
        <v>914</v>
      </c>
      <c r="J342" s="4" t="s">
        <v>142</v>
      </c>
      <c r="K342" s="4" t="s">
        <v>39</v>
      </c>
      <c r="L342" s="4" t="s">
        <v>40</v>
      </c>
      <c r="M342" s="4" t="s">
        <v>24</v>
      </c>
    </row>
    <row r="343" spans="1:13" ht="60" customHeight="1" x14ac:dyDescent="0.45">
      <c r="A343" s="5">
        <v>341</v>
      </c>
      <c r="B343" s="6" t="s">
        <v>25</v>
      </c>
      <c r="C343" s="4" t="s">
        <v>62</v>
      </c>
      <c r="D343" s="4" t="s">
        <v>27</v>
      </c>
      <c r="E343" s="4" t="s">
        <v>62</v>
      </c>
      <c r="F343" s="4" t="s">
        <v>919</v>
      </c>
      <c r="G343" s="4" t="s">
        <v>920</v>
      </c>
      <c r="H343" s="4" t="s">
        <v>913</v>
      </c>
      <c r="I343" s="4" t="s">
        <v>914</v>
      </c>
      <c r="J343" s="4" t="s">
        <v>142</v>
      </c>
      <c r="K343" s="4" t="s">
        <v>39</v>
      </c>
      <c r="L343" s="4" t="s">
        <v>40</v>
      </c>
      <c r="M343" s="4" t="s">
        <v>24</v>
      </c>
    </row>
    <row r="344" spans="1:13" ht="60" customHeight="1" x14ac:dyDescent="0.45">
      <c r="A344" s="5">
        <v>342</v>
      </c>
      <c r="B344" s="6" t="s">
        <v>25</v>
      </c>
      <c r="C344" s="4" t="s">
        <v>62</v>
      </c>
      <c r="D344" s="4" t="s">
        <v>27</v>
      </c>
      <c r="E344" s="4" t="s">
        <v>62</v>
      </c>
      <c r="F344" s="4" t="s">
        <v>921</v>
      </c>
      <c r="G344" s="4" t="s">
        <v>922</v>
      </c>
      <c r="H344" s="4" t="s">
        <v>913</v>
      </c>
      <c r="I344" s="4" t="s">
        <v>914</v>
      </c>
      <c r="J344" s="4" t="s">
        <v>142</v>
      </c>
      <c r="K344" s="4" t="s">
        <v>39</v>
      </c>
      <c r="L344" s="4" t="s">
        <v>40</v>
      </c>
      <c r="M344" s="4" t="s">
        <v>24</v>
      </c>
    </row>
    <row r="345" spans="1:13" ht="60" customHeight="1" x14ac:dyDescent="0.45">
      <c r="A345" s="5">
        <v>343</v>
      </c>
      <c r="B345" s="6" t="s">
        <v>25</v>
      </c>
      <c r="C345" s="4" t="s">
        <v>114</v>
      </c>
      <c r="D345" s="4" t="s">
        <v>27</v>
      </c>
      <c r="E345" s="4" t="s">
        <v>114</v>
      </c>
      <c r="F345" s="4" t="s">
        <v>923</v>
      </c>
      <c r="G345" s="4" t="s">
        <v>924</v>
      </c>
      <c r="H345" s="4" t="s">
        <v>913</v>
      </c>
      <c r="I345" s="4" t="s">
        <v>914</v>
      </c>
      <c r="J345" s="4" t="s">
        <v>142</v>
      </c>
      <c r="K345" s="4" t="s">
        <v>39</v>
      </c>
      <c r="L345" s="4" t="s">
        <v>40</v>
      </c>
      <c r="M345" s="4" t="s">
        <v>24</v>
      </c>
    </row>
    <row r="346" spans="1:13" ht="60" customHeight="1" x14ac:dyDescent="0.45">
      <c r="A346" s="7">
        <v>344</v>
      </c>
      <c r="B346" s="8" t="s">
        <v>31</v>
      </c>
      <c r="C346" s="4" t="s">
        <v>109</v>
      </c>
      <c r="D346" s="4" t="s">
        <v>33</v>
      </c>
      <c r="E346" s="4" t="s">
        <v>109</v>
      </c>
      <c r="F346" s="4" t="s">
        <v>925</v>
      </c>
      <c r="G346" s="4" t="s">
        <v>926</v>
      </c>
      <c r="H346" s="4" t="s">
        <v>913</v>
      </c>
      <c r="I346" s="4" t="s">
        <v>914</v>
      </c>
      <c r="J346" s="4" t="s">
        <v>142</v>
      </c>
      <c r="K346" s="4" t="s">
        <v>39</v>
      </c>
      <c r="L346" s="4" t="s">
        <v>40</v>
      </c>
      <c r="M346" s="4" t="s">
        <v>24</v>
      </c>
    </row>
    <row r="347" spans="1:13" ht="60" customHeight="1" x14ac:dyDescent="0.45">
      <c r="A347" s="7">
        <v>345</v>
      </c>
      <c r="B347" s="8" t="s">
        <v>31</v>
      </c>
      <c r="C347" s="4" t="s">
        <v>32</v>
      </c>
      <c r="D347" s="4" t="s">
        <v>33</v>
      </c>
      <c r="E347" s="4" t="s">
        <v>32</v>
      </c>
      <c r="F347" s="4" t="s">
        <v>927</v>
      </c>
      <c r="G347" s="4" t="s">
        <v>928</v>
      </c>
      <c r="H347" s="4" t="s">
        <v>929</v>
      </c>
      <c r="I347" s="4" t="s">
        <v>930</v>
      </c>
      <c r="J347" s="4" t="s">
        <v>931</v>
      </c>
      <c r="K347" s="4" t="s">
        <v>307</v>
      </c>
      <c r="L347" s="4" t="s">
        <v>86</v>
      </c>
      <c r="M347" s="4" t="s">
        <v>24</v>
      </c>
    </row>
    <row r="348" spans="1:13" ht="60" customHeight="1" x14ac:dyDescent="0.45">
      <c r="A348" s="5">
        <v>346</v>
      </c>
      <c r="B348" s="6" t="s">
        <v>25</v>
      </c>
      <c r="C348" s="4" t="s">
        <v>47</v>
      </c>
      <c r="D348" s="4" t="s">
        <v>27</v>
      </c>
      <c r="E348" s="4" t="s">
        <v>47</v>
      </c>
      <c r="F348" s="4" t="s">
        <v>932</v>
      </c>
      <c r="G348" s="4" t="s">
        <v>933</v>
      </c>
      <c r="H348" s="4" t="s">
        <v>929</v>
      </c>
      <c r="I348" s="4" t="s">
        <v>930</v>
      </c>
      <c r="J348" s="4" t="s">
        <v>931</v>
      </c>
      <c r="K348" s="4" t="s">
        <v>307</v>
      </c>
      <c r="L348" s="4" t="s">
        <v>86</v>
      </c>
      <c r="M348" s="4" t="s">
        <v>24</v>
      </c>
    </row>
    <row r="349" spans="1:13" ht="60" customHeight="1" x14ac:dyDescent="0.45">
      <c r="A349" s="5">
        <v>347</v>
      </c>
      <c r="B349" s="6" t="s">
        <v>25</v>
      </c>
      <c r="C349" s="4" t="s">
        <v>62</v>
      </c>
      <c r="D349" s="4" t="s">
        <v>27</v>
      </c>
      <c r="E349" s="4" t="s">
        <v>62</v>
      </c>
      <c r="F349" s="4" t="s">
        <v>934</v>
      </c>
      <c r="G349" s="4" t="s">
        <v>935</v>
      </c>
      <c r="H349" s="4" t="s">
        <v>929</v>
      </c>
      <c r="I349" s="4" t="s">
        <v>930</v>
      </c>
      <c r="J349" s="4" t="s">
        <v>931</v>
      </c>
      <c r="K349" s="4" t="s">
        <v>307</v>
      </c>
      <c r="L349" s="4" t="s">
        <v>86</v>
      </c>
      <c r="M349" s="4" t="s">
        <v>24</v>
      </c>
    </row>
    <row r="350" spans="1:13" ht="60" customHeight="1" x14ac:dyDescent="0.45">
      <c r="A350" s="5">
        <v>348</v>
      </c>
      <c r="B350" s="6" t="s">
        <v>25</v>
      </c>
      <c r="C350" s="4" t="s">
        <v>41</v>
      </c>
      <c r="D350" s="4" t="s">
        <v>27</v>
      </c>
      <c r="E350" s="4" t="s">
        <v>41</v>
      </c>
      <c r="F350" s="4" t="s">
        <v>936</v>
      </c>
      <c r="G350" s="4" t="s">
        <v>937</v>
      </c>
      <c r="H350" s="4" t="s">
        <v>929</v>
      </c>
      <c r="I350" s="4" t="s">
        <v>930</v>
      </c>
      <c r="J350" s="4" t="s">
        <v>931</v>
      </c>
      <c r="K350" s="4" t="s">
        <v>307</v>
      </c>
      <c r="L350" s="4" t="s">
        <v>86</v>
      </c>
      <c r="M350" s="4" t="s">
        <v>24</v>
      </c>
    </row>
    <row r="351" spans="1:13" ht="60" customHeight="1" x14ac:dyDescent="0.45">
      <c r="A351" s="5">
        <v>349</v>
      </c>
      <c r="B351" s="6" t="s">
        <v>25</v>
      </c>
      <c r="C351" s="4" t="s">
        <v>41</v>
      </c>
      <c r="D351" s="4" t="s">
        <v>27</v>
      </c>
      <c r="E351" s="4" t="s">
        <v>41</v>
      </c>
      <c r="F351" s="4" t="s">
        <v>938</v>
      </c>
      <c r="G351" s="4" t="s">
        <v>939</v>
      </c>
      <c r="H351" s="4" t="s">
        <v>940</v>
      </c>
      <c r="I351" s="4" t="s">
        <v>941</v>
      </c>
      <c r="J351" s="4" t="s">
        <v>21</v>
      </c>
      <c r="K351" s="4" t="s">
        <v>169</v>
      </c>
      <c r="L351" s="4" t="s">
        <v>170</v>
      </c>
      <c r="M351" s="4" t="s">
        <v>24</v>
      </c>
    </row>
    <row r="352" spans="1:13" ht="60" customHeight="1" x14ac:dyDescent="0.45">
      <c r="A352" s="5">
        <v>350</v>
      </c>
      <c r="B352" s="6" t="s">
        <v>25</v>
      </c>
      <c r="C352" s="4" t="s">
        <v>47</v>
      </c>
      <c r="D352" s="4" t="s">
        <v>27</v>
      </c>
      <c r="E352" s="4" t="s">
        <v>47</v>
      </c>
      <c r="F352" s="4" t="s">
        <v>942</v>
      </c>
      <c r="G352" s="4" t="s">
        <v>943</v>
      </c>
      <c r="H352" s="4" t="s">
        <v>940</v>
      </c>
      <c r="I352" s="4" t="s">
        <v>941</v>
      </c>
      <c r="J352" s="4" t="s">
        <v>21</v>
      </c>
      <c r="K352" s="4" t="s">
        <v>169</v>
      </c>
      <c r="L352" s="4" t="s">
        <v>170</v>
      </c>
      <c r="M352" s="4" t="s">
        <v>24</v>
      </c>
    </row>
    <row r="353" spans="1:13" ht="60" customHeight="1" x14ac:dyDescent="0.45">
      <c r="A353" s="7">
        <v>351</v>
      </c>
      <c r="B353" s="8" t="s">
        <v>31</v>
      </c>
      <c r="C353" s="4" t="s">
        <v>32</v>
      </c>
      <c r="D353" s="4" t="s">
        <v>33</v>
      </c>
      <c r="E353" s="4" t="s">
        <v>32</v>
      </c>
      <c r="F353" s="4" t="s">
        <v>944</v>
      </c>
      <c r="G353" s="4" t="s">
        <v>945</v>
      </c>
      <c r="H353" s="4" t="s">
        <v>946</v>
      </c>
      <c r="I353" s="4" t="s">
        <v>947</v>
      </c>
      <c r="J353" s="4" t="s">
        <v>948</v>
      </c>
      <c r="K353" s="4" t="s">
        <v>176</v>
      </c>
      <c r="L353" s="4" t="s">
        <v>177</v>
      </c>
      <c r="M353" s="4" t="s">
        <v>87</v>
      </c>
    </row>
    <row r="354" spans="1:13" ht="60" customHeight="1" x14ac:dyDescent="0.45">
      <c r="A354" s="5">
        <v>352</v>
      </c>
      <c r="B354" s="6" t="s">
        <v>25</v>
      </c>
      <c r="C354" s="4" t="s">
        <v>47</v>
      </c>
      <c r="D354" s="4" t="s">
        <v>27</v>
      </c>
      <c r="E354" s="4" t="s">
        <v>47</v>
      </c>
      <c r="F354" s="4" t="s">
        <v>949</v>
      </c>
      <c r="G354" s="4" t="s">
        <v>950</v>
      </c>
      <c r="H354" s="4" t="s">
        <v>946</v>
      </c>
      <c r="I354" s="4" t="s">
        <v>947</v>
      </c>
      <c r="J354" s="4" t="s">
        <v>948</v>
      </c>
      <c r="K354" s="4" t="s">
        <v>176</v>
      </c>
      <c r="L354" s="4" t="s">
        <v>177</v>
      </c>
      <c r="M354" s="4" t="s">
        <v>87</v>
      </c>
    </row>
    <row r="355" spans="1:13" ht="60" customHeight="1" x14ac:dyDescent="0.45">
      <c r="A355" s="5">
        <v>353</v>
      </c>
      <c r="B355" s="6" t="s">
        <v>25</v>
      </c>
      <c r="C355" s="4" t="s">
        <v>62</v>
      </c>
      <c r="D355" s="4" t="s">
        <v>27</v>
      </c>
      <c r="E355" s="4" t="s">
        <v>62</v>
      </c>
      <c r="F355" s="4" t="s">
        <v>951</v>
      </c>
      <c r="G355" s="4" t="s">
        <v>952</v>
      </c>
      <c r="H355" s="4" t="s">
        <v>953</v>
      </c>
      <c r="I355" s="4" t="s">
        <v>954</v>
      </c>
      <c r="J355" s="4" t="s">
        <v>21</v>
      </c>
      <c r="K355" s="4" t="s">
        <v>57</v>
      </c>
      <c r="L355" s="4" t="s">
        <v>40</v>
      </c>
      <c r="M355" s="4" t="s">
        <v>24</v>
      </c>
    </row>
    <row r="356" spans="1:13" ht="60" customHeight="1" x14ac:dyDescent="0.45">
      <c r="A356" s="7">
        <v>354</v>
      </c>
      <c r="B356" s="8" t="s">
        <v>31</v>
      </c>
      <c r="C356" s="4" t="s">
        <v>79</v>
      </c>
      <c r="D356" s="4" t="s">
        <v>33</v>
      </c>
      <c r="E356" s="4" t="s">
        <v>79</v>
      </c>
      <c r="F356" s="4" t="s">
        <v>955</v>
      </c>
      <c r="G356" s="4" t="s">
        <v>956</v>
      </c>
      <c r="H356" s="4" t="s">
        <v>957</v>
      </c>
      <c r="I356" s="4" t="s">
        <v>958</v>
      </c>
      <c r="J356" s="4" t="s">
        <v>749</v>
      </c>
      <c r="K356" s="4" t="s">
        <v>176</v>
      </c>
      <c r="L356" s="4" t="s">
        <v>177</v>
      </c>
      <c r="M356" s="4" t="s">
        <v>24</v>
      </c>
    </row>
    <row r="357" spans="1:13" ht="60" customHeight="1" x14ac:dyDescent="0.45">
      <c r="A357" s="7">
        <v>355</v>
      </c>
      <c r="B357" s="8" t="s">
        <v>31</v>
      </c>
      <c r="C357" s="4" t="s">
        <v>32</v>
      </c>
      <c r="D357" s="4" t="s">
        <v>33</v>
      </c>
      <c r="E357" s="4" t="s">
        <v>32</v>
      </c>
      <c r="F357" s="4" t="s">
        <v>959</v>
      </c>
      <c r="G357" s="4" t="s">
        <v>960</v>
      </c>
      <c r="H357" s="4" t="s">
        <v>957</v>
      </c>
      <c r="I357" s="4" t="s">
        <v>958</v>
      </c>
      <c r="J357" s="4" t="s">
        <v>749</v>
      </c>
      <c r="K357" s="4" t="s">
        <v>176</v>
      </c>
      <c r="L357" s="4" t="s">
        <v>177</v>
      </c>
      <c r="M357" s="4" t="s">
        <v>24</v>
      </c>
    </row>
    <row r="358" spans="1:13" ht="60" customHeight="1" x14ac:dyDescent="0.45">
      <c r="A358" s="7">
        <v>356</v>
      </c>
      <c r="B358" s="8" t="s">
        <v>31</v>
      </c>
      <c r="C358" s="4" t="s">
        <v>32</v>
      </c>
      <c r="D358" s="4" t="s">
        <v>33</v>
      </c>
      <c r="E358" s="4" t="s">
        <v>32</v>
      </c>
      <c r="F358" s="4" t="s">
        <v>961</v>
      </c>
      <c r="G358" s="4" t="s">
        <v>962</v>
      </c>
      <c r="H358" s="4" t="s">
        <v>963</v>
      </c>
      <c r="I358" s="4" t="s">
        <v>964</v>
      </c>
      <c r="J358" s="4" t="s">
        <v>21</v>
      </c>
      <c r="K358" s="4" t="s">
        <v>336</v>
      </c>
      <c r="L358" s="4" t="s">
        <v>200</v>
      </c>
      <c r="M358" s="4" t="s">
        <v>24</v>
      </c>
    </row>
    <row r="359" spans="1:13" ht="60" customHeight="1" x14ac:dyDescent="0.45">
      <c r="A359" s="7">
        <v>357</v>
      </c>
      <c r="B359" s="8" t="s">
        <v>31</v>
      </c>
      <c r="C359" s="4" t="s">
        <v>109</v>
      </c>
      <c r="D359" s="4" t="s">
        <v>33</v>
      </c>
      <c r="E359" s="4" t="s">
        <v>109</v>
      </c>
      <c r="F359" s="4" t="s">
        <v>965</v>
      </c>
      <c r="G359" s="4" t="s">
        <v>966</v>
      </c>
      <c r="H359" s="4" t="s">
        <v>963</v>
      </c>
      <c r="I359" s="4" t="s">
        <v>964</v>
      </c>
      <c r="J359" s="4" t="s">
        <v>21</v>
      </c>
      <c r="K359" s="4" t="s">
        <v>336</v>
      </c>
      <c r="L359" s="4" t="s">
        <v>200</v>
      </c>
      <c r="M359" s="4" t="s">
        <v>24</v>
      </c>
    </row>
    <row r="360" spans="1:13" ht="60" customHeight="1" x14ac:dyDescent="0.45">
      <c r="A360" s="5">
        <v>358</v>
      </c>
      <c r="B360" s="6" t="s">
        <v>25</v>
      </c>
      <c r="C360" s="4" t="s">
        <v>41</v>
      </c>
      <c r="D360" s="4" t="s">
        <v>27</v>
      </c>
      <c r="E360" s="4" t="s">
        <v>41</v>
      </c>
      <c r="F360" s="4" t="s">
        <v>967</v>
      </c>
      <c r="G360" s="4" t="s">
        <v>968</v>
      </c>
      <c r="H360" s="4" t="s">
        <v>969</v>
      </c>
      <c r="I360" s="4" t="s">
        <v>970</v>
      </c>
      <c r="J360" s="4" t="s">
        <v>971</v>
      </c>
      <c r="K360" s="4" t="s">
        <v>85</v>
      </c>
      <c r="L360" s="4" t="s">
        <v>86</v>
      </c>
      <c r="M360" s="4" t="s">
        <v>24</v>
      </c>
    </row>
    <row r="361" spans="1:13" ht="60" customHeight="1" x14ac:dyDescent="0.45">
      <c r="A361" s="5">
        <v>359</v>
      </c>
      <c r="B361" s="6" t="s">
        <v>25</v>
      </c>
      <c r="C361" s="4" t="s">
        <v>41</v>
      </c>
      <c r="D361" s="4" t="s">
        <v>27</v>
      </c>
      <c r="E361" s="4" t="s">
        <v>41</v>
      </c>
      <c r="F361" s="4" t="s">
        <v>972</v>
      </c>
      <c r="G361" s="4" t="s">
        <v>973</v>
      </c>
      <c r="H361" s="4" t="s">
        <v>969</v>
      </c>
      <c r="I361" s="4" t="s">
        <v>970</v>
      </c>
      <c r="J361" s="4" t="s">
        <v>971</v>
      </c>
      <c r="K361" s="4" t="s">
        <v>85</v>
      </c>
      <c r="L361" s="4" t="s">
        <v>86</v>
      </c>
      <c r="M361" s="4" t="s">
        <v>24</v>
      </c>
    </row>
    <row r="362" spans="1:13" ht="60" customHeight="1" x14ac:dyDescent="0.45">
      <c r="A362" s="7">
        <v>360</v>
      </c>
      <c r="B362" s="8" t="s">
        <v>31</v>
      </c>
      <c r="C362" s="4" t="s">
        <v>32</v>
      </c>
      <c r="D362" s="4" t="s">
        <v>33</v>
      </c>
      <c r="E362" s="4" t="s">
        <v>32</v>
      </c>
      <c r="F362" s="4" t="s">
        <v>974</v>
      </c>
      <c r="G362" s="4" t="s">
        <v>975</v>
      </c>
      <c r="H362" s="4" t="s">
        <v>969</v>
      </c>
      <c r="I362" s="4" t="s">
        <v>970</v>
      </c>
      <c r="J362" s="4" t="s">
        <v>971</v>
      </c>
      <c r="K362" s="4" t="s">
        <v>85</v>
      </c>
      <c r="L362" s="4" t="s">
        <v>86</v>
      </c>
      <c r="M362" s="4" t="s">
        <v>24</v>
      </c>
    </row>
    <row r="363" spans="1:13" ht="60" customHeight="1" x14ac:dyDescent="0.45">
      <c r="A363" s="5">
        <v>361</v>
      </c>
      <c r="B363" s="6" t="s">
        <v>25</v>
      </c>
      <c r="C363" s="4" t="s">
        <v>41</v>
      </c>
      <c r="D363" s="4" t="s">
        <v>27</v>
      </c>
      <c r="E363" s="4" t="s">
        <v>41</v>
      </c>
      <c r="F363" s="4" t="s">
        <v>976</v>
      </c>
      <c r="G363" s="4" t="s">
        <v>977</v>
      </c>
      <c r="H363" s="4" t="s">
        <v>978</v>
      </c>
      <c r="I363" s="4" t="s">
        <v>979</v>
      </c>
      <c r="J363" s="4" t="s">
        <v>21</v>
      </c>
      <c r="K363" s="4" t="s">
        <v>85</v>
      </c>
      <c r="L363" s="4" t="s">
        <v>86</v>
      </c>
      <c r="M363" s="4" t="s">
        <v>24</v>
      </c>
    </row>
    <row r="364" spans="1:13" ht="60" customHeight="1" x14ac:dyDescent="0.45">
      <c r="A364" s="7">
        <v>362</v>
      </c>
      <c r="B364" s="8" t="s">
        <v>31</v>
      </c>
      <c r="C364" s="4" t="s">
        <v>32</v>
      </c>
      <c r="D364" s="4" t="s">
        <v>33</v>
      </c>
      <c r="E364" s="4" t="s">
        <v>32</v>
      </c>
      <c r="F364" s="4" t="s">
        <v>980</v>
      </c>
      <c r="G364" s="4" t="s">
        <v>981</v>
      </c>
      <c r="H364" s="4" t="s">
        <v>978</v>
      </c>
      <c r="I364" s="4" t="s">
        <v>979</v>
      </c>
      <c r="J364" s="4" t="s">
        <v>21</v>
      </c>
      <c r="K364" s="4" t="s">
        <v>85</v>
      </c>
      <c r="L364" s="4" t="s">
        <v>86</v>
      </c>
      <c r="M364" s="4" t="s">
        <v>24</v>
      </c>
    </row>
    <row r="365" spans="1:13" ht="60" customHeight="1" x14ac:dyDescent="0.45">
      <c r="A365" s="5">
        <v>363</v>
      </c>
      <c r="B365" s="6" t="s">
        <v>25</v>
      </c>
      <c r="C365" s="4" t="s">
        <v>47</v>
      </c>
      <c r="D365" s="4" t="s">
        <v>27</v>
      </c>
      <c r="E365" s="4" t="s">
        <v>47</v>
      </c>
      <c r="F365" s="4" t="s">
        <v>982</v>
      </c>
      <c r="G365" s="4" t="s">
        <v>983</v>
      </c>
      <c r="H365" s="4" t="s">
        <v>978</v>
      </c>
      <c r="I365" s="4" t="s">
        <v>979</v>
      </c>
      <c r="J365" s="4" t="s">
        <v>21</v>
      </c>
      <c r="K365" s="4" t="s">
        <v>85</v>
      </c>
      <c r="L365" s="4" t="s">
        <v>86</v>
      </c>
      <c r="M365" s="4" t="s">
        <v>24</v>
      </c>
    </row>
    <row r="366" spans="1:13" ht="60" customHeight="1" x14ac:dyDescent="0.45">
      <c r="A366" s="5">
        <v>364</v>
      </c>
      <c r="B366" s="6" t="s">
        <v>25</v>
      </c>
      <c r="C366" s="4" t="s">
        <v>41</v>
      </c>
      <c r="D366" s="4" t="s">
        <v>27</v>
      </c>
      <c r="E366" s="4" t="s">
        <v>41</v>
      </c>
      <c r="F366" s="4" t="s">
        <v>984</v>
      </c>
      <c r="G366" s="4" t="s">
        <v>985</v>
      </c>
      <c r="H366" s="4" t="s">
        <v>986</v>
      </c>
      <c r="I366" s="4" t="s">
        <v>987</v>
      </c>
      <c r="J366" s="4" t="s">
        <v>21</v>
      </c>
      <c r="K366" s="4" t="s">
        <v>85</v>
      </c>
      <c r="L366" s="4" t="s">
        <v>86</v>
      </c>
      <c r="M366" s="4" t="s">
        <v>24</v>
      </c>
    </row>
    <row r="367" spans="1:13" ht="60" customHeight="1" x14ac:dyDescent="0.45">
      <c r="A367" s="5">
        <v>365</v>
      </c>
      <c r="B367" s="6" t="s">
        <v>25</v>
      </c>
      <c r="C367" s="4" t="s">
        <v>47</v>
      </c>
      <c r="D367" s="4" t="s">
        <v>27</v>
      </c>
      <c r="E367" s="4" t="s">
        <v>47</v>
      </c>
      <c r="F367" s="4" t="s">
        <v>988</v>
      </c>
      <c r="G367" s="4" t="s">
        <v>989</v>
      </c>
      <c r="H367" s="4" t="s">
        <v>986</v>
      </c>
      <c r="I367" s="4" t="s">
        <v>987</v>
      </c>
      <c r="J367" s="4" t="s">
        <v>21</v>
      </c>
      <c r="K367" s="4" t="s">
        <v>85</v>
      </c>
      <c r="L367" s="4" t="s">
        <v>86</v>
      </c>
      <c r="M367" s="4" t="s">
        <v>24</v>
      </c>
    </row>
    <row r="368" spans="1:13" ht="60" customHeight="1" x14ac:dyDescent="0.45">
      <c r="A368" s="7">
        <v>366</v>
      </c>
      <c r="B368" s="8" t="s">
        <v>31</v>
      </c>
      <c r="C368" s="4" t="s">
        <v>109</v>
      </c>
      <c r="D368" s="4" t="s">
        <v>33</v>
      </c>
      <c r="E368" s="4" t="s">
        <v>109</v>
      </c>
      <c r="F368" s="4" t="s">
        <v>990</v>
      </c>
      <c r="G368" s="4" t="s">
        <v>991</v>
      </c>
      <c r="H368" s="4" t="s">
        <v>992</v>
      </c>
      <c r="I368" s="4" t="s">
        <v>993</v>
      </c>
      <c r="J368" s="4" t="s">
        <v>21</v>
      </c>
      <c r="K368" s="4" t="s">
        <v>403</v>
      </c>
      <c r="L368" s="4" t="s">
        <v>86</v>
      </c>
      <c r="M368" s="4" t="s">
        <v>24</v>
      </c>
    </row>
    <row r="369" spans="1:13" ht="60" customHeight="1" x14ac:dyDescent="0.45">
      <c r="A369" s="7">
        <v>367</v>
      </c>
      <c r="B369" s="8" t="s">
        <v>31</v>
      </c>
      <c r="C369" s="4" t="s">
        <v>79</v>
      </c>
      <c r="D369" s="4" t="s">
        <v>33</v>
      </c>
      <c r="E369" s="4" t="s">
        <v>79</v>
      </c>
      <c r="F369" s="4" t="s">
        <v>994</v>
      </c>
      <c r="G369" s="4" t="s">
        <v>995</v>
      </c>
      <c r="H369" s="4" t="s">
        <v>996</v>
      </c>
      <c r="I369" s="4" t="s">
        <v>997</v>
      </c>
      <c r="J369" s="4" t="s">
        <v>222</v>
      </c>
      <c r="K369" s="4" t="s">
        <v>85</v>
      </c>
      <c r="L369" s="4" t="s">
        <v>86</v>
      </c>
      <c r="M369" s="4" t="s">
        <v>87</v>
      </c>
    </row>
    <row r="370" spans="1:13" ht="60" customHeight="1" x14ac:dyDescent="0.45">
      <c r="A370" s="7">
        <v>368</v>
      </c>
      <c r="B370" s="8" t="s">
        <v>31</v>
      </c>
      <c r="C370" s="4" t="s">
        <v>109</v>
      </c>
      <c r="D370" s="4" t="s">
        <v>33</v>
      </c>
      <c r="E370" s="4" t="s">
        <v>109</v>
      </c>
      <c r="F370" s="4" t="s">
        <v>998</v>
      </c>
      <c r="G370" s="4" t="s">
        <v>999</v>
      </c>
      <c r="H370" s="4" t="s">
        <v>996</v>
      </c>
      <c r="I370" s="4" t="s">
        <v>997</v>
      </c>
      <c r="J370" s="4" t="s">
        <v>222</v>
      </c>
      <c r="K370" s="4" t="s">
        <v>85</v>
      </c>
      <c r="L370" s="4" t="s">
        <v>86</v>
      </c>
      <c r="M370" s="4" t="s">
        <v>87</v>
      </c>
    </row>
    <row r="371" spans="1:13" ht="60" customHeight="1" x14ac:dyDescent="0.45">
      <c r="A371" s="7">
        <v>369</v>
      </c>
      <c r="B371" s="8" t="s">
        <v>31</v>
      </c>
      <c r="C371" s="4" t="s">
        <v>32</v>
      </c>
      <c r="D371" s="4" t="s">
        <v>33</v>
      </c>
      <c r="E371" s="4" t="s">
        <v>32</v>
      </c>
      <c r="F371" s="4" t="s">
        <v>998</v>
      </c>
      <c r="G371" s="4" t="s">
        <v>1000</v>
      </c>
      <c r="H371" s="4" t="s">
        <v>996</v>
      </c>
      <c r="I371" s="4" t="s">
        <v>997</v>
      </c>
      <c r="J371" s="4" t="s">
        <v>222</v>
      </c>
      <c r="K371" s="4" t="s">
        <v>85</v>
      </c>
      <c r="L371" s="4" t="s">
        <v>86</v>
      </c>
      <c r="M371" s="4" t="s">
        <v>87</v>
      </c>
    </row>
    <row r="372" spans="1:13" ht="60" customHeight="1" x14ac:dyDescent="0.45">
      <c r="A372" s="7">
        <v>370</v>
      </c>
      <c r="B372" s="8" t="s">
        <v>31</v>
      </c>
      <c r="C372" s="4" t="s">
        <v>109</v>
      </c>
      <c r="D372" s="4" t="s">
        <v>33</v>
      </c>
      <c r="E372" s="4" t="s">
        <v>109</v>
      </c>
      <c r="F372" s="4" t="s">
        <v>1001</v>
      </c>
      <c r="G372" s="4" t="s">
        <v>1002</v>
      </c>
      <c r="H372" s="4" t="s">
        <v>1003</v>
      </c>
      <c r="I372" s="4" t="s">
        <v>1004</v>
      </c>
      <c r="J372" s="4" t="s">
        <v>1005</v>
      </c>
      <c r="K372" s="4" t="s">
        <v>176</v>
      </c>
      <c r="L372" s="4" t="s">
        <v>177</v>
      </c>
      <c r="M372" s="4" t="s">
        <v>87</v>
      </c>
    </row>
    <row r="373" spans="1:13" ht="60" customHeight="1" x14ac:dyDescent="0.45">
      <c r="A373" s="7">
        <v>371</v>
      </c>
      <c r="B373" s="8" t="s">
        <v>31</v>
      </c>
      <c r="C373" s="4" t="s">
        <v>109</v>
      </c>
      <c r="D373" s="4" t="s">
        <v>33</v>
      </c>
      <c r="E373" s="4" t="s">
        <v>109</v>
      </c>
      <c r="F373" s="4" t="s">
        <v>1006</v>
      </c>
      <c r="G373" s="4" t="s">
        <v>1007</v>
      </c>
      <c r="H373" s="4" t="s">
        <v>1003</v>
      </c>
      <c r="I373" s="4" t="s">
        <v>1004</v>
      </c>
      <c r="J373" s="4" t="s">
        <v>1005</v>
      </c>
      <c r="K373" s="4" t="s">
        <v>176</v>
      </c>
      <c r="L373" s="4" t="s">
        <v>177</v>
      </c>
      <c r="M373" s="4" t="s">
        <v>87</v>
      </c>
    </row>
    <row r="374" spans="1:13" ht="60" customHeight="1" x14ac:dyDescent="0.45">
      <c r="A374" s="5">
        <v>372</v>
      </c>
      <c r="B374" s="6" t="s">
        <v>25</v>
      </c>
      <c r="C374" s="4" t="s">
        <v>41</v>
      </c>
      <c r="D374" s="4" t="s">
        <v>27</v>
      </c>
      <c r="E374" s="4" t="s">
        <v>41</v>
      </c>
      <c r="F374" s="4" t="s">
        <v>1008</v>
      </c>
      <c r="G374" s="4" t="s">
        <v>1009</v>
      </c>
      <c r="H374" s="4" t="s">
        <v>1003</v>
      </c>
      <c r="I374" s="4" t="s">
        <v>1004</v>
      </c>
      <c r="J374" s="4" t="s">
        <v>1005</v>
      </c>
      <c r="K374" s="4" t="s">
        <v>176</v>
      </c>
      <c r="L374" s="4" t="s">
        <v>177</v>
      </c>
      <c r="M374" s="4" t="s">
        <v>87</v>
      </c>
    </row>
    <row r="375" spans="1:13" ht="60" customHeight="1" x14ac:dyDescent="0.45">
      <c r="A375" s="5">
        <v>373</v>
      </c>
      <c r="B375" s="6" t="s">
        <v>25</v>
      </c>
      <c r="C375" s="4" t="s">
        <v>47</v>
      </c>
      <c r="D375" s="4" t="s">
        <v>27</v>
      </c>
      <c r="E375" s="4" t="s">
        <v>47</v>
      </c>
      <c r="F375" s="4" t="s">
        <v>1010</v>
      </c>
      <c r="G375" s="4" t="s">
        <v>1011</v>
      </c>
      <c r="H375" s="4" t="s">
        <v>1012</v>
      </c>
      <c r="I375" s="4" t="s">
        <v>1013</v>
      </c>
      <c r="J375" s="4" t="s">
        <v>1005</v>
      </c>
      <c r="K375" s="4" t="s">
        <v>282</v>
      </c>
      <c r="L375" s="4" t="s">
        <v>200</v>
      </c>
      <c r="M375" s="4" t="s">
        <v>87</v>
      </c>
    </row>
    <row r="376" spans="1:13" ht="60" customHeight="1" x14ac:dyDescent="0.45">
      <c r="A376" s="5">
        <v>374</v>
      </c>
      <c r="B376" s="6" t="s">
        <v>25</v>
      </c>
      <c r="C376" s="4" t="s">
        <v>41</v>
      </c>
      <c r="D376" s="4" t="s">
        <v>27</v>
      </c>
      <c r="E376" s="4" t="s">
        <v>41</v>
      </c>
      <c r="F376" s="4" t="s">
        <v>1014</v>
      </c>
      <c r="G376" s="4" t="s">
        <v>1015</v>
      </c>
      <c r="H376" s="4" t="s">
        <v>1012</v>
      </c>
      <c r="I376" s="4" t="s">
        <v>1013</v>
      </c>
      <c r="J376" s="4" t="s">
        <v>1005</v>
      </c>
      <c r="K376" s="4" t="s">
        <v>282</v>
      </c>
      <c r="L376" s="4" t="s">
        <v>200</v>
      </c>
      <c r="M376" s="4" t="s">
        <v>87</v>
      </c>
    </row>
    <row r="377" spans="1:13" ht="60" customHeight="1" x14ac:dyDescent="0.45">
      <c r="A377" s="5">
        <v>375</v>
      </c>
      <c r="B377" s="6" t="s">
        <v>25</v>
      </c>
      <c r="C377" s="4" t="s">
        <v>47</v>
      </c>
      <c r="D377" s="4" t="s">
        <v>27</v>
      </c>
      <c r="E377" s="4" t="s">
        <v>47</v>
      </c>
      <c r="F377" s="4" t="s">
        <v>1016</v>
      </c>
      <c r="G377" s="4" t="s">
        <v>1017</v>
      </c>
      <c r="H377" s="4" t="s">
        <v>1012</v>
      </c>
      <c r="I377" s="4" t="s">
        <v>1013</v>
      </c>
      <c r="J377" s="4" t="s">
        <v>1005</v>
      </c>
      <c r="K377" s="4" t="s">
        <v>282</v>
      </c>
      <c r="L377" s="4" t="s">
        <v>200</v>
      </c>
      <c r="M377" s="4" t="s">
        <v>87</v>
      </c>
    </row>
    <row r="378" spans="1:13" ht="60" customHeight="1" x14ac:dyDescent="0.45">
      <c r="A378" s="5">
        <v>376</v>
      </c>
      <c r="B378" s="6" t="s">
        <v>25</v>
      </c>
      <c r="C378" s="4" t="s">
        <v>62</v>
      </c>
      <c r="D378" s="4" t="s">
        <v>27</v>
      </c>
      <c r="E378" s="4" t="s">
        <v>62</v>
      </c>
      <c r="F378" s="4" t="s">
        <v>1018</v>
      </c>
      <c r="G378" s="4" t="s">
        <v>1019</v>
      </c>
      <c r="H378" s="4" t="s">
        <v>1012</v>
      </c>
      <c r="I378" s="4" t="s">
        <v>1013</v>
      </c>
      <c r="J378" s="4" t="s">
        <v>1005</v>
      </c>
      <c r="K378" s="4" t="s">
        <v>282</v>
      </c>
      <c r="L378" s="4" t="s">
        <v>200</v>
      </c>
      <c r="M378" s="4" t="s">
        <v>87</v>
      </c>
    </row>
    <row r="379" spans="1:13" ht="60" customHeight="1" x14ac:dyDescent="0.45">
      <c r="A379" s="5">
        <v>377</v>
      </c>
      <c r="B379" s="6" t="s">
        <v>25</v>
      </c>
      <c r="C379" s="4" t="s">
        <v>41</v>
      </c>
      <c r="D379" s="4" t="s">
        <v>27</v>
      </c>
      <c r="E379" s="4" t="s">
        <v>41</v>
      </c>
      <c r="F379" s="4" t="s">
        <v>1020</v>
      </c>
      <c r="G379" s="4" t="s">
        <v>1021</v>
      </c>
      <c r="H379" s="4" t="s">
        <v>1012</v>
      </c>
      <c r="I379" s="4" t="s">
        <v>1013</v>
      </c>
      <c r="J379" s="4" t="s">
        <v>1005</v>
      </c>
      <c r="K379" s="4" t="s">
        <v>282</v>
      </c>
      <c r="L379" s="4" t="s">
        <v>200</v>
      </c>
      <c r="M379" s="4" t="s">
        <v>87</v>
      </c>
    </row>
    <row r="380" spans="1:13" ht="60" customHeight="1" x14ac:dyDescent="0.45">
      <c r="A380" s="5">
        <v>378</v>
      </c>
      <c r="B380" s="6" t="s">
        <v>25</v>
      </c>
      <c r="C380" s="4" t="s">
        <v>62</v>
      </c>
      <c r="D380" s="4" t="s">
        <v>27</v>
      </c>
      <c r="E380" s="4" t="s">
        <v>62</v>
      </c>
      <c r="F380" s="4" t="s">
        <v>1022</v>
      </c>
      <c r="G380" s="4" t="s">
        <v>1023</v>
      </c>
      <c r="H380" s="4" t="s">
        <v>1012</v>
      </c>
      <c r="I380" s="4" t="s">
        <v>1013</v>
      </c>
      <c r="J380" s="4" t="s">
        <v>1005</v>
      </c>
      <c r="K380" s="4" t="s">
        <v>282</v>
      </c>
      <c r="L380" s="4" t="s">
        <v>200</v>
      </c>
      <c r="M380" s="4" t="s">
        <v>87</v>
      </c>
    </row>
    <row r="381" spans="1:13" ht="60" customHeight="1" x14ac:dyDescent="0.45">
      <c r="A381" s="5">
        <v>379</v>
      </c>
      <c r="B381" s="6" t="s">
        <v>25</v>
      </c>
      <c r="C381" s="4" t="s">
        <v>44</v>
      </c>
      <c r="D381" s="4" t="s">
        <v>27</v>
      </c>
      <c r="E381" s="4" t="s">
        <v>44</v>
      </c>
      <c r="F381" s="4" t="s">
        <v>1024</v>
      </c>
      <c r="G381" s="4" t="s">
        <v>1025</v>
      </c>
      <c r="H381" s="4" t="s">
        <v>1012</v>
      </c>
      <c r="I381" s="4" t="s">
        <v>1013</v>
      </c>
      <c r="J381" s="4" t="s">
        <v>1005</v>
      </c>
      <c r="K381" s="4" t="s">
        <v>282</v>
      </c>
      <c r="L381" s="4" t="s">
        <v>200</v>
      </c>
      <c r="M381" s="4" t="s">
        <v>87</v>
      </c>
    </row>
    <row r="382" spans="1:13" ht="60" customHeight="1" x14ac:dyDescent="0.45">
      <c r="A382" s="5">
        <v>380</v>
      </c>
      <c r="B382" s="6" t="s">
        <v>25</v>
      </c>
      <c r="C382" s="4" t="s">
        <v>62</v>
      </c>
      <c r="D382" s="4" t="s">
        <v>27</v>
      </c>
      <c r="E382" s="4" t="s">
        <v>62</v>
      </c>
      <c r="F382" s="4" t="s">
        <v>1026</v>
      </c>
      <c r="G382" s="4" t="s">
        <v>1027</v>
      </c>
      <c r="H382" s="4" t="s">
        <v>1012</v>
      </c>
      <c r="I382" s="4" t="s">
        <v>1013</v>
      </c>
      <c r="J382" s="4" t="s">
        <v>1005</v>
      </c>
      <c r="K382" s="4" t="s">
        <v>282</v>
      </c>
      <c r="L382" s="4" t="s">
        <v>200</v>
      </c>
      <c r="M382" s="4" t="s">
        <v>87</v>
      </c>
    </row>
    <row r="383" spans="1:13" ht="60" customHeight="1" x14ac:dyDescent="0.45">
      <c r="A383" s="5">
        <v>381</v>
      </c>
      <c r="B383" s="6" t="s">
        <v>25</v>
      </c>
      <c r="C383" s="4" t="s">
        <v>62</v>
      </c>
      <c r="D383" s="4" t="s">
        <v>27</v>
      </c>
      <c r="E383" s="4" t="s">
        <v>62</v>
      </c>
      <c r="F383" s="4" t="s">
        <v>1028</v>
      </c>
      <c r="G383" s="4" t="s">
        <v>1029</v>
      </c>
      <c r="H383" s="4" t="s">
        <v>1012</v>
      </c>
      <c r="I383" s="4" t="s">
        <v>1013</v>
      </c>
      <c r="J383" s="4" t="s">
        <v>1005</v>
      </c>
      <c r="K383" s="4" t="s">
        <v>282</v>
      </c>
      <c r="L383" s="4" t="s">
        <v>200</v>
      </c>
      <c r="M383" s="4" t="s">
        <v>87</v>
      </c>
    </row>
    <row r="384" spans="1:13" ht="60" customHeight="1" x14ac:dyDescent="0.45">
      <c r="A384" s="5">
        <v>382</v>
      </c>
      <c r="B384" s="6" t="s">
        <v>25</v>
      </c>
      <c r="C384" s="4" t="s">
        <v>114</v>
      </c>
      <c r="D384" s="4" t="s">
        <v>27</v>
      </c>
      <c r="E384" s="4" t="s">
        <v>114</v>
      </c>
      <c r="F384" s="4" t="s">
        <v>1030</v>
      </c>
      <c r="G384" s="4" t="s">
        <v>1031</v>
      </c>
      <c r="H384" s="4" t="s">
        <v>1032</v>
      </c>
      <c r="I384" s="4" t="s">
        <v>1013</v>
      </c>
      <c r="J384" s="4" t="s">
        <v>1005</v>
      </c>
      <c r="K384" s="4" t="s">
        <v>176</v>
      </c>
      <c r="L384" s="4" t="s">
        <v>177</v>
      </c>
      <c r="M384" s="4" t="s">
        <v>87</v>
      </c>
    </row>
    <row r="385" spans="1:13" ht="60" customHeight="1" x14ac:dyDescent="0.45">
      <c r="A385" s="7">
        <v>383</v>
      </c>
      <c r="B385" s="8" t="s">
        <v>31</v>
      </c>
      <c r="C385" s="4" t="s">
        <v>109</v>
      </c>
      <c r="D385" s="4" t="s">
        <v>33</v>
      </c>
      <c r="E385" s="4" t="s">
        <v>109</v>
      </c>
      <c r="F385" s="4" t="s">
        <v>1030</v>
      </c>
      <c r="G385" s="4" t="s">
        <v>1033</v>
      </c>
      <c r="H385" s="4" t="s">
        <v>1032</v>
      </c>
      <c r="I385" s="4" t="s">
        <v>1013</v>
      </c>
      <c r="J385" s="4" t="s">
        <v>1005</v>
      </c>
      <c r="K385" s="4" t="s">
        <v>176</v>
      </c>
      <c r="L385" s="4" t="s">
        <v>177</v>
      </c>
      <c r="M385" s="4" t="s">
        <v>87</v>
      </c>
    </row>
    <row r="386" spans="1:13" ht="60" customHeight="1" x14ac:dyDescent="0.45">
      <c r="A386" s="5">
        <v>384</v>
      </c>
      <c r="B386" s="6" t="s">
        <v>25</v>
      </c>
      <c r="C386" s="4" t="s">
        <v>47</v>
      </c>
      <c r="D386" s="4" t="s">
        <v>27</v>
      </c>
      <c r="E386" s="4" t="s">
        <v>47</v>
      </c>
      <c r="F386" s="4" t="s">
        <v>1034</v>
      </c>
      <c r="G386" s="4" t="s">
        <v>1035</v>
      </c>
      <c r="H386" s="4" t="s">
        <v>1036</v>
      </c>
      <c r="I386" s="4" t="s">
        <v>1037</v>
      </c>
      <c r="J386" s="4" t="s">
        <v>1038</v>
      </c>
      <c r="K386" s="4" t="s">
        <v>336</v>
      </c>
      <c r="L386" s="4" t="s">
        <v>200</v>
      </c>
      <c r="M386" s="4" t="s">
        <v>87</v>
      </c>
    </row>
    <row r="387" spans="1:13" ht="60" customHeight="1" x14ac:dyDescent="0.45">
      <c r="A387" s="7">
        <v>385</v>
      </c>
      <c r="B387" s="8" t="s">
        <v>31</v>
      </c>
      <c r="C387" s="4" t="s">
        <v>109</v>
      </c>
      <c r="D387" s="4" t="s">
        <v>33</v>
      </c>
      <c r="E387" s="4" t="s">
        <v>109</v>
      </c>
      <c r="F387" s="4" t="s">
        <v>1039</v>
      </c>
      <c r="G387" s="4" t="s">
        <v>1040</v>
      </c>
      <c r="H387" s="4" t="s">
        <v>1041</v>
      </c>
      <c r="I387" s="4" t="s">
        <v>1042</v>
      </c>
      <c r="J387" s="4" t="s">
        <v>21</v>
      </c>
      <c r="K387" s="4" t="s">
        <v>39</v>
      </c>
      <c r="L387" s="4" t="s">
        <v>40</v>
      </c>
      <c r="M387" s="4" t="s">
        <v>24</v>
      </c>
    </row>
    <row r="388" spans="1:13" ht="60" customHeight="1" x14ac:dyDescent="0.45">
      <c r="A388" s="5">
        <v>386</v>
      </c>
      <c r="B388" s="6" t="s">
        <v>25</v>
      </c>
      <c r="C388" s="4" t="s">
        <v>41</v>
      </c>
      <c r="D388" s="4" t="s">
        <v>27</v>
      </c>
      <c r="E388" s="4" t="s">
        <v>41</v>
      </c>
      <c r="F388" s="4" t="s">
        <v>1043</v>
      </c>
      <c r="G388" s="4" t="s">
        <v>1044</v>
      </c>
      <c r="H388" s="4" t="s">
        <v>1045</v>
      </c>
      <c r="I388" s="4" t="s">
        <v>1046</v>
      </c>
      <c r="J388" s="4" t="s">
        <v>21</v>
      </c>
      <c r="K388" s="4" t="s">
        <v>169</v>
      </c>
      <c r="L388" s="4" t="s">
        <v>170</v>
      </c>
      <c r="M388" s="4" t="s">
        <v>24</v>
      </c>
    </row>
    <row r="389" spans="1:13" ht="60" customHeight="1" x14ac:dyDescent="0.45">
      <c r="A389" s="5">
        <v>387</v>
      </c>
      <c r="B389" s="6" t="s">
        <v>25</v>
      </c>
      <c r="C389" s="4" t="s">
        <v>41</v>
      </c>
      <c r="D389" s="4" t="s">
        <v>27</v>
      </c>
      <c r="E389" s="4" t="s">
        <v>41</v>
      </c>
      <c r="F389" s="4" t="s">
        <v>1047</v>
      </c>
      <c r="G389" s="4" t="s">
        <v>1048</v>
      </c>
      <c r="H389" s="4" t="s">
        <v>1049</v>
      </c>
      <c r="I389" s="4" t="s">
        <v>1050</v>
      </c>
      <c r="J389" s="4" t="s">
        <v>1051</v>
      </c>
      <c r="K389" s="4" t="s">
        <v>127</v>
      </c>
      <c r="L389" s="4" t="s">
        <v>23</v>
      </c>
      <c r="M389" s="4" t="s">
        <v>24</v>
      </c>
    </row>
    <row r="390" spans="1:13" ht="60" customHeight="1" x14ac:dyDescent="0.45">
      <c r="A390" s="7">
        <v>388</v>
      </c>
      <c r="B390" s="8" t="s">
        <v>31</v>
      </c>
      <c r="C390" s="4" t="s">
        <v>109</v>
      </c>
      <c r="D390" s="4" t="s">
        <v>33</v>
      </c>
      <c r="E390" s="4" t="s">
        <v>109</v>
      </c>
      <c r="F390" s="4" t="s">
        <v>1052</v>
      </c>
      <c r="G390" s="4" t="s">
        <v>1053</v>
      </c>
      <c r="H390" s="4" t="s">
        <v>1049</v>
      </c>
      <c r="I390" s="4" t="s">
        <v>1050</v>
      </c>
      <c r="J390" s="4" t="s">
        <v>1051</v>
      </c>
      <c r="K390" s="4" t="s">
        <v>127</v>
      </c>
      <c r="L390" s="4" t="s">
        <v>23</v>
      </c>
      <c r="M390" s="4" t="s">
        <v>24</v>
      </c>
    </row>
    <row r="391" spans="1:13" ht="60" customHeight="1" x14ac:dyDescent="0.45">
      <c r="A391" s="5">
        <v>389</v>
      </c>
      <c r="B391" s="6" t="s">
        <v>25</v>
      </c>
      <c r="C391" s="4" t="s">
        <v>41</v>
      </c>
      <c r="D391" s="4" t="s">
        <v>27</v>
      </c>
      <c r="E391" s="4" t="s">
        <v>41</v>
      </c>
      <c r="F391" s="4" t="s">
        <v>1054</v>
      </c>
      <c r="G391" s="4" t="s">
        <v>1055</v>
      </c>
      <c r="H391" s="4" t="s">
        <v>1049</v>
      </c>
      <c r="I391" s="4" t="s">
        <v>1050</v>
      </c>
      <c r="J391" s="4" t="s">
        <v>1051</v>
      </c>
      <c r="K391" s="4" t="s">
        <v>127</v>
      </c>
      <c r="L391" s="4" t="s">
        <v>23</v>
      </c>
      <c r="M391" s="4" t="s">
        <v>24</v>
      </c>
    </row>
    <row r="392" spans="1:13" ht="60" customHeight="1" x14ac:dyDescent="0.45">
      <c r="A392" s="5">
        <v>390</v>
      </c>
      <c r="B392" s="6" t="s">
        <v>25</v>
      </c>
      <c r="C392" s="4" t="s">
        <v>114</v>
      </c>
      <c r="D392" s="4" t="s">
        <v>27</v>
      </c>
      <c r="E392" s="4" t="s">
        <v>114</v>
      </c>
      <c r="F392" s="4" t="s">
        <v>1056</v>
      </c>
      <c r="G392" s="4" t="s">
        <v>1057</v>
      </c>
      <c r="H392" s="4" t="s">
        <v>1058</v>
      </c>
      <c r="I392" s="4" t="s">
        <v>1059</v>
      </c>
      <c r="J392" s="4" t="s">
        <v>1060</v>
      </c>
      <c r="K392" s="4" t="s">
        <v>563</v>
      </c>
      <c r="L392" s="4" t="s">
        <v>177</v>
      </c>
      <c r="M392" s="4" t="s">
        <v>24</v>
      </c>
    </row>
    <row r="393" spans="1:13" ht="60" customHeight="1" x14ac:dyDescent="0.45">
      <c r="A393" s="5">
        <v>391</v>
      </c>
      <c r="B393" s="6" t="s">
        <v>25</v>
      </c>
      <c r="C393" s="4" t="s">
        <v>47</v>
      </c>
      <c r="D393" s="4" t="s">
        <v>27</v>
      </c>
      <c r="E393" s="4" t="s">
        <v>47</v>
      </c>
      <c r="F393" s="4" t="s">
        <v>1061</v>
      </c>
      <c r="G393" s="4" t="s">
        <v>1062</v>
      </c>
      <c r="H393" s="4" t="s">
        <v>1058</v>
      </c>
      <c r="I393" s="4" t="s">
        <v>1059</v>
      </c>
      <c r="J393" s="4" t="s">
        <v>1060</v>
      </c>
      <c r="K393" s="4" t="s">
        <v>563</v>
      </c>
      <c r="L393" s="4" t="s">
        <v>177</v>
      </c>
      <c r="M393" s="4" t="s">
        <v>24</v>
      </c>
    </row>
    <row r="394" spans="1:13" ht="60" customHeight="1" x14ac:dyDescent="0.45">
      <c r="A394" s="5">
        <v>392</v>
      </c>
      <c r="B394" s="6" t="s">
        <v>25</v>
      </c>
      <c r="C394" s="4" t="s">
        <v>62</v>
      </c>
      <c r="D394" s="4" t="s">
        <v>27</v>
      </c>
      <c r="E394" s="4" t="s">
        <v>62</v>
      </c>
      <c r="F394" s="4" t="s">
        <v>1063</v>
      </c>
      <c r="G394" s="4" t="s">
        <v>1064</v>
      </c>
      <c r="H394" s="4" t="s">
        <v>1058</v>
      </c>
      <c r="I394" s="4" t="s">
        <v>1059</v>
      </c>
      <c r="J394" s="4" t="s">
        <v>1060</v>
      </c>
      <c r="K394" s="4" t="s">
        <v>563</v>
      </c>
      <c r="L394" s="4" t="s">
        <v>177</v>
      </c>
      <c r="M394" s="4" t="s">
        <v>24</v>
      </c>
    </row>
    <row r="395" spans="1:13" ht="60" customHeight="1" x14ac:dyDescent="0.45">
      <c r="A395" s="7">
        <v>393</v>
      </c>
      <c r="B395" s="8" t="s">
        <v>31</v>
      </c>
      <c r="C395" s="4" t="s">
        <v>32</v>
      </c>
      <c r="D395" s="4" t="s">
        <v>33</v>
      </c>
      <c r="E395" s="4" t="s">
        <v>32</v>
      </c>
      <c r="F395" s="4" t="s">
        <v>1065</v>
      </c>
      <c r="G395" s="4" t="s">
        <v>1066</v>
      </c>
      <c r="H395" s="4" t="s">
        <v>1067</v>
      </c>
      <c r="I395" s="4" t="s">
        <v>1068</v>
      </c>
      <c r="J395" s="4" t="s">
        <v>1069</v>
      </c>
      <c r="K395" s="4" t="s">
        <v>1070</v>
      </c>
      <c r="L395" s="4" t="s">
        <v>170</v>
      </c>
      <c r="M395" s="4" t="s">
        <v>24</v>
      </c>
    </row>
    <row r="396" spans="1:13" ht="60" customHeight="1" x14ac:dyDescent="0.45">
      <c r="A396" s="7">
        <v>394</v>
      </c>
      <c r="B396" s="8" t="s">
        <v>31</v>
      </c>
      <c r="C396" s="4" t="s">
        <v>109</v>
      </c>
      <c r="D396" s="4" t="s">
        <v>33</v>
      </c>
      <c r="E396" s="4" t="s">
        <v>109</v>
      </c>
      <c r="F396" s="4" t="s">
        <v>1071</v>
      </c>
      <c r="G396" s="4" t="s">
        <v>1072</v>
      </c>
      <c r="H396" s="4" t="s">
        <v>1067</v>
      </c>
      <c r="I396" s="4" t="s">
        <v>1068</v>
      </c>
      <c r="J396" s="4" t="s">
        <v>1069</v>
      </c>
      <c r="K396" s="4" t="s">
        <v>1070</v>
      </c>
      <c r="L396" s="4" t="s">
        <v>170</v>
      </c>
      <c r="M396" s="4" t="s">
        <v>24</v>
      </c>
    </row>
    <row r="397" spans="1:13" ht="60" customHeight="1" x14ac:dyDescent="0.45">
      <c r="A397" s="5">
        <v>395</v>
      </c>
      <c r="B397" s="6" t="s">
        <v>25</v>
      </c>
      <c r="C397" s="4" t="s">
        <v>41</v>
      </c>
      <c r="D397" s="4" t="s">
        <v>27</v>
      </c>
      <c r="E397" s="4" t="s">
        <v>41</v>
      </c>
      <c r="F397" s="4" t="s">
        <v>1073</v>
      </c>
      <c r="G397" s="4" t="s">
        <v>1074</v>
      </c>
      <c r="H397" s="4" t="s">
        <v>1067</v>
      </c>
      <c r="I397" s="4" t="s">
        <v>1068</v>
      </c>
      <c r="J397" s="4" t="s">
        <v>1069</v>
      </c>
      <c r="K397" s="4" t="s">
        <v>1070</v>
      </c>
      <c r="L397" s="4" t="s">
        <v>170</v>
      </c>
      <c r="M397" s="4" t="s">
        <v>24</v>
      </c>
    </row>
    <row r="398" spans="1:13" ht="60" customHeight="1" x14ac:dyDescent="0.45">
      <c r="A398" s="5">
        <v>396</v>
      </c>
      <c r="B398" s="6" t="s">
        <v>25</v>
      </c>
      <c r="C398" s="4" t="s">
        <v>47</v>
      </c>
      <c r="D398" s="4" t="s">
        <v>27</v>
      </c>
      <c r="E398" s="4" t="s">
        <v>47</v>
      </c>
      <c r="F398" s="4" t="s">
        <v>1075</v>
      </c>
      <c r="G398" s="4" t="s">
        <v>1076</v>
      </c>
      <c r="H398" s="4" t="s">
        <v>1067</v>
      </c>
      <c r="I398" s="4" t="s">
        <v>1068</v>
      </c>
      <c r="J398" s="4" t="s">
        <v>1069</v>
      </c>
      <c r="K398" s="4" t="s">
        <v>1070</v>
      </c>
      <c r="L398" s="4" t="s">
        <v>170</v>
      </c>
      <c r="M398" s="4" t="s">
        <v>24</v>
      </c>
    </row>
    <row r="399" spans="1:13" ht="60" customHeight="1" x14ac:dyDescent="0.45">
      <c r="A399" s="5">
        <v>397</v>
      </c>
      <c r="B399" s="6" t="s">
        <v>25</v>
      </c>
      <c r="C399" s="4" t="s">
        <v>41</v>
      </c>
      <c r="D399" s="4" t="s">
        <v>27</v>
      </c>
      <c r="E399" s="4" t="s">
        <v>41</v>
      </c>
      <c r="F399" s="4" t="s">
        <v>1077</v>
      </c>
      <c r="G399" s="4" t="s">
        <v>1078</v>
      </c>
      <c r="H399" s="4" t="s">
        <v>1067</v>
      </c>
      <c r="I399" s="4" t="s">
        <v>1068</v>
      </c>
      <c r="J399" s="4" t="s">
        <v>1069</v>
      </c>
      <c r="K399" s="4" t="s">
        <v>1070</v>
      </c>
      <c r="L399" s="4" t="s">
        <v>170</v>
      </c>
      <c r="M399" s="4" t="s">
        <v>24</v>
      </c>
    </row>
    <row r="400" spans="1:13" ht="60" customHeight="1" x14ac:dyDescent="0.45">
      <c r="A400" s="7">
        <v>398</v>
      </c>
      <c r="B400" s="8" t="s">
        <v>31</v>
      </c>
      <c r="C400" s="4" t="s">
        <v>79</v>
      </c>
      <c r="D400" s="4" t="s">
        <v>33</v>
      </c>
      <c r="E400" s="4" t="s">
        <v>79</v>
      </c>
      <c r="F400" s="4" t="s">
        <v>1079</v>
      </c>
      <c r="G400" s="4" t="s">
        <v>1080</v>
      </c>
      <c r="H400" s="4" t="s">
        <v>1067</v>
      </c>
      <c r="I400" s="4" t="s">
        <v>1068</v>
      </c>
      <c r="J400" s="4" t="s">
        <v>1069</v>
      </c>
      <c r="K400" s="4" t="s">
        <v>1070</v>
      </c>
      <c r="L400" s="4" t="s">
        <v>170</v>
      </c>
      <c r="M400" s="4" t="s">
        <v>24</v>
      </c>
    </row>
    <row r="401" spans="1:13" ht="60" customHeight="1" x14ac:dyDescent="0.45">
      <c r="A401" s="5">
        <v>399</v>
      </c>
      <c r="B401" s="6" t="s">
        <v>25</v>
      </c>
      <c r="C401" s="4" t="s">
        <v>41</v>
      </c>
      <c r="D401" s="4" t="s">
        <v>27</v>
      </c>
      <c r="E401" s="4" t="s">
        <v>41</v>
      </c>
      <c r="F401" s="4" t="s">
        <v>1081</v>
      </c>
      <c r="G401" s="4" t="s">
        <v>1082</v>
      </c>
      <c r="H401" s="4" t="s">
        <v>1083</v>
      </c>
      <c r="I401" s="4" t="s">
        <v>1084</v>
      </c>
      <c r="J401" s="4" t="s">
        <v>749</v>
      </c>
      <c r="K401" s="4" t="s">
        <v>39</v>
      </c>
      <c r="L401" s="4" t="s">
        <v>40</v>
      </c>
      <c r="M401" s="4" t="s">
        <v>24</v>
      </c>
    </row>
    <row r="402" spans="1:13" ht="60" customHeight="1" x14ac:dyDescent="0.45">
      <c r="A402" s="5">
        <v>400</v>
      </c>
      <c r="B402" s="6" t="s">
        <v>25</v>
      </c>
      <c r="C402" s="4" t="s">
        <v>47</v>
      </c>
      <c r="D402" s="4" t="s">
        <v>27</v>
      </c>
      <c r="E402" s="4" t="s">
        <v>47</v>
      </c>
      <c r="F402" s="4" t="s">
        <v>1085</v>
      </c>
      <c r="G402" s="4" t="s">
        <v>1086</v>
      </c>
      <c r="H402" s="4" t="s">
        <v>1083</v>
      </c>
      <c r="I402" s="4" t="s">
        <v>1084</v>
      </c>
      <c r="J402" s="4" t="s">
        <v>749</v>
      </c>
      <c r="K402" s="4" t="s">
        <v>39</v>
      </c>
      <c r="L402" s="4" t="s">
        <v>40</v>
      </c>
      <c r="M402" s="4" t="s">
        <v>24</v>
      </c>
    </row>
    <row r="403" spans="1:13" ht="60" customHeight="1" x14ac:dyDescent="0.45">
      <c r="A403" s="5">
        <v>401</v>
      </c>
      <c r="B403" s="6" t="s">
        <v>25</v>
      </c>
      <c r="C403" s="4" t="s">
        <v>62</v>
      </c>
      <c r="D403" s="4" t="s">
        <v>27</v>
      </c>
      <c r="E403" s="4" t="s">
        <v>62</v>
      </c>
      <c r="F403" s="4" t="s">
        <v>1087</v>
      </c>
      <c r="G403" s="4" t="s">
        <v>1088</v>
      </c>
      <c r="H403" s="4" t="s">
        <v>1083</v>
      </c>
      <c r="I403" s="4" t="s">
        <v>1084</v>
      </c>
      <c r="J403" s="4" t="s">
        <v>749</v>
      </c>
      <c r="K403" s="4" t="s">
        <v>39</v>
      </c>
      <c r="L403" s="4" t="s">
        <v>40</v>
      </c>
      <c r="M403" s="4" t="s">
        <v>24</v>
      </c>
    </row>
    <row r="404" spans="1:13" ht="60" customHeight="1" x14ac:dyDescent="0.45">
      <c r="A404" s="7">
        <v>402</v>
      </c>
      <c r="B404" s="8" t="s">
        <v>31</v>
      </c>
      <c r="C404" s="4" t="s">
        <v>32</v>
      </c>
      <c r="D404" s="4" t="s">
        <v>33</v>
      </c>
      <c r="E404" s="4" t="s">
        <v>32</v>
      </c>
      <c r="F404" s="4" t="s">
        <v>1089</v>
      </c>
      <c r="G404" s="4" t="s">
        <v>1090</v>
      </c>
      <c r="H404" s="4" t="s">
        <v>1083</v>
      </c>
      <c r="I404" s="4" t="s">
        <v>1084</v>
      </c>
      <c r="J404" s="4" t="s">
        <v>749</v>
      </c>
      <c r="K404" s="4" t="s">
        <v>39</v>
      </c>
      <c r="L404" s="4" t="s">
        <v>40</v>
      </c>
      <c r="M404" s="4" t="s">
        <v>24</v>
      </c>
    </row>
    <row r="405" spans="1:13" ht="60" customHeight="1" x14ac:dyDescent="0.45">
      <c r="A405" s="5">
        <v>403</v>
      </c>
      <c r="B405" s="6" t="s">
        <v>25</v>
      </c>
      <c r="C405" s="4" t="s">
        <v>44</v>
      </c>
      <c r="D405" s="4" t="s">
        <v>27</v>
      </c>
      <c r="E405" s="4" t="s">
        <v>44</v>
      </c>
      <c r="F405" s="4" t="s">
        <v>1091</v>
      </c>
      <c r="G405" s="4" t="s">
        <v>1092</v>
      </c>
      <c r="H405" s="4" t="s">
        <v>1093</v>
      </c>
      <c r="I405" s="4" t="s">
        <v>1094</v>
      </c>
      <c r="J405" s="4" t="s">
        <v>21</v>
      </c>
      <c r="K405" s="4" t="s">
        <v>403</v>
      </c>
      <c r="L405" s="4" t="s">
        <v>86</v>
      </c>
      <c r="M405" s="4" t="s">
        <v>24</v>
      </c>
    </row>
    <row r="406" spans="1:13" ht="60" customHeight="1" x14ac:dyDescent="0.45">
      <c r="A406" s="5">
        <v>404</v>
      </c>
      <c r="B406" s="6" t="s">
        <v>25</v>
      </c>
      <c r="C406" s="4" t="s">
        <v>41</v>
      </c>
      <c r="D406" s="4" t="s">
        <v>27</v>
      </c>
      <c r="E406" s="4" t="s">
        <v>41</v>
      </c>
      <c r="F406" s="4" t="s">
        <v>1095</v>
      </c>
      <c r="G406" s="4" t="s">
        <v>1096</v>
      </c>
      <c r="H406" s="4" t="s">
        <v>1093</v>
      </c>
      <c r="I406" s="4" t="s">
        <v>1094</v>
      </c>
      <c r="J406" s="4" t="s">
        <v>21</v>
      </c>
      <c r="K406" s="4" t="s">
        <v>403</v>
      </c>
      <c r="L406" s="4" t="s">
        <v>86</v>
      </c>
      <c r="M406" s="4" t="s">
        <v>24</v>
      </c>
    </row>
    <row r="407" spans="1:13" ht="60" customHeight="1" x14ac:dyDescent="0.45">
      <c r="A407" s="5">
        <v>405</v>
      </c>
      <c r="B407" s="6" t="s">
        <v>25</v>
      </c>
      <c r="C407" s="4" t="s">
        <v>41</v>
      </c>
      <c r="D407" s="4" t="s">
        <v>27</v>
      </c>
      <c r="E407" s="4" t="s">
        <v>41</v>
      </c>
      <c r="F407" s="4" t="s">
        <v>1097</v>
      </c>
      <c r="G407" s="4" t="s">
        <v>1098</v>
      </c>
      <c r="H407" s="4" t="s">
        <v>1093</v>
      </c>
      <c r="I407" s="4" t="s">
        <v>1094</v>
      </c>
      <c r="J407" s="4" t="s">
        <v>21</v>
      </c>
      <c r="K407" s="4" t="s">
        <v>403</v>
      </c>
      <c r="L407" s="4" t="s">
        <v>86</v>
      </c>
      <c r="M407" s="4" t="s">
        <v>24</v>
      </c>
    </row>
    <row r="408" spans="1:13" ht="60" customHeight="1" x14ac:dyDescent="0.45">
      <c r="A408" s="5">
        <v>406</v>
      </c>
      <c r="B408" s="6" t="s">
        <v>25</v>
      </c>
      <c r="C408" s="4" t="s">
        <v>44</v>
      </c>
      <c r="D408" s="4" t="s">
        <v>27</v>
      </c>
      <c r="E408" s="4" t="s">
        <v>44</v>
      </c>
      <c r="F408" s="4" t="s">
        <v>1099</v>
      </c>
      <c r="G408" s="4" t="s">
        <v>1100</v>
      </c>
      <c r="H408" s="4" t="s">
        <v>1093</v>
      </c>
      <c r="I408" s="4" t="s">
        <v>1094</v>
      </c>
      <c r="J408" s="4" t="s">
        <v>21</v>
      </c>
      <c r="K408" s="4" t="s">
        <v>403</v>
      </c>
      <c r="L408" s="4" t="s">
        <v>86</v>
      </c>
      <c r="M408" s="4" t="s">
        <v>24</v>
      </c>
    </row>
    <row r="409" spans="1:13" ht="60" customHeight="1" x14ac:dyDescent="0.45">
      <c r="A409" s="5">
        <v>407</v>
      </c>
      <c r="B409" s="6" t="s">
        <v>25</v>
      </c>
      <c r="C409" s="4" t="s">
        <v>44</v>
      </c>
      <c r="D409" s="4" t="s">
        <v>27</v>
      </c>
      <c r="E409" s="4" t="s">
        <v>44</v>
      </c>
      <c r="F409" s="4" t="s">
        <v>1101</v>
      </c>
      <c r="G409" s="4" t="s">
        <v>1102</v>
      </c>
      <c r="H409" s="4" t="s">
        <v>1103</v>
      </c>
      <c r="I409" s="4" t="s">
        <v>1104</v>
      </c>
      <c r="J409" s="4" t="s">
        <v>21</v>
      </c>
      <c r="K409" s="4" t="s">
        <v>1105</v>
      </c>
      <c r="L409" s="4" t="s">
        <v>86</v>
      </c>
      <c r="M409" s="4" t="s">
        <v>24</v>
      </c>
    </row>
    <row r="410" spans="1:13" ht="60" customHeight="1" x14ac:dyDescent="0.45">
      <c r="A410" s="5">
        <v>408</v>
      </c>
      <c r="B410" s="6" t="s">
        <v>25</v>
      </c>
      <c r="C410" s="4" t="s">
        <v>41</v>
      </c>
      <c r="D410" s="4" t="s">
        <v>27</v>
      </c>
      <c r="E410" s="4" t="s">
        <v>41</v>
      </c>
      <c r="F410" s="4" t="s">
        <v>1106</v>
      </c>
      <c r="G410" s="4" t="s">
        <v>1107</v>
      </c>
      <c r="H410" s="4" t="s">
        <v>1103</v>
      </c>
      <c r="I410" s="4" t="s">
        <v>1104</v>
      </c>
      <c r="J410" s="4" t="s">
        <v>21</v>
      </c>
      <c r="K410" s="4" t="s">
        <v>1105</v>
      </c>
      <c r="L410" s="4" t="s">
        <v>86</v>
      </c>
      <c r="M410" s="4" t="s">
        <v>24</v>
      </c>
    </row>
    <row r="411" spans="1:13" ht="60" customHeight="1" x14ac:dyDescent="0.45">
      <c r="A411" s="5">
        <v>409</v>
      </c>
      <c r="B411" s="6" t="s">
        <v>25</v>
      </c>
      <c r="C411" s="4" t="s">
        <v>47</v>
      </c>
      <c r="D411" s="4" t="s">
        <v>27</v>
      </c>
      <c r="E411" s="4" t="s">
        <v>47</v>
      </c>
      <c r="F411" s="4" t="s">
        <v>1108</v>
      </c>
      <c r="G411" s="4" t="s">
        <v>1109</v>
      </c>
      <c r="H411" s="4" t="s">
        <v>1103</v>
      </c>
      <c r="I411" s="4" t="s">
        <v>1104</v>
      </c>
      <c r="J411" s="4" t="s">
        <v>21</v>
      </c>
      <c r="K411" s="4" t="s">
        <v>1105</v>
      </c>
      <c r="L411" s="4" t="s">
        <v>86</v>
      </c>
      <c r="M411" s="4" t="s">
        <v>24</v>
      </c>
    </row>
    <row r="412" spans="1:13" ht="60" customHeight="1" x14ac:dyDescent="0.45">
      <c r="A412" s="2">
        <v>410</v>
      </c>
      <c r="B412" s="3" t="s">
        <v>14</v>
      </c>
      <c r="C412" s="4" t="s">
        <v>29</v>
      </c>
      <c r="D412" s="4" t="s">
        <v>16</v>
      </c>
      <c r="E412" s="4" t="s">
        <v>29</v>
      </c>
      <c r="F412" s="4" t="s">
        <v>1110</v>
      </c>
      <c r="G412" s="4" t="s">
        <v>1111</v>
      </c>
      <c r="H412" s="4" t="s">
        <v>1103</v>
      </c>
      <c r="I412" s="4" t="s">
        <v>1104</v>
      </c>
      <c r="J412" s="4" t="s">
        <v>21</v>
      </c>
      <c r="K412" s="4" t="s">
        <v>1105</v>
      </c>
      <c r="L412" s="4" t="s">
        <v>86</v>
      </c>
      <c r="M412" s="4" t="s">
        <v>24</v>
      </c>
    </row>
    <row r="413" spans="1:13" ht="60" customHeight="1" x14ac:dyDescent="0.45">
      <c r="A413" s="5">
        <v>411</v>
      </c>
      <c r="B413" s="6" t="s">
        <v>25</v>
      </c>
      <c r="C413" s="4" t="s">
        <v>26</v>
      </c>
      <c r="D413" s="4" t="s">
        <v>27</v>
      </c>
      <c r="E413" s="4" t="s">
        <v>26</v>
      </c>
      <c r="F413" s="4" t="s">
        <v>1112</v>
      </c>
      <c r="G413" s="4" t="s">
        <v>1113</v>
      </c>
      <c r="H413" s="4" t="s">
        <v>1103</v>
      </c>
      <c r="I413" s="4" t="s">
        <v>1104</v>
      </c>
      <c r="J413" s="4" t="s">
        <v>21</v>
      </c>
      <c r="K413" s="4" t="s">
        <v>1105</v>
      </c>
      <c r="L413" s="4" t="s">
        <v>86</v>
      </c>
      <c r="M413" s="4" t="s">
        <v>24</v>
      </c>
    </row>
    <row r="414" spans="1:13" ht="60" customHeight="1" x14ac:dyDescent="0.45">
      <c r="A414" s="7">
        <v>412</v>
      </c>
      <c r="B414" s="8" t="s">
        <v>31</v>
      </c>
      <c r="C414" s="4" t="s">
        <v>32</v>
      </c>
      <c r="D414" s="4" t="s">
        <v>33</v>
      </c>
      <c r="E414" s="4" t="s">
        <v>32</v>
      </c>
      <c r="F414" s="4" t="s">
        <v>1114</v>
      </c>
      <c r="G414" s="4" t="s">
        <v>1115</v>
      </c>
      <c r="H414" s="4" t="s">
        <v>1116</v>
      </c>
      <c r="I414" s="4" t="s">
        <v>1117</v>
      </c>
      <c r="J414" s="4" t="s">
        <v>638</v>
      </c>
      <c r="K414" s="4" t="s">
        <v>127</v>
      </c>
      <c r="L414" s="4" t="s">
        <v>23</v>
      </c>
      <c r="M414" s="4" t="s">
        <v>24</v>
      </c>
    </row>
    <row r="415" spans="1:13" ht="60" customHeight="1" x14ac:dyDescent="0.45">
      <c r="A415" s="7">
        <v>413</v>
      </c>
      <c r="B415" s="8" t="s">
        <v>31</v>
      </c>
      <c r="C415" s="4" t="s">
        <v>32</v>
      </c>
      <c r="D415" s="4" t="s">
        <v>33</v>
      </c>
      <c r="E415" s="4" t="s">
        <v>32</v>
      </c>
      <c r="F415" s="4" t="s">
        <v>1118</v>
      </c>
      <c r="G415" s="4" t="s">
        <v>1119</v>
      </c>
      <c r="H415" s="4" t="s">
        <v>1116</v>
      </c>
      <c r="I415" s="4" t="s">
        <v>1117</v>
      </c>
      <c r="J415" s="4" t="s">
        <v>638</v>
      </c>
      <c r="K415" s="4" t="s">
        <v>127</v>
      </c>
      <c r="L415" s="4" t="s">
        <v>23</v>
      </c>
      <c r="M415" s="4" t="s">
        <v>24</v>
      </c>
    </row>
    <row r="416" spans="1:13" ht="60" customHeight="1" x14ac:dyDescent="0.45">
      <c r="A416" s="5">
        <v>414</v>
      </c>
      <c r="B416" s="6" t="s">
        <v>25</v>
      </c>
      <c r="C416" s="4" t="s">
        <v>47</v>
      </c>
      <c r="D416" s="4" t="s">
        <v>27</v>
      </c>
      <c r="E416" s="4" t="s">
        <v>47</v>
      </c>
      <c r="F416" s="4" t="s">
        <v>1120</v>
      </c>
      <c r="G416" s="4" t="s">
        <v>1121</v>
      </c>
      <c r="H416" s="4" t="s">
        <v>1116</v>
      </c>
      <c r="I416" s="4" t="s">
        <v>1117</v>
      </c>
      <c r="J416" s="4" t="s">
        <v>638</v>
      </c>
      <c r="K416" s="4" t="s">
        <v>127</v>
      </c>
      <c r="L416" s="4" t="s">
        <v>23</v>
      </c>
      <c r="M416" s="4" t="s">
        <v>24</v>
      </c>
    </row>
    <row r="417" spans="1:13" ht="60" customHeight="1" x14ac:dyDescent="0.45">
      <c r="A417" s="5">
        <v>415</v>
      </c>
      <c r="B417" s="6" t="s">
        <v>25</v>
      </c>
      <c r="C417" s="4" t="s">
        <v>62</v>
      </c>
      <c r="D417" s="4" t="s">
        <v>27</v>
      </c>
      <c r="E417" s="4" t="s">
        <v>62</v>
      </c>
      <c r="F417" s="4" t="s">
        <v>1122</v>
      </c>
      <c r="G417" s="4" t="s">
        <v>1123</v>
      </c>
      <c r="H417" s="4" t="s">
        <v>1116</v>
      </c>
      <c r="I417" s="4" t="s">
        <v>1117</v>
      </c>
      <c r="J417" s="4" t="s">
        <v>638</v>
      </c>
      <c r="K417" s="4" t="s">
        <v>127</v>
      </c>
      <c r="L417" s="4" t="s">
        <v>23</v>
      </c>
      <c r="M417" s="4" t="s">
        <v>24</v>
      </c>
    </row>
    <row r="418" spans="1:13" ht="60" customHeight="1" x14ac:dyDescent="0.45">
      <c r="A418" s="7">
        <v>416</v>
      </c>
      <c r="B418" s="8" t="s">
        <v>31</v>
      </c>
      <c r="C418" s="4" t="s">
        <v>109</v>
      </c>
      <c r="D418" s="4" t="s">
        <v>33</v>
      </c>
      <c r="E418" s="4" t="s">
        <v>109</v>
      </c>
      <c r="F418" s="4" t="s">
        <v>1124</v>
      </c>
      <c r="G418" s="4" t="s">
        <v>1125</v>
      </c>
      <c r="H418" s="4" t="s">
        <v>1116</v>
      </c>
      <c r="I418" s="4" t="s">
        <v>1117</v>
      </c>
      <c r="J418" s="4" t="s">
        <v>638</v>
      </c>
      <c r="K418" s="4" t="s">
        <v>127</v>
      </c>
      <c r="L418" s="4" t="s">
        <v>23</v>
      </c>
      <c r="M418" s="4" t="s">
        <v>24</v>
      </c>
    </row>
    <row r="419" spans="1:13" ht="60" customHeight="1" x14ac:dyDescent="0.45">
      <c r="A419" s="5">
        <v>417</v>
      </c>
      <c r="B419" s="6" t="s">
        <v>25</v>
      </c>
      <c r="C419" s="4" t="s">
        <v>26</v>
      </c>
      <c r="D419" s="4" t="s">
        <v>27</v>
      </c>
      <c r="E419" s="4" t="s">
        <v>26</v>
      </c>
      <c r="F419" s="4" t="s">
        <v>1126</v>
      </c>
      <c r="G419" s="4" t="s">
        <v>1127</v>
      </c>
      <c r="H419" s="4" t="s">
        <v>1116</v>
      </c>
      <c r="I419" s="4" t="s">
        <v>1117</v>
      </c>
      <c r="J419" s="4" t="s">
        <v>638</v>
      </c>
      <c r="K419" s="4" t="s">
        <v>127</v>
      </c>
      <c r="L419" s="4" t="s">
        <v>23</v>
      </c>
      <c r="M419" s="4" t="s">
        <v>24</v>
      </c>
    </row>
    <row r="420" spans="1:13" ht="60" customHeight="1" x14ac:dyDescent="0.45">
      <c r="A420" s="2">
        <v>418</v>
      </c>
      <c r="B420" s="3" t="s">
        <v>14</v>
      </c>
      <c r="C420" s="4" t="s">
        <v>137</v>
      </c>
      <c r="D420" s="4" t="s">
        <v>16</v>
      </c>
      <c r="E420" s="4" t="s">
        <v>137</v>
      </c>
      <c r="F420" s="4" t="s">
        <v>1126</v>
      </c>
      <c r="G420" s="4" t="s">
        <v>1128</v>
      </c>
      <c r="H420" s="4" t="s">
        <v>1116</v>
      </c>
      <c r="I420" s="4" t="s">
        <v>1117</v>
      </c>
      <c r="J420" s="4" t="s">
        <v>638</v>
      </c>
      <c r="K420" s="4" t="s">
        <v>127</v>
      </c>
      <c r="L420" s="4" t="s">
        <v>23</v>
      </c>
      <c r="M420" s="4" t="s">
        <v>24</v>
      </c>
    </row>
    <row r="421" spans="1:13" ht="60" customHeight="1" x14ac:dyDescent="0.45">
      <c r="A421" s="5">
        <v>419</v>
      </c>
      <c r="B421" s="6" t="s">
        <v>25</v>
      </c>
      <c r="C421" s="4" t="s">
        <v>41</v>
      </c>
      <c r="D421" s="4" t="s">
        <v>27</v>
      </c>
      <c r="E421" s="4" t="s">
        <v>41</v>
      </c>
      <c r="F421" s="4" t="s">
        <v>1129</v>
      </c>
      <c r="G421" s="4" t="s">
        <v>1130</v>
      </c>
      <c r="H421" s="4" t="s">
        <v>1116</v>
      </c>
      <c r="I421" s="4" t="s">
        <v>1117</v>
      </c>
      <c r="J421" s="4" t="s">
        <v>638</v>
      </c>
      <c r="K421" s="4" t="s">
        <v>127</v>
      </c>
      <c r="L421" s="4" t="s">
        <v>23</v>
      </c>
      <c r="M421" s="4" t="s">
        <v>24</v>
      </c>
    </row>
    <row r="422" spans="1:13" ht="60" customHeight="1" x14ac:dyDescent="0.45">
      <c r="A422" s="5">
        <v>420</v>
      </c>
      <c r="B422" s="6" t="s">
        <v>25</v>
      </c>
      <c r="C422" s="4" t="s">
        <v>41</v>
      </c>
      <c r="D422" s="4" t="s">
        <v>27</v>
      </c>
      <c r="E422" s="4" t="s">
        <v>41</v>
      </c>
      <c r="F422" s="4" t="s">
        <v>1131</v>
      </c>
      <c r="G422" s="4" t="s">
        <v>1132</v>
      </c>
      <c r="H422" s="4" t="s">
        <v>1133</v>
      </c>
      <c r="I422" s="4" t="s">
        <v>1134</v>
      </c>
      <c r="J422" s="4" t="s">
        <v>321</v>
      </c>
      <c r="K422" s="4" t="s">
        <v>39</v>
      </c>
      <c r="L422" s="4" t="s">
        <v>40</v>
      </c>
      <c r="M422" s="4" t="s">
        <v>24</v>
      </c>
    </row>
    <row r="423" spans="1:13" ht="60" customHeight="1" x14ac:dyDescent="0.45">
      <c r="A423" s="7">
        <v>421</v>
      </c>
      <c r="B423" s="8" t="s">
        <v>31</v>
      </c>
      <c r="C423" s="4" t="s">
        <v>32</v>
      </c>
      <c r="D423" s="4" t="s">
        <v>33</v>
      </c>
      <c r="E423" s="4" t="s">
        <v>32</v>
      </c>
      <c r="F423" s="4" t="s">
        <v>1135</v>
      </c>
      <c r="G423" s="4" t="s">
        <v>1136</v>
      </c>
      <c r="H423" s="4" t="s">
        <v>1133</v>
      </c>
      <c r="I423" s="4" t="s">
        <v>1134</v>
      </c>
      <c r="J423" s="4" t="s">
        <v>321</v>
      </c>
      <c r="K423" s="4" t="s">
        <v>39</v>
      </c>
      <c r="L423" s="4" t="s">
        <v>40</v>
      </c>
      <c r="M423" s="4" t="s">
        <v>24</v>
      </c>
    </row>
    <row r="424" spans="1:13" ht="60" customHeight="1" x14ac:dyDescent="0.45">
      <c r="A424" s="5">
        <v>422</v>
      </c>
      <c r="B424" s="6" t="s">
        <v>25</v>
      </c>
      <c r="C424" s="4" t="s">
        <v>41</v>
      </c>
      <c r="D424" s="4" t="s">
        <v>27</v>
      </c>
      <c r="E424" s="4" t="s">
        <v>41</v>
      </c>
      <c r="F424" s="4" t="s">
        <v>1137</v>
      </c>
      <c r="G424" s="4" t="s">
        <v>1138</v>
      </c>
      <c r="H424" s="4" t="s">
        <v>1133</v>
      </c>
      <c r="I424" s="4" t="s">
        <v>1134</v>
      </c>
      <c r="J424" s="4" t="s">
        <v>321</v>
      </c>
      <c r="K424" s="4" t="s">
        <v>39</v>
      </c>
      <c r="L424" s="4" t="s">
        <v>40</v>
      </c>
      <c r="M424" s="4" t="s">
        <v>24</v>
      </c>
    </row>
    <row r="425" spans="1:13" ht="60" customHeight="1" x14ac:dyDescent="0.45">
      <c r="A425" s="5">
        <v>423</v>
      </c>
      <c r="B425" s="6" t="s">
        <v>25</v>
      </c>
      <c r="C425" s="4" t="s">
        <v>47</v>
      </c>
      <c r="D425" s="4" t="s">
        <v>27</v>
      </c>
      <c r="E425" s="4" t="s">
        <v>47</v>
      </c>
      <c r="F425" s="4" t="s">
        <v>1139</v>
      </c>
      <c r="G425" s="4" t="s">
        <v>1140</v>
      </c>
      <c r="H425" s="4" t="s">
        <v>1133</v>
      </c>
      <c r="I425" s="4" t="s">
        <v>1134</v>
      </c>
      <c r="J425" s="4" t="s">
        <v>321</v>
      </c>
      <c r="K425" s="4" t="s">
        <v>39</v>
      </c>
      <c r="L425" s="4" t="s">
        <v>40</v>
      </c>
      <c r="M425" s="4" t="s">
        <v>24</v>
      </c>
    </row>
    <row r="426" spans="1:13" ht="60" customHeight="1" x14ac:dyDescent="0.45">
      <c r="A426" s="7">
        <v>424</v>
      </c>
      <c r="B426" s="8" t="s">
        <v>31</v>
      </c>
      <c r="C426" s="4" t="s">
        <v>32</v>
      </c>
      <c r="D426" s="4" t="s">
        <v>33</v>
      </c>
      <c r="E426" s="4" t="s">
        <v>32</v>
      </c>
      <c r="F426" s="4" t="s">
        <v>1141</v>
      </c>
      <c r="G426" s="4" t="s">
        <v>1142</v>
      </c>
      <c r="H426" s="4" t="s">
        <v>1143</v>
      </c>
      <c r="I426" s="4" t="s">
        <v>1144</v>
      </c>
      <c r="J426" s="4" t="s">
        <v>21</v>
      </c>
      <c r="K426" s="4" t="s">
        <v>199</v>
      </c>
      <c r="L426" s="4" t="s">
        <v>200</v>
      </c>
      <c r="M426" s="4" t="s">
        <v>24</v>
      </c>
    </row>
    <row r="427" spans="1:13" ht="60" customHeight="1" x14ac:dyDescent="0.45">
      <c r="A427" s="7">
        <v>425</v>
      </c>
      <c r="B427" s="8" t="s">
        <v>31</v>
      </c>
      <c r="C427" s="4" t="s">
        <v>32</v>
      </c>
      <c r="D427" s="4" t="s">
        <v>33</v>
      </c>
      <c r="E427" s="4" t="s">
        <v>32</v>
      </c>
      <c r="F427" s="4" t="s">
        <v>1145</v>
      </c>
      <c r="G427" s="4" t="s">
        <v>1146</v>
      </c>
      <c r="H427" s="4" t="s">
        <v>1143</v>
      </c>
      <c r="I427" s="4" t="s">
        <v>1144</v>
      </c>
      <c r="J427" s="4" t="s">
        <v>21</v>
      </c>
      <c r="K427" s="4" t="s">
        <v>199</v>
      </c>
      <c r="L427" s="4" t="s">
        <v>200</v>
      </c>
      <c r="M427" s="4" t="s">
        <v>24</v>
      </c>
    </row>
    <row r="428" spans="1:13" ht="60" customHeight="1" x14ac:dyDescent="0.45">
      <c r="A428" s="5">
        <v>426</v>
      </c>
      <c r="B428" s="6" t="s">
        <v>25</v>
      </c>
      <c r="C428" s="4" t="s">
        <v>41</v>
      </c>
      <c r="D428" s="4" t="s">
        <v>27</v>
      </c>
      <c r="E428" s="4" t="s">
        <v>41</v>
      </c>
      <c r="F428" s="4" t="s">
        <v>1147</v>
      </c>
      <c r="G428" s="4" t="s">
        <v>1148</v>
      </c>
      <c r="H428" s="4" t="s">
        <v>1143</v>
      </c>
      <c r="I428" s="4" t="s">
        <v>1144</v>
      </c>
      <c r="J428" s="4" t="s">
        <v>21</v>
      </c>
      <c r="K428" s="4" t="s">
        <v>199</v>
      </c>
      <c r="L428" s="4" t="s">
        <v>200</v>
      </c>
      <c r="M428" s="4" t="s">
        <v>24</v>
      </c>
    </row>
    <row r="429" spans="1:13" ht="60" customHeight="1" x14ac:dyDescent="0.45">
      <c r="A429" s="5">
        <v>427</v>
      </c>
      <c r="B429" s="6" t="s">
        <v>25</v>
      </c>
      <c r="C429" s="4" t="s">
        <v>41</v>
      </c>
      <c r="D429" s="4" t="s">
        <v>27</v>
      </c>
      <c r="E429" s="4" t="s">
        <v>41</v>
      </c>
      <c r="F429" s="4" t="s">
        <v>1149</v>
      </c>
      <c r="G429" s="4" t="s">
        <v>1150</v>
      </c>
      <c r="H429" s="4" t="s">
        <v>1143</v>
      </c>
      <c r="I429" s="4" t="s">
        <v>1144</v>
      </c>
      <c r="J429" s="4" t="s">
        <v>21</v>
      </c>
      <c r="K429" s="4" t="s">
        <v>199</v>
      </c>
      <c r="L429" s="4" t="s">
        <v>200</v>
      </c>
      <c r="M429" s="4" t="s">
        <v>24</v>
      </c>
    </row>
    <row r="430" spans="1:13" ht="60" customHeight="1" x14ac:dyDescent="0.45">
      <c r="A430" s="5">
        <v>428</v>
      </c>
      <c r="B430" s="6" t="s">
        <v>25</v>
      </c>
      <c r="C430" s="4" t="s">
        <v>41</v>
      </c>
      <c r="D430" s="4" t="s">
        <v>27</v>
      </c>
      <c r="E430" s="4" t="s">
        <v>41</v>
      </c>
      <c r="F430" s="4" t="s">
        <v>1151</v>
      </c>
      <c r="G430" s="4" t="s">
        <v>1152</v>
      </c>
      <c r="H430" s="4" t="s">
        <v>1153</v>
      </c>
      <c r="I430" s="4" t="s">
        <v>1154</v>
      </c>
      <c r="J430" s="4" t="s">
        <v>21</v>
      </c>
      <c r="K430" s="4" t="s">
        <v>57</v>
      </c>
      <c r="L430" s="4" t="s">
        <v>40</v>
      </c>
      <c r="M430" s="4" t="s">
        <v>24</v>
      </c>
    </row>
    <row r="431" spans="1:13" ht="60" customHeight="1" x14ac:dyDescent="0.45">
      <c r="A431" s="5">
        <v>429</v>
      </c>
      <c r="B431" s="6" t="s">
        <v>25</v>
      </c>
      <c r="C431" s="4" t="s">
        <v>41</v>
      </c>
      <c r="D431" s="4" t="s">
        <v>27</v>
      </c>
      <c r="E431" s="4" t="s">
        <v>41</v>
      </c>
      <c r="F431" s="4" t="s">
        <v>1155</v>
      </c>
      <c r="G431" s="4" t="s">
        <v>1156</v>
      </c>
      <c r="H431" s="4" t="s">
        <v>1153</v>
      </c>
      <c r="I431" s="4" t="s">
        <v>1154</v>
      </c>
      <c r="J431" s="4" t="s">
        <v>21</v>
      </c>
      <c r="K431" s="4" t="s">
        <v>57</v>
      </c>
      <c r="L431" s="4" t="s">
        <v>40</v>
      </c>
      <c r="M431" s="4" t="s">
        <v>24</v>
      </c>
    </row>
    <row r="432" spans="1:13" ht="60" customHeight="1" x14ac:dyDescent="0.45">
      <c r="A432" s="5">
        <v>430</v>
      </c>
      <c r="B432" s="6" t="s">
        <v>25</v>
      </c>
      <c r="C432" s="4" t="s">
        <v>41</v>
      </c>
      <c r="D432" s="4" t="s">
        <v>27</v>
      </c>
      <c r="E432" s="4" t="s">
        <v>41</v>
      </c>
      <c r="F432" s="4" t="s">
        <v>1157</v>
      </c>
      <c r="G432" s="4" t="s">
        <v>1158</v>
      </c>
      <c r="H432" s="4" t="s">
        <v>1159</v>
      </c>
      <c r="I432" s="4" t="s">
        <v>1160</v>
      </c>
      <c r="J432" s="4" t="s">
        <v>21</v>
      </c>
      <c r="K432" s="4" t="s">
        <v>199</v>
      </c>
      <c r="L432" s="4" t="s">
        <v>200</v>
      </c>
      <c r="M432" s="4" t="s">
        <v>24</v>
      </c>
    </row>
    <row r="433" spans="1:13" ht="60" customHeight="1" x14ac:dyDescent="0.45">
      <c r="A433" s="7">
        <v>431</v>
      </c>
      <c r="B433" s="8" t="s">
        <v>31</v>
      </c>
      <c r="C433" s="4" t="s">
        <v>32</v>
      </c>
      <c r="D433" s="4" t="s">
        <v>33</v>
      </c>
      <c r="E433" s="4" t="s">
        <v>32</v>
      </c>
      <c r="F433" s="4" t="s">
        <v>1161</v>
      </c>
      <c r="G433" s="4" t="s">
        <v>1162</v>
      </c>
      <c r="H433" s="4" t="s">
        <v>1159</v>
      </c>
      <c r="I433" s="4" t="s">
        <v>1160</v>
      </c>
      <c r="J433" s="4" t="s">
        <v>21</v>
      </c>
      <c r="K433" s="4" t="s">
        <v>199</v>
      </c>
      <c r="L433" s="4" t="s">
        <v>200</v>
      </c>
      <c r="M433" s="4" t="s">
        <v>24</v>
      </c>
    </row>
    <row r="434" spans="1:13" ht="60" customHeight="1" x14ac:dyDescent="0.45">
      <c r="A434" s="5">
        <v>432</v>
      </c>
      <c r="B434" s="6" t="s">
        <v>25</v>
      </c>
      <c r="C434" s="4" t="s">
        <v>62</v>
      </c>
      <c r="D434" s="4" t="s">
        <v>27</v>
      </c>
      <c r="E434" s="4" t="s">
        <v>62</v>
      </c>
      <c r="F434" s="4" t="s">
        <v>1163</v>
      </c>
      <c r="G434" s="4" t="s">
        <v>1164</v>
      </c>
      <c r="H434" s="4" t="s">
        <v>1159</v>
      </c>
      <c r="I434" s="4" t="s">
        <v>1160</v>
      </c>
      <c r="J434" s="4" t="s">
        <v>21</v>
      </c>
      <c r="K434" s="4" t="s">
        <v>199</v>
      </c>
      <c r="L434" s="4" t="s">
        <v>200</v>
      </c>
      <c r="M434" s="4" t="s">
        <v>24</v>
      </c>
    </row>
    <row r="435" spans="1:13" ht="60" customHeight="1" x14ac:dyDescent="0.45">
      <c r="A435" s="5">
        <v>433</v>
      </c>
      <c r="B435" s="6" t="s">
        <v>25</v>
      </c>
      <c r="C435" s="4" t="s">
        <v>41</v>
      </c>
      <c r="D435" s="4" t="s">
        <v>27</v>
      </c>
      <c r="E435" s="4" t="s">
        <v>41</v>
      </c>
      <c r="F435" s="4" t="s">
        <v>1165</v>
      </c>
      <c r="G435" s="4" t="s">
        <v>1166</v>
      </c>
      <c r="H435" s="4" t="s">
        <v>1167</v>
      </c>
      <c r="I435" s="4" t="s">
        <v>1168</v>
      </c>
      <c r="J435" s="4" t="s">
        <v>442</v>
      </c>
      <c r="K435" s="4" t="s">
        <v>211</v>
      </c>
      <c r="L435" s="4" t="s">
        <v>86</v>
      </c>
      <c r="M435" s="4" t="s">
        <v>24</v>
      </c>
    </row>
    <row r="436" spans="1:13" ht="60" customHeight="1" x14ac:dyDescent="0.45">
      <c r="A436" s="5">
        <v>434</v>
      </c>
      <c r="B436" s="6" t="s">
        <v>25</v>
      </c>
      <c r="C436" s="4" t="s">
        <v>41</v>
      </c>
      <c r="D436" s="4" t="s">
        <v>27</v>
      </c>
      <c r="E436" s="4" t="s">
        <v>41</v>
      </c>
      <c r="F436" s="4" t="s">
        <v>1169</v>
      </c>
      <c r="G436" s="4" t="s">
        <v>1170</v>
      </c>
      <c r="H436" s="4" t="s">
        <v>1167</v>
      </c>
      <c r="I436" s="4" t="s">
        <v>1168</v>
      </c>
      <c r="J436" s="4" t="s">
        <v>442</v>
      </c>
      <c r="K436" s="4" t="s">
        <v>211</v>
      </c>
      <c r="L436" s="4" t="s">
        <v>86</v>
      </c>
      <c r="M436" s="4" t="s">
        <v>24</v>
      </c>
    </row>
    <row r="437" spans="1:13" ht="60" customHeight="1" x14ac:dyDescent="0.45">
      <c r="A437" s="5">
        <v>435</v>
      </c>
      <c r="B437" s="6" t="s">
        <v>25</v>
      </c>
      <c r="C437" s="4" t="s">
        <v>41</v>
      </c>
      <c r="D437" s="4" t="s">
        <v>27</v>
      </c>
      <c r="E437" s="4" t="s">
        <v>41</v>
      </c>
      <c r="F437" s="4" t="s">
        <v>1171</v>
      </c>
      <c r="G437" s="4" t="s">
        <v>1172</v>
      </c>
      <c r="H437" s="4" t="s">
        <v>1173</v>
      </c>
      <c r="I437" s="4" t="s">
        <v>1174</v>
      </c>
      <c r="J437" s="4" t="s">
        <v>198</v>
      </c>
      <c r="K437" s="4" t="s">
        <v>403</v>
      </c>
      <c r="L437" s="4" t="s">
        <v>86</v>
      </c>
      <c r="M437" s="4" t="s">
        <v>24</v>
      </c>
    </row>
    <row r="438" spans="1:13" ht="60" customHeight="1" x14ac:dyDescent="0.45">
      <c r="A438" s="5">
        <v>436</v>
      </c>
      <c r="B438" s="6" t="s">
        <v>25</v>
      </c>
      <c r="C438" s="4" t="s">
        <v>41</v>
      </c>
      <c r="D438" s="4" t="s">
        <v>27</v>
      </c>
      <c r="E438" s="4" t="s">
        <v>41</v>
      </c>
      <c r="F438" s="4" t="s">
        <v>1175</v>
      </c>
      <c r="G438" s="4" t="s">
        <v>1176</v>
      </c>
      <c r="H438" s="4" t="s">
        <v>1177</v>
      </c>
      <c r="I438" s="4" t="s">
        <v>1178</v>
      </c>
      <c r="J438" s="4" t="s">
        <v>21</v>
      </c>
      <c r="K438" s="4" t="s">
        <v>501</v>
      </c>
      <c r="L438" s="4" t="s">
        <v>86</v>
      </c>
      <c r="M438" s="4" t="s">
        <v>24</v>
      </c>
    </row>
    <row r="439" spans="1:13" ht="60" customHeight="1" x14ac:dyDescent="0.45">
      <c r="A439" s="5">
        <v>437</v>
      </c>
      <c r="B439" s="6" t="s">
        <v>25</v>
      </c>
      <c r="C439" s="4" t="s">
        <v>47</v>
      </c>
      <c r="D439" s="4" t="s">
        <v>27</v>
      </c>
      <c r="E439" s="4" t="s">
        <v>47</v>
      </c>
      <c r="F439" s="4" t="s">
        <v>1179</v>
      </c>
      <c r="G439" s="4" t="s">
        <v>1180</v>
      </c>
      <c r="H439" s="4" t="s">
        <v>1177</v>
      </c>
      <c r="I439" s="4" t="s">
        <v>1178</v>
      </c>
      <c r="J439" s="4" t="s">
        <v>21</v>
      </c>
      <c r="K439" s="4" t="s">
        <v>501</v>
      </c>
      <c r="L439" s="4" t="s">
        <v>86</v>
      </c>
      <c r="M439" s="4" t="s">
        <v>24</v>
      </c>
    </row>
    <row r="440" spans="1:13" ht="60" customHeight="1" x14ac:dyDescent="0.45">
      <c r="A440" s="5">
        <v>438</v>
      </c>
      <c r="B440" s="6" t="s">
        <v>25</v>
      </c>
      <c r="C440" s="4" t="s">
        <v>41</v>
      </c>
      <c r="D440" s="4" t="s">
        <v>27</v>
      </c>
      <c r="E440" s="4" t="s">
        <v>41</v>
      </c>
      <c r="F440" s="4" t="s">
        <v>1181</v>
      </c>
      <c r="G440" s="4" t="s">
        <v>1182</v>
      </c>
      <c r="H440" s="4" t="s">
        <v>1183</v>
      </c>
      <c r="I440" s="4" t="s">
        <v>1184</v>
      </c>
      <c r="J440" s="4" t="s">
        <v>21</v>
      </c>
      <c r="K440" s="4" t="s">
        <v>211</v>
      </c>
      <c r="L440" s="4" t="s">
        <v>86</v>
      </c>
      <c r="M440" s="4" t="s">
        <v>24</v>
      </c>
    </row>
    <row r="441" spans="1:13" ht="60" customHeight="1" x14ac:dyDescent="0.45">
      <c r="A441" s="5">
        <v>439</v>
      </c>
      <c r="B441" s="6" t="s">
        <v>25</v>
      </c>
      <c r="C441" s="4" t="s">
        <v>41</v>
      </c>
      <c r="D441" s="4" t="s">
        <v>27</v>
      </c>
      <c r="E441" s="4" t="s">
        <v>41</v>
      </c>
      <c r="F441" s="4" t="s">
        <v>1185</v>
      </c>
      <c r="G441" s="4" t="s">
        <v>1186</v>
      </c>
      <c r="H441" s="4" t="s">
        <v>1183</v>
      </c>
      <c r="I441" s="4" t="s">
        <v>1184</v>
      </c>
      <c r="J441" s="4" t="s">
        <v>21</v>
      </c>
      <c r="K441" s="4" t="s">
        <v>211</v>
      </c>
      <c r="L441" s="4" t="s">
        <v>86</v>
      </c>
      <c r="M441" s="4" t="s">
        <v>24</v>
      </c>
    </row>
    <row r="442" spans="1:13" ht="60" customHeight="1" x14ac:dyDescent="0.45">
      <c r="A442" s="5">
        <v>440</v>
      </c>
      <c r="B442" s="6" t="s">
        <v>25</v>
      </c>
      <c r="C442" s="4" t="s">
        <v>47</v>
      </c>
      <c r="D442" s="4" t="s">
        <v>27</v>
      </c>
      <c r="E442" s="4" t="s">
        <v>47</v>
      </c>
      <c r="F442" s="4" t="s">
        <v>1187</v>
      </c>
      <c r="G442" s="4" t="s">
        <v>1188</v>
      </c>
      <c r="H442" s="4" t="s">
        <v>1183</v>
      </c>
      <c r="I442" s="4" t="s">
        <v>1184</v>
      </c>
      <c r="J442" s="4" t="s">
        <v>21</v>
      </c>
      <c r="K442" s="4" t="s">
        <v>211</v>
      </c>
      <c r="L442" s="4" t="s">
        <v>86</v>
      </c>
      <c r="M442" s="4" t="s">
        <v>24</v>
      </c>
    </row>
    <row r="443" spans="1:13" ht="60" customHeight="1" x14ac:dyDescent="0.45">
      <c r="A443" s="5">
        <v>441</v>
      </c>
      <c r="B443" s="6" t="s">
        <v>25</v>
      </c>
      <c r="C443" s="4" t="s">
        <v>47</v>
      </c>
      <c r="D443" s="4" t="s">
        <v>27</v>
      </c>
      <c r="E443" s="4" t="s">
        <v>47</v>
      </c>
      <c r="F443" s="4" t="s">
        <v>1189</v>
      </c>
      <c r="G443" s="4" t="s">
        <v>1190</v>
      </c>
      <c r="H443" s="4" t="s">
        <v>1183</v>
      </c>
      <c r="I443" s="4" t="s">
        <v>1184</v>
      </c>
      <c r="J443" s="4" t="s">
        <v>21</v>
      </c>
      <c r="K443" s="4" t="s">
        <v>211</v>
      </c>
      <c r="L443" s="4" t="s">
        <v>86</v>
      </c>
      <c r="M443" s="4" t="s">
        <v>24</v>
      </c>
    </row>
    <row r="444" spans="1:13" ht="60" customHeight="1" x14ac:dyDescent="0.45">
      <c r="A444" s="5">
        <v>442</v>
      </c>
      <c r="B444" s="6" t="s">
        <v>25</v>
      </c>
      <c r="C444" s="4" t="s">
        <v>41</v>
      </c>
      <c r="D444" s="4" t="s">
        <v>27</v>
      </c>
      <c r="E444" s="4" t="s">
        <v>41</v>
      </c>
      <c r="F444" s="4" t="s">
        <v>1191</v>
      </c>
      <c r="G444" s="4" t="s">
        <v>1192</v>
      </c>
      <c r="H444" s="4" t="s">
        <v>1193</v>
      </c>
      <c r="I444" s="4" t="s">
        <v>1194</v>
      </c>
      <c r="J444" s="4" t="s">
        <v>1195</v>
      </c>
      <c r="K444" s="4" t="s">
        <v>199</v>
      </c>
      <c r="L444" s="4" t="s">
        <v>200</v>
      </c>
      <c r="M444" s="4" t="s">
        <v>87</v>
      </c>
    </row>
    <row r="445" spans="1:13" ht="60" customHeight="1" x14ac:dyDescent="0.45">
      <c r="A445" s="5">
        <v>443</v>
      </c>
      <c r="B445" s="6" t="s">
        <v>25</v>
      </c>
      <c r="C445" s="4" t="s">
        <v>47</v>
      </c>
      <c r="D445" s="4" t="s">
        <v>27</v>
      </c>
      <c r="E445" s="4" t="s">
        <v>47</v>
      </c>
      <c r="F445" s="4" t="s">
        <v>1196</v>
      </c>
      <c r="G445" s="4" t="s">
        <v>1197</v>
      </c>
      <c r="H445" s="4" t="s">
        <v>1193</v>
      </c>
      <c r="I445" s="4" t="s">
        <v>1194</v>
      </c>
      <c r="J445" s="4" t="s">
        <v>1195</v>
      </c>
      <c r="K445" s="4" t="s">
        <v>199</v>
      </c>
      <c r="L445" s="4" t="s">
        <v>200</v>
      </c>
      <c r="M445" s="4" t="s">
        <v>87</v>
      </c>
    </row>
    <row r="446" spans="1:13" ht="60" customHeight="1" x14ac:dyDescent="0.45">
      <c r="A446" s="7">
        <v>444</v>
      </c>
      <c r="B446" s="8" t="s">
        <v>31</v>
      </c>
      <c r="C446" s="4" t="s">
        <v>32</v>
      </c>
      <c r="D446" s="4" t="s">
        <v>33</v>
      </c>
      <c r="E446" s="4" t="s">
        <v>32</v>
      </c>
      <c r="F446" s="4" t="s">
        <v>1198</v>
      </c>
      <c r="G446" s="4" t="s">
        <v>1199</v>
      </c>
      <c r="H446" s="4" t="s">
        <v>1200</v>
      </c>
      <c r="I446" s="4" t="s">
        <v>1201</v>
      </c>
      <c r="J446" s="4" t="s">
        <v>222</v>
      </c>
      <c r="K446" s="4" t="s">
        <v>127</v>
      </c>
      <c r="L446" s="4" t="s">
        <v>23</v>
      </c>
      <c r="M446" s="4" t="s">
        <v>87</v>
      </c>
    </row>
    <row r="447" spans="1:13" ht="60" customHeight="1" x14ac:dyDescent="0.45">
      <c r="A447" s="7">
        <v>445</v>
      </c>
      <c r="B447" s="8" t="s">
        <v>31</v>
      </c>
      <c r="C447" s="4" t="s">
        <v>79</v>
      </c>
      <c r="D447" s="4" t="s">
        <v>33</v>
      </c>
      <c r="E447" s="4" t="s">
        <v>79</v>
      </c>
      <c r="F447" s="4" t="s">
        <v>1202</v>
      </c>
      <c r="G447" s="4" t="s">
        <v>1203</v>
      </c>
      <c r="H447" s="4" t="s">
        <v>1200</v>
      </c>
      <c r="I447" s="4" t="s">
        <v>1201</v>
      </c>
      <c r="J447" s="4" t="s">
        <v>222</v>
      </c>
      <c r="K447" s="4" t="s">
        <v>127</v>
      </c>
      <c r="L447" s="4" t="s">
        <v>23</v>
      </c>
      <c r="M447" s="4" t="s">
        <v>87</v>
      </c>
    </row>
    <row r="448" spans="1:13" ht="60" customHeight="1" x14ac:dyDescent="0.45">
      <c r="A448" s="7">
        <v>446</v>
      </c>
      <c r="B448" s="8" t="s">
        <v>31</v>
      </c>
      <c r="C448" s="4" t="s">
        <v>32</v>
      </c>
      <c r="D448" s="4" t="s">
        <v>33</v>
      </c>
      <c r="E448" s="4" t="s">
        <v>32</v>
      </c>
      <c r="F448" s="4" t="s">
        <v>1204</v>
      </c>
      <c r="G448" s="4" t="s">
        <v>1205</v>
      </c>
      <c r="H448" s="4" t="s">
        <v>1206</v>
      </c>
      <c r="I448" s="4" t="s">
        <v>1207</v>
      </c>
      <c r="J448" s="4" t="s">
        <v>948</v>
      </c>
      <c r="K448" s="4" t="s">
        <v>127</v>
      </c>
      <c r="L448" s="4" t="s">
        <v>23</v>
      </c>
      <c r="M448" s="4" t="s">
        <v>87</v>
      </c>
    </row>
    <row r="449" spans="1:13" ht="60" customHeight="1" x14ac:dyDescent="0.45">
      <c r="A449" s="7">
        <v>447</v>
      </c>
      <c r="B449" s="8" t="s">
        <v>31</v>
      </c>
      <c r="C449" s="4" t="s">
        <v>32</v>
      </c>
      <c r="D449" s="4" t="s">
        <v>33</v>
      </c>
      <c r="E449" s="4" t="s">
        <v>32</v>
      </c>
      <c r="F449" s="4" t="s">
        <v>1208</v>
      </c>
      <c r="G449" s="4" t="s">
        <v>1209</v>
      </c>
      <c r="H449" s="4" t="s">
        <v>1210</v>
      </c>
      <c r="I449" s="4" t="s">
        <v>1207</v>
      </c>
      <c r="J449" s="4" t="s">
        <v>948</v>
      </c>
      <c r="K449" s="4" t="s">
        <v>1211</v>
      </c>
      <c r="L449" s="4" t="s">
        <v>86</v>
      </c>
      <c r="M449" s="4" t="s">
        <v>87</v>
      </c>
    </row>
    <row r="450" spans="1:13" ht="60" customHeight="1" x14ac:dyDescent="0.45">
      <c r="A450" s="7">
        <v>448</v>
      </c>
      <c r="B450" s="8" t="s">
        <v>31</v>
      </c>
      <c r="C450" s="4" t="s">
        <v>32</v>
      </c>
      <c r="D450" s="4" t="s">
        <v>33</v>
      </c>
      <c r="E450" s="4" t="s">
        <v>32</v>
      </c>
      <c r="F450" s="4" t="s">
        <v>1212</v>
      </c>
      <c r="G450" s="4" t="s">
        <v>1213</v>
      </c>
      <c r="H450" s="4" t="s">
        <v>1210</v>
      </c>
      <c r="I450" s="4" t="s">
        <v>1207</v>
      </c>
      <c r="J450" s="4" t="s">
        <v>948</v>
      </c>
      <c r="K450" s="4" t="s">
        <v>1211</v>
      </c>
      <c r="L450" s="4" t="s">
        <v>86</v>
      </c>
      <c r="M450" s="4" t="s">
        <v>87</v>
      </c>
    </row>
    <row r="451" spans="1:13" ht="60" customHeight="1" x14ac:dyDescent="0.45">
      <c r="A451" s="5">
        <v>449</v>
      </c>
      <c r="B451" s="6" t="s">
        <v>25</v>
      </c>
      <c r="C451" s="4" t="s">
        <v>47</v>
      </c>
      <c r="D451" s="4" t="s">
        <v>27</v>
      </c>
      <c r="E451" s="4" t="s">
        <v>47</v>
      </c>
      <c r="F451" s="4" t="s">
        <v>1214</v>
      </c>
      <c r="G451" s="4" t="s">
        <v>1215</v>
      </c>
      <c r="H451" s="4" t="s">
        <v>1210</v>
      </c>
      <c r="I451" s="4" t="s">
        <v>1207</v>
      </c>
      <c r="J451" s="4" t="s">
        <v>948</v>
      </c>
      <c r="K451" s="4" t="s">
        <v>1211</v>
      </c>
      <c r="L451" s="4" t="s">
        <v>86</v>
      </c>
      <c r="M451" s="4" t="s">
        <v>87</v>
      </c>
    </row>
    <row r="452" spans="1:13" ht="60" customHeight="1" x14ac:dyDescent="0.45">
      <c r="A452" s="5">
        <v>450</v>
      </c>
      <c r="B452" s="6" t="s">
        <v>25</v>
      </c>
      <c r="C452" s="4" t="s">
        <v>41</v>
      </c>
      <c r="D452" s="4" t="s">
        <v>27</v>
      </c>
      <c r="E452" s="4" t="s">
        <v>41</v>
      </c>
      <c r="F452" s="4" t="s">
        <v>1216</v>
      </c>
      <c r="G452" s="4" t="s">
        <v>1217</v>
      </c>
      <c r="H452" s="4" t="s">
        <v>1210</v>
      </c>
      <c r="I452" s="4" t="s">
        <v>1207</v>
      </c>
      <c r="J452" s="4" t="s">
        <v>948</v>
      </c>
      <c r="K452" s="4" t="s">
        <v>1211</v>
      </c>
      <c r="L452" s="4" t="s">
        <v>86</v>
      </c>
      <c r="M452" s="4" t="s">
        <v>87</v>
      </c>
    </row>
    <row r="453" spans="1:13" ht="60" customHeight="1" x14ac:dyDescent="0.45">
      <c r="A453" s="7">
        <v>451</v>
      </c>
      <c r="B453" s="8" t="s">
        <v>31</v>
      </c>
      <c r="C453" s="4" t="s">
        <v>79</v>
      </c>
      <c r="D453" s="4" t="s">
        <v>33</v>
      </c>
      <c r="E453" s="4" t="s">
        <v>79</v>
      </c>
      <c r="F453" s="4" t="s">
        <v>1218</v>
      </c>
      <c r="G453" s="4" t="s">
        <v>1219</v>
      </c>
      <c r="H453" s="4" t="s">
        <v>1210</v>
      </c>
      <c r="I453" s="4" t="s">
        <v>1207</v>
      </c>
      <c r="J453" s="4" t="s">
        <v>948</v>
      </c>
      <c r="K453" s="4" t="s">
        <v>1211</v>
      </c>
      <c r="L453" s="4" t="s">
        <v>86</v>
      </c>
      <c r="M453" s="4" t="s">
        <v>87</v>
      </c>
    </row>
    <row r="454" spans="1:13" ht="60" customHeight="1" x14ac:dyDescent="0.45">
      <c r="A454" s="5">
        <v>452</v>
      </c>
      <c r="B454" s="6" t="s">
        <v>25</v>
      </c>
      <c r="C454" s="4" t="s">
        <v>47</v>
      </c>
      <c r="D454" s="4" t="s">
        <v>27</v>
      </c>
      <c r="E454" s="4" t="s">
        <v>47</v>
      </c>
      <c r="F454" s="4" t="s">
        <v>1220</v>
      </c>
      <c r="G454" s="4" t="s">
        <v>1221</v>
      </c>
      <c r="H454" s="4" t="s">
        <v>1222</v>
      </c>
      <c r="I454" s="4" t="s">
        <v>1207</v>
      </c>
      <c r="J454" s="4" t="s">
        <v>21</v>
      </c>
      <c r="K454" s="4" t="s">
        <v>57</v>
      </c>
      <c r="L454" s="4" t="s">
        <v>40</v>
      </c>
      <c r="M454" s="4" t="s">
        <v>24</v>
      </c>
    </row>
    <row r="455" spans="1:13" ht="60" customHeight="1" x14ac:dyDescent="0.45">
      <c r="A455" s="5">
        <v>453</v>
      </c>
      <c r="B455" s="6" t="s">
        <v>25</v>
      </c>
      <c r="C455" s="4" t="s">
        <v>41</v>
      </c>
      <c r="D455" s="4" t="s">
        <v>27</v>
      </c>
      <c r="E455" s="4" t="s">
        <v>41</v>
      </c>
      <c r="F455" s="4" t="s">
        <v>1223</v>
      </c>
      <c r="G455" s="4" t="s">
        <v>1224</v>
      </c>
      <c r="H455" s="4" t="s">
        <v>1225</v>
      </c>
      <c r="I455" s="4" t="s">
        <v>1226</v>
      </c>
      <c r="J455" s="4" t="s">
        <v>638</v>
      </c>
      <c r="K455" s="4" t="s">
        <v>403</v>
      </c>
      <c r="L455" s="4" t="s">
        <v>86</v>
      </c>
      <c r="M455" s="4" t="s">
        <v>24</v>
      </c>
    </row>
    <row r="456" spans="1:13" ht="60" customHeight="1" x14ac:dyDescent="0.45">
      <c r="A456" s="5">
        <v>454</v>
      </c>
      <c r="B456" s="6" t="s">
        <v>25</v>
      </c>
      <c r="C456" s="4" t="s">
        <v>114</v>
      </c>
      <c r="D456" s="4" t="s">
        <v>27</v>
      </c>
      <c r="E456" s="4" t="s">
        <v>114</v>
      </c>
      <c r="F456" s="4" t="s">
        <v>1227</v>
      </c>
      <c r="G456" s="4" t="s">
        <v>1228</v>
      </c>
      <c r="H456" s="4" t="s">
        <v>1229</v>
      </c>
      <c r="I456" s="4" t="s">
        <v>1230</v>
      </c>
      <c r="J456" s="4" t="s">
        <v>555</v>
      </c>
      <c r="K456" s="4" t="s">
        <v>563</v>
      </c>
      <c r="L456" s="4" t="s">
        <v>177</v>
      </c>
      <c r="M456" s="4" t="s">
        <v>87</v>
      </c>
    </row>
    <row r="457" spans="1:13" ht="60" customHeight="1" x14ac:dyDescent="0.45">
      <c r="A457" s="5">
        <v>455</v>
      </c>
      <c r="B457" s="6" t="s">
        <v>25</v>
      </c>
      <c r="C457" s="4" t="s">
        <v>114</v>
      </c>
      <c r="D457" s="4" t="s">
        <v>27</v>
      </c>
      <c r="E457" s="4" t="s">
        <v>114</v>
      </c>
      <c r="F457" s="4" t="s">
        <v>1231</v>
      </c>
      <c r="G457" s="4" t="s">
        <v>1232</v>
      </c>
      <c r="H457" s="4" t="s">
        <v>1229</v>
      </c>
      <c r="I457" s="4" t="s">
        <v>1230</v>
      </c>
      <c r="J457" s="4" t="s">
        <v>555</v>
      </c>
      <c r="K457" s="4" t="s">
        <v>563</v>
      </c>
      <c r="L457" s="4" t="s">
        <v>177</v>
      </c>
      <c r="M457" s="4" t="s">
        <v>87</v>
      </c>
    </row>
    <row r="458" spans="1:13" ht="60" customHeight="1" x14ac:dyDescent="0.45">
      <c r="A458" s="5">
        <v>456</v>
      </c>
      <c r="B458" s="6" t="s">
        <v>25</v>
      </c>
      <c r="C458" s="4" t="s">
        <v>47</v>
      </c>
      <c r="D458" s="4" t="s">
        <v>27</v>
      </c>
      <c r="E458" s="4" t="s">
        <v>47</v>
      </c>
      <c r="F458" s="4" t="s">
        <v>1233</v>
      </c>
      <c r="G458" s="4" t="s">
        <v>1234</v>
      </c>
      <c r="H458" s="4" t="s">
        <v>1229</v>
      </c>
      <c r="I458" s="4" t="s">
        <v>1230</v>
      </c>
      <c r="J458" s="4" t="s">
        <v>555</v>
      </c>
      <c r="K458" s="4" t="s">
        <v>563</v>
      </c>
      <c r="L458" s="4" t="s">
        <v>177</v>
      </c>
      <c r="M458" s="4" t="s">
        <v>87</v>
      </c>
    </row>
    <row r="459" spans="1:13" ht="60" customHeight="1" x14ac:dyDescent="0.45">
      <c r="A459" s="5">
        <v>457</v>
      </c>
      <c r="B459" s="6" t="s">
        <v>25</v>
      </c>
      <c r="C459" s="4" t="s">
        <v>47</v>
      </c>
      <c r="D459" s="4" t="s">
        <v>27</v>
      </c>
      <c r="E459" s="4" t="s">
        <v>47</v>
      </c>
      <c r="F459" s="4" t="s">
        <v>1235</v>
      </c>
      <c r="G459" s="4" t="s">
        <v>1236</v>
      </c>
      <c r="H459" s="4" t="s">
        <v>1229</v>
      </c>
      <c r="I459" s="4" t="s">
        <v>1230</v>
      </c>
      <c r="J459" s="4" t="s">
        <v>555</v>
      </c>
      <c r="K459" s="4" t="s">
        <v>563</v>
      </c>
      <c r="L459" s="4" t="s">
        <v>177</v>
      </c>
      <c r="M459" s="4" t="s">
        <v>87</v>
      </c>
    </row>
    <row r="460" spans="1:13" ht="60" customHeight="1" x14ac:dyDescent="0.45">
      <c r="A460" s="5">
        <v>458</v>
      </c>
      <c r="B460" s="6" t="s">
        <v>25</v>
      </c>
      <c r="C460" s="4" t="s">
        <v>26</v>
      </c>
      <c r="D460" s="4" t="s">
        <v>27</v>
      </c>
      <c r="E460" s="4" t="s">
        <v>26</v>
      </c>
      <c r="F460" s="4" t="s">
        <v>1237</v>
      </c>
      <c r="G460" s="4" t="s">
        <v>1238</v>
      </c>
      <c r="H460" s="4" t="s">
        <v>1229</v>
      </c>
      <c r="I460" s="4" t="s">
        <v>1230</v>
      </c>
      <c r="J460" s="4" t="s">
        <v>555</v>
      </c>
      <c r="K460" s="4" t="s">
        <v>563</v>
      </c>
      <c r="L460" s="4" t="s">
        <v>177</v>
      </c>
      <c r="M460" s="4" t="s">
        <v>87</v>
      </c>
    </row>
    <row r="461" spans="1:13" ht="60" customHeight="1" x14ac:dyDescent="0.45">
      <c r="A461" s="5">
        <v>459</v>
      </c>
      <c r="B461" s="6" t="s">
        <v>25</v>
      </c>
      <c r="C461" s="4" t="s">
        <v>114</v>
      </c>
      <c r="D461" s="4" t="s">
        <v>27</v>
      </c>
      <c r="E461" s="4" t="s">
        <v>114</v>
      </c>
      <c r="F461" s="4" t="s">
        <v>1237</v>
      </c>
      <c r="G461" s="4" t="s">
        <v>1239</v>
      </c>
      <c r="H461" s="4" t="s">
        <v>1229</v>
      </c>
      <c r="I461" s="4" t="s">
        <v>1230</v>
      </c>
      <c r="J461" s="4" t="s">
        <v>555</v>
      </c>
      <c r="K461" s="4" t="s">
        <v>563</v>
      </c>
      <c r="L461" s="4" t="s">
        <v>177</v>
      </c>
      <c r="M461" s="4" t="s">
        <v>87</v>
      </c>
    </row>
    <row r="462" spans="1:13" ht="60" customHeight="1" x14ac:dyDescent="0.45">
      <c r="A462" s="7">
        <v>460</v>
      </c>
      <c r="B462" s="8" t="s">
        <v>31</v>
      </c>
      <c r="C462" s="4" t="s">
        <v>79</v>
      </c>
      <c r="D462" s="4" t="s">
        <v>33</v>
      </c>
      <c r="E462" s="4" t="s">
        <v>79</v>
      </c>
      <c r="F462" s="4" t="s">
        <v>1240</v>
      </c>
      <c r="G462" s="4" t="s">
        <v>1241</v>
      </c>
      <c r="H462" s="4" t="s">
        <v>1229</v>
      </c>
      <c r="I462" s="4" t="s">
        <v>1230</v>
      </c>
      <c r="J462" s="4" t="s">
        <v>555</v>
      </c>
      <c r="K462" s="4" t="s">
        <v>563</v>
      </c>
      <c r="L462" s="4" t="s">
        <v>177</v>
      </c>
      <c r="M462" s="4" t="s">
        <v>87</v>
      </c>
    </row>
    <row r="463" spans="1:13" ht="60" customHeight="1" x14ac:dyDescent="0.45">
      <c r="A463" s="5">
        <v>461</v>
      </c>
      <c r="B463" s="6" t="s">
        <v>25</v>
      </c>
      <c r="C463" s="4" t="s">
        <v>114</v>
      </c>
      <c r="D463" s="4" t="s">
        <v>27</v>
      </c>
      <c r="E463" s="4" t="s">
        <v>114</v>
      </c>
      <c r="F463" s="4" t="s">
        <v>1242</v>
      </c>
      <c r="G463" s="4" t="s">
        <v>1243</v>
      </c>
      <c r="H463" s="4" t="s">
        <v>1229</v>
      </c>
      <c r="I463" s="4" t="s">
        <v>1230</v>
      </c>
      <c r="J463" s="4" t="s">
        <v>555</v>
      </c>
      <c r="K463" s="4" t="s">
        <v>563</v>
      </c>
      <c r="L463" s="4" t="s">
        <v>177</v>
      </c>
      <c r="M463" s="4" t="s">
        <v>87</v>
      </c>
    </row>
    <row r="464" spans="1:13" ht="60" customHeight="1" x14ac:dyDescent="0.45">
      <c r="A464" s="5">
        <v>462</v>
      </c>
      <c r="B464" s="6" t="s">
        <v>25</v>
      </c>
      <c r="C464" s="4" t="s">
        <v>62</v>
      </c>
      <c r="D464" s="4" t="s">
        <v>27</v>
      </c>
      <c r="E464" s="4" t="s">
        <v>62</v>
      </c>
      <c r="F464" s="4" t="s">
        <v>1242</v>
      </c>
      <c r="G464" s="4" t="s">
        <v>1244</v>
      </c>
      <c r="H464" s="4" t="s">
        <v>1229</v>
      </c>
      <c r="I464" s="4" t="s">
        <v>1230</v>
      </c>
      <c r="J464" s="4" t="s">
        <v>555</v>
      </c>
      <c r="K464" s="4" t="s">
        <v>563</v>
      </c>
      <c r="L464" s="4" t="s">
        <v>177</v>
      </c>
      <c r="M464" s="4" t="s">
        <v>87</v>
      </c>
    </row>
    <row r="465" spans="1:13" ht="60" customHeight="1" x14ac:dyDescent="0.45">
      <c r="A465" s="5">
        <v>463</v>
      </c>
      <c r="B465" s="6" t="s">
        <v>25</v>
      </c>
      <c r="C465" s="4" t="s">
        <v>47</v>
      </c>
      <c r="D465" s="4" t="s">
        <v>27</v>
      </c>
      <c r="E465" s="4" t="s">
        <v>47</v>
      </c>
      <c r="F465" s="4" t="s">
        <v>1242</v>
      </c>
      <c r="G465" s="4" t="s">
        <v>1245</v>
      </c>
      <c r="H465" s="4" t="s">
        <v>1229</v>
      </c>
      <c r="I465" s="4" t="s">
        <v>1230</v>
      </c>
      <c r="J465" s="4" t="s">
        <v>555</v>
      </c>
      <c r="K465" s="4" t="s">
        <v>563</v>
      </c>
      <c r="L465" s="4" t="s">
        <v>177</v>
      </c>
      <c r="M465" s="4" t="s">
        <v>87</v>
      </c>
    </row>
    <row r="466" spans="1:13" ht="60" customHeight="1" x14ac:dyDescent="0.45">
      <c r="A466" s="5">
        <v>464</v>
      </c>
      <c r="B466" s="6" t="s">
        <v>25</v>
      </c>
      <c r="C466" s="4" t="s">
        <v>41</v>
      </c>
      <c r="D466" s="4" t="s">
        <v>27</v>
      </c>
      <c r="E466" s="4" t="s">
        <v>41</v>
      </c>
      <c r="F466" s="4" t="s">
        <v>1246</v>
      </c>
      <c r="G466" s="4" t="s">
        <v>1247</v>
      </c>
      <c r="H466" s="4" t="s">
        <v>1248</v>
      </c>
      <c r="I466" s="4" t="s">
        <v>1230</v>
      </c>
      <c r="J466" s="4" t="s">
        <v>555</v>
      </c>
      <c r="K466" s="4" t="s">
        <v>336</v>
      </c>
      <c r="L466" s="4" t="s">
        <v>200</v>
      </c>
      <c r="M466" s="4" t="s">
        <v>87</v>
      </c>
    </row>
    <row r="467" spans="1:13" ht="60" customHeight="1" x14ac:dyDescent="0.45">
      <c r="A467" s="5">
        <v>465</v>
      </c>
      <c r="B467" s="6" t="s">
        <v>25</v>
      </c>
      <c r="C467" s="4" t="s">
        <v>41</v>
      </c>
      <c r="D467" s="4" t="s">
        <v>27</v>
      </c>
      <c r="E467" s="4" t="s">
        <v>41</v>
      </c>
      <c r="F467" s="4" t="s">
        <v>1249</v>
      </c>
      <c r="G467" s="4" t="s">
        <v>1250</v>
      </c>
      <c r="H467" s="4" t="s">
        <v>1248</v>
      </c>
      <c r="I467" s="4" t="s">
        <v>1230</v>
      </c>
      <c r="J467" s="4" t="s">
        <v>555</v>
      </c>
      <c r="K467" s="4" t="s">
        <v>336</v>
      </c>
      <c r="L467" s="4" t="s">
        <v>200</v>
      </c>
      <c r="M467" s="4" t="s">
        <v>87</v>
      </c>
    </row>
    <row r="468" spans="1:13" ht="60" customHeight="1" x14ac:dyDescent="0.45">
      <c r="A468" s="7">
        <v>466</v>
      </c>
      <c r="B468" s="8" t="s">
        <v>31</v>
      </c>
      <c r="C468" s="4" t="s">
        <v>32</v>
      </c>
      <c r="D468" s="4" t="s">
        <v>33</v>
      </c>
      <c r="E468" s="4" t="s">
        <v>32</v>
      </c>
      <c r="F468" s="4" t="s">
        <v>1251</v>
      </c>
      <c r="G468" s="4" t="s">
        <v>1252</v>
      </c>
      <c r="H468" s="4" t="s">
        <v>1248</v>
      </c>
      <c r="I468" s="4" t="s">
        <v>1230</v>
      </c>
      <c r="J468" s="4" t="s">
        <v>555</v>
      </c>
      <c r="K468" s="4" t="s">
        <v>336</v>
      </c>
      <c r="L468" s="4" t="s">
        <v>200</v>
      </c>
      <c r="M468" s="4" t="s">
        <v>87</v>
      </c>
    </row>
    <row r="469" spans="1:13" ht="60" customHeight="1" x14ac:dyDescent="0.45">
      <c r="A469" s="5">
        <v>467</v>
      </c>
      <c r="B469" s="6" t="s">
        <v>25</v>
      </c>
      <c r="C469" s="4" t="s">
        <v>62</v>
      </c>
      <c r="D469" s="4" t="s">
        <v>27</v>
      </c>
      <c r="E469" s="4" t="s">
        <v>62</v>
      </c>
      <c r="F469" s="4" t="s">
        <v>1253</v>
      </c>
      <c r="G469" s="4" t="s">
        <v>1254</v>
      </c>
      <c r="H469" s="4" t="s">
        <v>1255</v>
      </c>
      <c r="I469" s="4" t="s">
        <v>1256</v>
      </c>
      <c r="J469" s="4" t="s">
        <v>321</v>
      </c>
      <c r="K469" s="4" t="s">
        <v>307</v>
      </c>
      <c r="L469" s="4" t="s">
        <v>86</v>
      </c>
      <c r="M469" s="4" t="s">
        <v>24</v>
      </c>
    </row>
    <row r="470" spans="1:13" ht="60" customHeight="1" x14ac:dyDescent="0.45">
      <c r="A470" s="5">
        <v>468</v>
      </c>
      <c r="B470" s="6" t="s">
        <v>25</v>
      </c>
      <c r="C470" s="4" t="s">
        <v>62</v>
      </c>
      <c r="D470" s="4" t="s">
        <v>27</v>
      </c>
      <c r="E470" s="4" t="s">
        <v>62</v>
      </c>
      <c r="F470" s="4" t="s">
        <v>1257</v>
      </c>
      <c r="G470" s="4" t="s">
        <v>1258</v>
      </c>
      <c r="H470" s="4" t="s">
        <v>1259</v>
      </c>
      <c r="I470" s="4" t="s">
        <v>1260</v>
      </c>
      <c r="J470" s="4" t="s">
        <v>321</v>
      </c>
      <c r="K470" s="4" t="s">
        <v>1261</v>
      </c>
      <c r="L470" s="4" t="s">
        <v>200</v>
      </c>
      <c r="M470" s="4" t="s">
        <v>24</v>
      </c>
    </row>
    <row r="471" spans="1:13" ht="60" customHeight="1" x14ac:dyDescent="0.45">
      <c r="A471" s="2">
        <v>469</v>
      </c>
      <c r="B471" s="3" t="s">
        <v>14</v>
      </c>
      <c r="C471" s="4" t="s">
        <v>96</v>
      </c>
      <c r="D471" s="4" t="s">
        <v>16</v>
      </c>
      <c r="E471" s="4" t="s">
        <v>96</v>
      </c>
      <c r="F471" s="4" t="s">
        <v>1262</v>
      </c>
      <c r="G471" s="4" t="s">
        <v>1263</v>
      </c>
      <c r="H471" s="4" t="s">
        <v>1259</v>
      </c>
      <c r="I471" s="4" t="s">
        <v>1260</v>
      </c>
      <c r="J471" s="4" t="s">
        <v>321</v>
      </c>
      <c r="K471" s="4" t="s">
        <v>1261</v>
      </c>
      <c r="L471" s="4" t="s">
        <v>200</v>
      </c>
      <c r="M471" s="4" t="s">
        <v>24</v>
      </c>
    </row>
    <row r="472" spans="1:13" ht="60" customHeight="1" x14ac:dyDescent="0.45">
      <c r="A472" s="5">
        <v>470</v>
      </c>
      <c r="B472" s="6" t="s">
        <v>25</v>
      </c>
      <c r="C472" s="4" t="s">
        <v>41</v>
      </c>
      <c r="D472" s="4" t="s">
        <v>27</v>
      </c>
      <c r="E472" s="4" t="s">
        <v>41</v>
      </c>
      <c r="F472" s="4" t="s">
        <v>1264</v>
      </c>
      <c r="G472" s="4" t="s">
        <v>1265</v>
      </c>
      <c r="H472" s="4" t="s">
        <v>1259</v>
      </c>
      <c r="I472" s="4" t="s">
        <v>1260</v>
      </c>
      <c r="J472" s="4" t="s">
        <v>321</v>
      </c>
      <c r="K472" s="4" t="s">
        <v>1261</v>
      </c>
      <c r="L472" s="4" t="s">
        <v>200</v>
      </c>
      <c r="M472" s="4" t="s">
        <v>24</v>
      </c>
    </row>
    <row r="473" spans="1:13" ht="60" customHeight="1" x14ac:dyDescent="0.45">
      <c r="A473" s="5">
        <v>471</v>
      </c>
      <c r="B473" s="6" t="s">
        <v>25</v>
      </c>
      <c r="C473" s="4" t="s">
        <v>41</v>
      </c>
      <c r="D473" s="4" t="s">
        <v>27</v>
      </c>
      <c r="E473" s="4" t="s">
        <v>41</v>
      </c>
      <c r="F473" s="4" t="s">
        <v>1266</v>
      </c>
      <c r="G473" s="4" t="s">
        <v>1267</v>
      </c>
      <c r="H473" s="4" t="s">
        <v>1259</v>
      </c>
      <c r="I473" s="4" t="s">
        <v>1260</v>
      </c>
      <c r="J473" s="4" t="s">
        <v>321</v>
      </c>
      <c r="K473" s="4" t="s">
        <v>1261</v>
      </c>
      <c r="L473" s="4" t="s">
        <v>200</v>
      </c>
      <c r="M473" s="4" t="s">
        <v>24</v>
      </c>
    </row>
    <row r="474" spans="1:13" ht="60" customHeight="1" x14ac:dyDescent="0.45">
      <c r="A474" s="5">
        <v>472</v>
      </c>
      <c r="B474" s="6" t="s">
        <v>25</v>
      </c>
      <c r="C474" s="4" t="s">
        <v>62</v>
      </c>
      <c r="D474" s="4" t="s">
        <v>27</v>
      </c>
      <c r="E474" s="4" t="s">
        <v>62</v>
      </c>
      <c r="F474" s="4" t="s">
        <v>1268</v>
      </c>
      <c r="G474" s="4" t="s">
        <v>1269</v>
      </c>
      <c r="H474" s="4" t="s">
        <v>1259</v>
      </c>
      <c r="I474" s="4" t="s">
        <v>1260</v>
      </c>
      <c r="J474" s="4" t="s">
        <v>321</v>
      </c>
      <c r="K474" s="4" t="s">
        <v>1261</v>
      </c>
      <c r="L474" s="4" t="s">
        <v>200</v>
      </c>
      <c r="M474" s="4" t="s">
        <v>24</v>
      </c>
    </row>
    <row r="475" spans="1:13" ht="60" customHeight="1" x14ac:dyDescent="0.45">
      <c r="A475" s="2">
        <v>473</v>
      </c>
      <c r="B475" s="3" t="s">
        <v>14</v>
      </c>
      <c r="C475" s="4" t="s">
        <v>29</v>
      </c>
      <c r="D475" s="4" t="s">
        <v>16</v>
      </c>
      <c r="E475" s="4" t="s">
        <v>29</v>
      </c>
      <c r="F475" s="4" t="s">
        <v>1270</v>
      </c>
      <c r="G475" s="4" t="s">
        <v>1271</v>
      </c>
      <c r="H475" s="4" t="s">
        <v>1272</v>
      </c>
      <c r="I475" s="4" t="s">
        <v>1273</v>
      </c>
      <c r="J475" s="4" t="s">
        <v>21</v>
      </c>
      <c r="K475" s="4" t="s">
        <v>39</v>
      </c>
      <c r="L475" s="4" t="s">
        <v>40</v>
      </c>
      <c r="M475" s="4" t="s">
        <v>24</v>
      </c>
    </row>
    <row r="476" spans="1:13" ht="60" customHeight="1" x14ac:dyDescent="0.45">
      <c r="A476" s="5">
        <v>474</v>
      </c>
      <c r="B476" s="6" t="s">
        <v>25</v>
      </c>
      <c r="C476" s="4" t="s">
        <v>47</v>
      </c>
      <c r="D476" s="4" t="s">
        <v>27</v>
      </c>
      <c r="E476" s="4" t="s">
        <v>47</v>
      </c>
      <c r="F476" s="4" t="s">
        <v>1274</v>
      </c>
      <c r="G476" s="4" t="s">
        <v>1275</v>
      </c>
      <c r="H476" s="4" t="s">
        <v>1276</v>
      </c>
      <c r="I476" s="4" t="s">
        <v>1277</v>
      </c>
      <c r="J476" s="4" t="s">
        <v>610</v>
      </c>
      <c r="K476" s="4" t="s">
        <v>501</v>
      </c>
      <c r="L476" s="4" t="s">
        <v>86</v>
      </c>
      <c r="M476" s="4" t="s">
        <v>24</v>
      </c>
    </row>
    <row r="477" spans="1:13" ht="60" customHeight="1" x14ac:dyDescent="0.45">
      <c r="A477" s="5">
        <v>475</v>
      </c>
      <c r="B477" s="6" t="s">
        <v>25</v>
      </c>
      <c r="C477" s="4" t="s">
        <v>41</v>
      </c>
      <c r="D477" s="4" t="s">
        <v>27</v>
      </c>
      <c r="E477" s="4" t="s">
        <v>41</v>
      </c>
      <c r="F477" s="4" t="s">
        <v>1278</v>
      </c>
      <c r="G477" s="4" t="s">
        <v>1279</v>
      </c>
      <c r="H477" s="4" t="s">
        <v>1276</v>
      </c>
      <c r="I477" s="4" t="s">
        <v>1277</v>
      </c>
      <c r="J477" s="4" t="s">
        <v>610</v>
      </c>
      <c r="K477" s="4" t="s">
        <v>501</v>
      </c>
      <c r="L477" s="4" t="s">
        <v>86</v>
      </c>
      <c r="M477" s="4" t="s">
        <v>24</v>
      </c>
    </row>
    <row r="478" spans="1:13" ht="60" customHeight="1" x14ac:dyDescent="0.45">
      <c r="A478" s="5">
        <v>476</v>
      </c>
      <c r="B478" s="6" t="s">
        <v>25</v>
      </c>
      <c r="C478" s="4" t="s">
        <v>47</v>
      </c>
      <c r="D478" s="4" t="s">
        <v>27</v>
      </c>
      <c r="E478" s="4" t="s">
        <v>47</v>
      </c>
      <c r="F478" s="4" t="s">
        <v>1280</v>
      </c>
      <c r="G478" s="4" t="s">
        <v>1281</v>
      </c>
      <c r="H478" s="4" t="s">
        <v>1282</v>
      </c>
      <c r="I478" s="4" t="s">
        <v>1283</v>
      </c>
      <c r="J478" s="4" t="s">
        <v>1284</v>
      </c>
      <c r="K478" s="4" t="s">
        <v>403</v>
      </c>
      <c r="L478" s="4" t="s">
        <v>86</v>
      </c>
      <c r="M478" s="4" t="s">
        <v>24</v>
      </c>
    </row>
    <row r="479" spans="1:13" ht="60" customHeight="1" x14ac:dyDescent="0.45">
      <c r="A479" s="5">
        <v>477</v>
      </c>
      <c r="B479" s="6" t="s">
        <v>25</v>
      </c>
      <c r="C479" s="4" t="s">
        <v>44</v>
      </c>
      <c r="D479" s="4" t="s">
        <v>27</v>
      </c>
      <c r="E479" s="4" t="s">
        <v>44</v>
      </c>
      <c r="F479" s="4" t="s">
        <v>1285</v>
      </c>
      <c r="G479" s="4" t="s">
        <v>1286</v>
      </c>
      <c r="H479" s="4" t="s">
        <v>1282</v>
      </c>
      <c r="I479" s="4" t="s">
        <v>1283</v>
      </c>
      <c r="J479" s="4" t="s">
        <v>1284</v>
      </c>
      <c r="K479" s="4" t="s">
        <v>403</v>
      </c>
      <c r="L479" s="4" t="s">
        <v>86</v>
      </c>
      <c r="M479" s="4" t="s">
        <v>24</v>
      </c>
    </row>
    <row r="480" spans="1:13" ht="60" customHeight="1" x14ac:dyDescent="0.45">
      <c r="A480" s="5">
        <v>478</v>
      </c>
      <c r="B480" s="6" t="s">
        <v>25</v>
      </c>
      <c r="C480" s="4" t="s">
        <v>62</v>
      </c>
      <c r="D480" s="4" t="s">
        <v>27</v>
      </c>
      <c r="E480" s="4" t="s">
        <v>62</v>
      </c>
      <c r="F480" s="4" t="s">
        <v>1287</v>
      </c>
      <c r="G480" s="4" t="s">
        <v>1288</v>
      </c>
      <c r="H480" s="4" t="s">
        <v>1289</v>
      </c>
      <c r="I480" s="4" t="s">
        <v>1290</v>
      </c>
      <c r="J480" s="4" t="s">
        <v>931</v>
      </c>
      <c r="K480" s="4" t="s">
        <v>501</v>
      </c>
      <c r="L480" s="4" t="s">
        <v>86</v>
      </c>
      <c r="M480" s="4" t="s">
        <v>24</v>
      </c>
    </row>
    <row r="481" spans="1:13" ht="60" customHeight="1" x14ac:dyDescent="0.45">
      <c r="A481" s="5">
        <v>479</v>
      </c>
      <c r="B481" s="6" t="s">
        <v>25</v>
      </c>
      <c r="C481" s="4" t="s">
        <v>62</v>
      </c>
      <c r="D481" s="4" t="s">
        <v>27</v>
      </c>
      <c r="E481" s="4" t="s">
        <v>62</v>
      </c>
      <c r="F481" s="4" t="s">
        <v>1291</v>
      </c>
      <c r="G481" s="4" t="s">
        <v>1292</v>
      </c>
      <c r="H481" s="4" t="s">
        <v>1289</v>
      </c>
      <c r="I481" s="4" t="s">
        <v>1290</v>
      </c>
      <c r="J481" s="4" t="s">
        <v>931</v>
      </c>
      <c r="K481" s="4" t="s">
        <v>501</v>
      </c>
      <c r="L481" s="4" t="s">
        <v>86</v>
      </c>
      <c r="M481" s="4" t="s">
        <v>24</v>
      </c>
    </row>
    <row r="482" spans="1:13" ht="60" customHeight="1" x14ac:dyDescent="0.45">
      <c r="A482" s="2">
        <v>480</v>
      </c>
      <c r="B482" s="3" t="s">
        <v>14</v>
      </c>
      <c r="C482" s="4" t="s">
        <v>96</v>
      </c>
      <c r="D482" s="4" t="s">
        <v>16</v>
      </c>
      <c r="E482" s="4" t="s">
        <v>96</v>
      </c>
      <c r="F482" s="4" t="s">
        <v>1293</v>
      </c>
      <c r="G482" s="4" t="s">
        <v>1294</v>
      </c>
      <c r="H482" s="4" t="s">
        <v>1289</v>
      </c>
      <c r="I482" s="4" t="s">
        <v>1290</v>
      </c>
      <c r="J482" s="4" t="s">
        <v>931</v>
      </c>
      <c r="K482" s="4" t="s">
        <v>501</v>
      </c>
      <c r="L482" s="4" t="s">
        <v>86</v>
      </c>
      <c r="M482" s="4" t="s">
        <v>24</v>
      </c>
    </row>
    <row r="483" spans="1:13" ht="60" customHeight="1" x14ac:dyDescent="0.45">
      <c r="A483" s="7">
        <v>481</v>
      </c>
      <c r="B483" s="8" t="s">
        <v>31</v>
      </c>
      <c r="C483" s="4" t="s">
        <v>32</v>
      </c>
      <c r="D483" s="4" t="s">
        <v>33</v>
      </c>
      <c r="E483" s="4" t="s">
        <v>32</v>
      </c>
      <c r="F483" s="4" t="s">
        <v>1295</v>
      </c>
      <c r="G483" s="4" t="s">
        <v>1296</v>
      </c>
      <c r="H483" s="4" t="s">
        <v>1297</v>
      </c>
      <c r="I483" s="4" t="s">
        <v>1298</v>
      </c>
      <c r="J483" s="4" t="s">
        <v>1299</v>
      </c>
      <c r="K483" s="4" t="s">
        <v>1300</v>
      </c>
      <c r="L483" s="4" t="s">
        <v>86</v>
      </c>
      <c r="M483" s="4" t="s">
        <v>24</v>
      </c>
    </row>
    <row r="484" spans="1:13" ht="60" customHeight="1" x14ac:dyDescent="0.45">
      <c r="A484" s="5">
        <v>482</v>
      </c>
      <c r="B484" s="6" t="s">
        <v>25</v>
      </c>
      <c r="C484" s="4" t="s">
        <v>47</v>
      </c>
      <c r="D484" s="4" t="s">
        <v>27</v>
      </c>
      <c r="E484" s="4" t="s">
        <v>47</v>
      </c>
      <c r="F484" s="4" t="s">
        <v>1301</v>
      </c>
      <c r="G484" s="4" t="s">
        <v>1302</v>
      </c>
      <c r="H484" s="4" t="s">
        <v>1297</v>
      </c>
      <c r="I484" s="4" t="s">
        <v>1298</v>
      </c>
      <c r="J484" s="4" t="s">
        <v>1299</v>
      </c>
      <c r="K484" s="4" t="s">
        <v>1300</v>
      </c>
      <c r="L484" s="4" t="s">
        <v>86</v>
      </c>
      <c r="M484" s="4" t="s">
        <v>24</v>
      </c>
    </row>
    <row r="485" spans="1:13" ht="60" customHeight="1" x14ac:dyDescent="0.45">
      <c r="A485" s="5">
        <v>483</v>
      </c>
      <c r="B485" s="6" t="s">
        <v>25</v>
      </c>
      <c r="C485" s="4" t="s">
        <v>62</v>
      </c>
      <c r="D485" s="4" t="s">
        <v>27</v>
      </c>
      <c r="E485" s="4" t="s">
        <v>62</v>
      </c>
      <c r="F485" s="4" t="s">
        <v>1303</v>
      </c>
      <c r="G485" s="4" t="s">
        <v>1304</v>
      </c>
      <c r="H485" s="4" t="s">
        <v>1297</v>
      </c>
      <c r="I485" s="4" t="s">
        <v>1298</v>
      </c>
      <c r="J485" s="4" t="s">
        <v>1299</v>
      </c>
      <c r="K485" s="4" t="s">
        <v>1300</v>
      </c>
      <c r="L485" s="4" t="s">
        <v>86</v>
      </c>
      <c r="M485" s="4" t="s">
        <v>24</v>
      </c>
    </row>
    <row r="486" spans="1:13" ht="60" customHeight="1" x14ac:dyDescent="0.45">
      <c r="A486" s="7">
        <v>484</v>
      </c>
      <c r="B486" s="8" t="s">
        <v>31</v>
      </c>
      <c r="C486" s="4" t="s">
        <v>32</v>
      </c>
      <c r="D486" s="4" t="s">
        <v>33</v>
      </c>
      <c r="E486" s="4" t="s">
        <v>32</v>
      </c>
      <c r="F486" s="4" t="s">
        <v>1305</v>
      </c>
      <c r="G486" s="4" t="s">
        <v>1306</v>
      </c>
      <c r="H486" s="4" t="s">
        <v>1307</v>
      </c>
      <c r="I486" s="4" t="s">
        <v>1308</v>
      </c>
      <c r="J486" s="4" t="s">
        <v>1309</v>
      </c>
      <c r="K486" s="4" t="s">
        <v>1211</v>
      </c>
      <c r="L486" s="4" t="s">
        <v>86</v>
      </c>
      <c r="M486" s="4" t="s">
        <v>87</v>
      </c>
    </row>
    <row r="487" spans="1:13" ht="60" customHeight="1" x14ac:dyDescent="0.45">
      <c r="A487" s="5">
        <v>485</v>
      </c>
      <c r="B487" s="6" t="s">
        <v>25</v>
      </c>
      <c r="C487" s="4" t="s">
        <v>47</v>
      </c>
      <c r="D487" s="4" t="s">
        <v>27</v>
      </c>
      <c r="E487" s="4" t="s">
        <v>47</v>
      </c>
      <c r="F487" s="4" t="s">
        <v>1310</v>
      </c>
      <c r="G487" s="4" t="s">
        <v>1311</v>
      </c>
      <c r="H487" s="4" t="s">
        <v>1307</v>
      </c>
      <c r="I487" s="4" t="s">
        <v>1308</v>
      </c>
      <c r="J487" s="4" t="s">
        <v>1309</v>
      </c>
      <c r="K487" s="4" t="s">
        <v>1211</v>
      </c>
      <c r="L487" s="4" t="s">
        <v>86</v>
      </c>
      <c r="M487" s="4" t="s">
        <v>87</v>
      </c>
    </row>
    <row r="488" spans="1:13" ht="60" customHeight="1" x14ac:dyDescent="0.45">
      <c r="A488" s="5">
        <v>486</v>
      </c>
      <c r="B488" s="6" t="s">
        <v>25</v>
      </c>
      <c r="C488" s="4" t="s">
        <v>44</v>
      </c>
      <c r="D488" s="4" t="s">
        <v>27</v>
      </c>
      <c r="E488" s="4" t="s">
        <v>44</v>
      </c>
      <c r="F488" s="4" t="s">
        <v>1312</v>
      </c>
      <c r="G488" s="4" t="s">
        <v>1313</v>
      </c>
      <c r="H488" s="4" t="s">
        <v>1307</v>
      </c>
      <c r="I488" s="4" t="s">
        <v>1308</v>
      </c>
      <c r="J488" s="4" t="s">
        <v>1309</v>
      </c>
      <c r="K488" s="4" t="s">
        <v>1211</v>
      </c>
      <c r="L488" s="4" t="s">
        <v>86</v>
      </c>
      <c r="M488" s="4" t="s">
        <v>87</v>
      </c>
    </row>
    <row r="489" spans="1:13" ht="60" customHeight="1" x14ac:dyDescent="0.45">
      <c r="A489" s="7">
        <v>487</v>
      </c>
      <c r="B489" s="8" t="s">
        <v>31</v>
      </c>
      <c r="C489" s="4" t="s">
        <v>32</v>
      </c>
      <c r="D489" s="4" t="s">
        <v>33</v>
      </c>
      <c r="E489" s="4" t="s">
        <v>32</v>
      </c>
      <c r="F489" s="4" t="s">
        <v>1314</v>
      </c>
      <c r="G489" s="4" t="s">
        <v>1315</v>
      </c>
      <c r="H489" s="4" t="s">
        <v>1307</v>
      </c>
      <c r="I489" s="4" t="s">
        <v>1308</v>
      </c>
      <c r="J489" s="4" t="s">
        <v>1309</v>
      </c>
      <c r="K489" s="4" t="s">
        <v>1211</v>
      </c>
      <c r="L489" s="4" t="s">
        <v>86</v>
      </c>
      <c r="M489" s="4" t="s">
        <v>87</v>
      </c>
    </row>
    <row r="490" spans="1:13" ht="60" customHeight="1" x14ac:dyDescent="0.45">
      <c r="A490" s="7">
        <v>488</v>
      </c>
      <c r="B490" s="8" t="s">
        <v>31</v>
      </c>
      <c r="C490" s="4" t="s">
        <v>109</v>
      </c>
      <c r="D490" s="4" t="s">
        <v>33</v>
      </c>
      <c r="E490" s="4" t="s">
        <v>109</v>
      </c>
      <c r="F490" s="4" t="s">
        <v>1316</v>
      </c>
      <c r="G490" s="4" t="s">
        <v>1317</v>
      </c>
      <c r="H490" s="4" t="s">
        <v>1307</v>
      </c>
      <c r="I490" s="4" t="s">
        <v>1308</v>
      </c>
      <c r="J490" s="4" t="s">
        <v>1309</v>
      </c>
      <c r="K490" s="4" t="s">
        <v>1211</v>
      </c>
      <c r="L490" s="4" t="s">
        <v>86</v>
      </c>
      <c r="M490" s="4" t="s">
        <v>87</v>
      </c>
    </row>
    <row r="491" spans="1:13" ht="60" customHeight="1" x14ac:dyDescent="0.45">
      <c r="A491" s="7">
        <v>489</v>
      </c>
      <c r="B491" s="8" t="s">
        <v>31</v>
      </c>
      <c r="C491" s="4" t="s">
        <v>32</v>
      </c>
      <c r="D491" s="4" t="s">
        <v>33</v>
      </c>
      <c r="E491" s="4" t="s">
        <v>32</v>
      </c>
      <c r="F491" s="4" t="s">
        <v>1318</v>
      </c>
      <c r="G491" s="4" t="s">
        <v>1319</v>
      </c>
      <c r="H491" s="4" t="s">
        <v>1320</v>
      </c>
      <c r="I491" s="4" t="s">
        <v>1308</v>
      </c>
      <c r="J491" s="4" t="s">
        <v>1321</v>
      </c>
      <c r="K491" s="4" t="s">
        <v>127</v>
      </c>
      <c r="L491" s="4" t="s">
        <v>23</v>
      </c>
      <c r="M491" s="4" t="s">
        <v>87</v>
      </c>
    </row>
    <row r="492" spans="1:13" ht="60" customHeight="1" x14ac:dyDescent="0.45">
      <c r="A492" s="7">
        <v>490</v>
      </c>
      <c r="B492" s="8" t="s">
        <v>31</v>
      </c>
      <c r="C492" s="4" t="s">
        <v>32</v>
      </c>
      <c r="D492" s="4" t="s">
        <v>33</v>
      </c>
      <c r="E492" s="4" t="s">
        <v>32</v>
      </c>
      <c r="F492" s="4" t="s">
        <v>1322</v>
      </c>
      <c r="G492" s="4" t="s">
        <v>1323</v>
      </c>
      <c r="H492" s="4" t="s">
        <v>1320</v>
      </c>
      <c r="I492" s="4" t="s">
        <v>1308</v>
      </c>
      <c r="J492" s="4" t="s">
        <v>1321</v>
      </c>
      <c r="K492" s="4" t="s">
        <v>127</v>
      </c>
      <c r="L492" s="4" t="s">
        <v>23</v>
      </c>
      <c r="M492" s="4" t="s">
        <v>87</v>
      </c>
    </row>
    <row r="493" spans="1:13" ht="60" customHeight="1" x14ac:dyDescent="0.45">
      <c r="A493" s="5">
        <v>491</v>
      </c>
      <c r="B493" s="6" t="s">
        <v>25</v>
      </c>
      <c r="C493" s="4" t="s">
        <v>26</v>
      </c>
      <c r="D493" s="4" t="s">
        <v>27</v>
      </c>
      <c r="E493" s="4" t="s">
        <v>26</v>
      </c>
      <c r="F493" s="4" t="s">
        <v>1324</v>
      </c>
      <c r="G493" s="4" t="s">
        <v>1325</v>
      </c>
      <c r="H493" s="4" t="s">
        <v>1326</v>
      </c>
      <c r="I493" s="4" t="s">
        <v>1327</v>
      </c>
      <c r="J493" s="4" t="s">
        <v>1328</v>
      </c>
      <c r="K493" s="4" t="s">
        <v>199</v>
      </c>
      <c r="L493" s="4" t="s">
        <v>200</v>
      </c>
      <c r="M493" s="4" t="s">
        <v>24</v>
      </c>
    </row>
    <row r="494" spans="1:13" ht="60" customHeight="1" x14ac:dyDescent="0.45">
      <c r="A494" s="5">
        <v>492</v>
      </c>
      <c r="B494" s="6" t="s">
        <v>25</v>
      </c>
      <c r="C494" s="4" t="s">
        <v>62</v>
      </c>
      <c r="D494" s="4" t="s">
        <v>27</v>
      </c>
      <c r="E494" s="4" t="s">
        <v>62</v>
      </c>
      <c r="F494" s="4" t="s">
        <v>1329</v>
      </c>
      <c r="G494" s="4" t="s">
        <v>1330</v>
      </c>
      <c r="H494" s="4" t="s">
        <v>1326</v>
      </c>
      <c r="I494" s="4" t="s">
        <v>1327</v>
      </c>
      <c r="J494" s="4" t="s">
        <v>1328</v>
      </c>
      <c r="K494" s="4" t="s">
        <v>199</v>
      </c>
      <c r="L494" s="4" t="s">
        <v>200</v>
      </c>
      <c r="M494" s="4" t="s">
        <v>24</v>
      </c>
    </row>
    <row r="495" spans="1:13" ht="60" customHeight="1" x14ac:dyDescent="0.45">
      <c r="A495" s="5">
        <v>493</v>
      </c>
      <c r="B495" s="6" t="s">
        <v>25</v>
      </c>
      <c r="C495" s="4" t="s">
        <v>26</v>
      </c>
      <c r="D495" s="4" t="s">
        <v>27</v>
      </c>
      <c r="E495" s="4" t="s">
        <v>26</v>
      </c>
      <c r="F495" s="4" t="s">
        <v>1331</v>
      </c>
      <c r="G495" s="4" t="s">
        <v>1332</v>
      </c>
      <c r="H495" s="4" t="s">
        <v>1326</v>
      </c>
      <c r="I495" s="4" t="s">
        <v>1327</v>
      </c>
      <c r="J495" s="4" t="s">
        <v>1328</v>
      </c>
      <c r="K495" s="4" t="s">
        <v>199</v>
      </c>
      <c r="L495" s="4" t="s">
        <v>200</v>
      </c>
      <c r="M495" s="4" t="s">
        <v>24</v>
      </c>
    </row>
    <row r="496" spans="1:13" ht="60" customHeight="1" x14ac:dyDescent="0.45">
      <c r="A496" s="2">
        <v>494</v>
      </c>
      <c r="B496" s="3" t="s">
        <v>14</v>
      </c>
      <c r="C496" s="4" t="s">
        <v>29</v>
      </c>
      <c r="D496" s="4" t="s">
        <v>16</v>
      </c>
      <c r="E496" s="4" t="s">
        <v>29</v>
      </c>
      <c r="F496" s="4" t="s">
        <v>1333</v>
      </c>
      <c r="G496" s="4" t="s">
        <v>1334</v>
      </c>
      <c r="H496" s="4" t="s">
        <v>1326</v>
      </c>
      <c r="I496" s="4" t="s">
        <v>1327</v>
      </c>
      <c r="J496" s="4" t="s">
        <v>1328</v>
      </c>
      <c r="K496" s="4" t="s">
        <v>199</v>
      </c>
      <c r="L496" s="4" t="s">
        <v>200</v>
      </c>
      <c r="M496" s="4" t="s">
        <v>24</v>
      </c>
    </row>
    <row r="497" spans="1:13" ht="60" customHeight="1" x14ac:dyDescent="0.45">
      <c r="A497" s="5">
        <v>495</v>
      </c>
      <c r="B497" s="6" t="s">
        <v>25</v>
      </c>
      <c r="C497" s="4" t="s">
        <v>41</v>
      </c>
      <c r="D497" s="4" t="s">
        <v>27</v>
      </c>
      <c r="E497" s="4" t="s">
        <v>41</v>
      </c>
      <c r="F497" s="4" t="s">
        <v>1335</v>
      </c>
      <c r="G497" s="4" t="s">
        <v>1336</v>
      </c>
      <c r="H497" s="4" t="s">
        <v>1326</v>
      </c>
      <c r="I497" s="4" t="s">
        <v>1327</v>
      </c>
      <c r="J497" s="4" t="s">
        <v>1328</v>
      </c>
      <c r="K497" s="4" t="s">
        <v>199</v>
      </c>
      <c r="L497" s="4" t="s">
        <v>200</v>
      </c>
      <c r="M497" s="4" t="s">
        <v>24</v>
      </c>
    </row>
    <row r="498" spans="1:13" ht="60" customHeight="1" x14ac:dyDescent="0.45">
      <c r="A498" s="5">
        <v>496</v>
      </c>
      <c r="B498" s="6" t="s">
        <v>25</v>
      </c>
      <c r="C498" s="4" t="s">
        <v>62</v>
      </c>
      <c r="D498" s="4" t="s">
        <v>27</v>
      </c>
      <c r="E498" s="4" t="s">
        <v>62</v>
      </c>
      <c r="F498" s="4" t="s">
        <v>1337</v>
      </c>
      <c r="G498" s="4" t="s">
        <v>1338</v>
      </c>
      <c r="H498" s="4" t="s">
        <v>1326</v>
      </c>
      <c r="I498" s="4" t="s">
        <v>1327</v>
      </c>
      <c r="J498" s="4" t="s">
        <v>1328</v>
      </c>
      <c r="K498" s="4" t="s">
        <v>199</v>
      </c>
      <c r="L498" s="4" t="s">
        <v>200</v>
      </c>
      <c r="M498" s="4" t="s">
        <v>24</v>
      </c>
    </row>
    <row r="499" spans="1:13" ht="60" customHeight="1" x14ac:dyDescent="0.45">
      <c r="A499" s="7">
        <v>497</v>
      </c>
      <c r="B499" s="8" t="s">
        <v>31</v>
      </c>
      <c r="C499" s="4" t="s">
        <v>32</v>
      </c>
      <c r="D499" s="4" t="s">
        <v>33</v>
      </c>
      <c r="E499" s="4" t="s">
        <v>32</v>
      </c>
      <c r="F499" s="4" t="s">
        <v>1339</v>
      </c>
      <c r="G499" s="4" t="s">
        <v>1340</v>
      </c>
      <c r="H499" s="4" t="s">
        <v>1341</v>
      </c>
      <c r="I499" s="4" t="s">
        <v>1342</v>
      </c>
      <c r="J499" s="4" t="s">
        <v>21</v>
      </c>
      <c r="K499" s="4" t="s">
        <v>501</v>
      </c>
      <c r="L499" s="4" t="s">
        <v>86</v>
      </c>
      <c r="M499" s="4" t="s">
        <v>24</v>
      </c>
    </row>
    <row r="500" spans="1:13" ht="60" customHeight="1" x14ac:dyDescent="0.45">
      <c r="A500" s="5">
        <v>498</v>
      </c>
      <c r="B500" s="6" t="s">
        <v>25</v>
      </c>
      <c r="C500" s="4" t="s">
        <v>41</v>
      </c>
      <c r="D500" s="4" t="s">
        <v>27</v>
      </c>
      <c r="E500" s="4" t="s">
        <v>41</v>
      </c>
      <c r="F500" s="4" t="s">
        <v>1343</v>
      </c>
      <c r="G500" s="4" t="s">
        <v>1344</v>
      </c>
      <c r="H500" s="4" t="s">
        <v>1341</v>
      </c>
      <c r="I500" s="4" t="s">
        <v>1342</v>
      </c>
      <c r="J500" s="4" t="s">
        <v>21</v>
      </c>
      <c r="K500" s="4" t="s">
        <v>501</v>
      </c>
      <c r="L500" s="4" t="s">
        <v>86</v>
      </c>
      <c r="M500" s="4" t="s">
        <v>24</v>
      </c>
    </row>
    <row r="501" spans="1:13" ht="60" customHeight="1" x14ac:dyDescent="0.45">
      <c r="A501" s="5">
        <v>499</v>
      </c>
      <c r="B501" s="6" t="s">
        <v>25</v>
      </c>
      <c r="C501" s="4" t="s">
        <v>47</v>
      </c>
      <c r="D501" s="4" t="s">
        <v>27</v>
      </c>
      <c r="E501" s="4" t="s">
        <v>47</v>
      </c>
      <c r="F501" s="4" t="s">
        <v>1345</v>
      </c>
      <c r="G501" s="4" t="s">
        <v>1346</v>
      </c>
      <c r="H501" s="4" t="s">
        <v>1347</v>
      </c>
      <c r="I501" s="4" t="s">
        <v>1348</v>
      </c>
      <c r="J501" s="4" t="s">
        <v>1349</v>
      </c>
      <c r="K501" s="4" t="s">
        <v>1070</v>
      </c>
      <c r="L501" s="4" t="s">
        <v>170</v>
      </c>
      <c r="M501" s="4" t="s">
        <v>24</v>
      </c>
    </row>
    <row r="502" spans="1:13" ht="60" customHeight="1" x14ac:dyDescent="0.45">
      <c r="A502" s="5">
        <v>500</v>
      </c>
      <c r="B502" s="6" t="s">
        <v>25</v>
      </c>
      <c r="C502" s="4" t="s">
        <v>41</v>
      </c>
      <c r="D502" s="4" t="s">
        <v>27</v>
      </c>
      <c r="E502" s="4" t="s">
        <v>41</v>
      </c>
      <c r="F502" s="4" t="s">
        <v>1350</v>
      </c>
      <c r="G502" s="4" t="s">
        <v>1351</v>
      </c>
      <c r="H502" s="4" t="s">
        <v>1347</v>
      </c>
      <c r="I502" s="4" t="s">
        <v>1348</v>
      </c>
      <c r="J502" s="4" t="s">
        <v>1349</v>
      </c>
      <c r="K502" s="4" t="s">
        <v>1070</v>
      </c>
      <c r="L502" s="4" t="s">
        <v>170</v>
      </c>
      <c r="M502" s="4" t="s">
        <v>24</v>
      </c>
    </row>
    <row r="503" spans="1:13" ht="60" customHeight="1" x14ac:dyDescent="0.45">
      <c r="A503" s="2">
        <v>501</v>
      </c>
      <c r="B503" s="3" t="s">
        <v>14</v>
      </c>
      <c r="C503" s="4" t="s">
        <v>29</v>
      </c>
      <c r="D503" s="4" t="s">
        <v>16</v>
      </c>
      <c r="E503" s="4" t="s">
        <v>29</v>
      </c>
      <c r="F503" s="4" t="s">
        <v>1352</v>
      </c>
      <c r="G503" s="4" t="s">
        <v>1353</v>
      </c>
      <c r="H503" s="4" t="s">
        <v>1354</v>
      </c>
      <c r="I503" s="4" t="s">
        <v>1355</v>
      </c>
      <c r="J503" s="4" t="s">
        <v>321</v>
      </c>
      <c r="K503" s="4" t="s">
        <v>1211</v>
      </c>
      <c r="L503" s="4" t="s">
        <v>86</v>
      </c>
      <c r="M503" s="4" t="s">
        <v>24</v>
      </c>
    </row>
    <row r="504" spans="1:13" ht="60" customHeight="1" x14ac:dyDescent="0.45">
      <c r="A504" s="7">
        <v>502</v>
      </c>
      <c r="B504" s="8" t="s">
        <v>31</v>
      </c>
      <c r="C504" s="4" t="s">
        <v>32</v>
      </c>
      <c r="D504" s="4" t="s">
        <v>33</v>
      </c>
      <c r="E504" s="4" t="s">
        <v>32</v>
      </c>
      <c r="F504" s="4" t="s">
        <v>1356</v>
      </c>
      <c r="G504" s="4" t="s">
        <v>1357</v>
      </c>
      <c r="H504" s="4" t="s">
        <v>1354</v>
      </c>
      <c r="I504" s="4" t="s">
        <v>1355</v>
      </c>
      <c r="J504" s="4" t="s">
        <v>321</v>
      </c>
      <c r="K504" s="4" t="s">
        <v>1211</v>
      </c>
      <c r="L504" s="4" t="s">
        <v>86</v>
      </c>
      <c r="M504" s="4" t="s">
        <v>24</v>
      </c>
    </row>
    <row r="505" spans="1:13" ht="60" customHeight="1" x14ac:dyDescent="0.45">
      <c r="A505" s="2">
        <v>503</v>
      </c>
      <c r="B505" s="3" t="s">
        <v>14</v>
      </c>
      <c r="C505" s="4" t="s">
        <v>29</v>
      </c>
      <c r="D505" s="4" t="s">
        <v>16</v>
      </c>
      <c r="E505" s="4" t="s">
        <v>29</v>
      </c>
      <c r="F505" s="4" t="s">
        <v>1358</v>
      </c>
      <c r="G505" s="4" t="s">
        <v>1359</v>
      </c>
      <c r="H505" s="4" t="s">
        <v>1354</v>
      </c>
      <c r="I505" s="4" t="s">
        <v>1355</v>
      </c>
      <c r="J505" s="4" t="s">
        <v>321</v>
      </c>
      <c r="K505" s="4" t="s">
        <v>1211</v>
      </c>
      <c r="L505" s="4" t="s">
        <v>86</v>
      </c>
      <c r="M505" s="4" t="s">
        <v>24</v>
      </c>
    </row>
    <row r="506" spans="1:13" ht="60" customHeight="1" x14ac:dyDescent="0.45">
      <c r="A506" s="2">
        <v>504</v>
      </c>
      <c r="B506" s="3" t="s">
        <v>14</v>
      </c>
      <c r="C506" s="4" t="s">
        <v>29</v>
      </c>
      <c r="D506" s="4" t="s">
        <v>16</v>
      </c>
      <c r="E506" s="4" t="s">
        <v>29</v>
      </c>
      <c r="F506" s="4" t="s">
        <v>1360</v>
      </c>
      <c r="G506" s="4" t="s">
        <v>1361</v>
      </c>
      <c r="H506" s="4" t="s">
        <v>1354</v>
      </c>
      <c r="I506" s="4" t="s">
        <v>1355</v>
      </c>
      <c r="J506" s="4" t="s">
        <v>321</v>
      </c>
      <c r="K506" s="4" t="s">
        <v>1211</v>
      </c>
      <c r="L506" s="4" t="s">
        <v>86</v>
      </c>
      <c r="M506" s="4" t="s">
        <v>24</v>
      </c>
    </row>
    <row r="507" spans="1:13" ht="60" customHeight="1" x14ac:dyDescent="0.45">
      <c r="A507" s="5">
        <v>505</v>
      </c>
      <c r="B507" s="6" t="s">
        <v>25</v>
      </c>
      <c r="C507" s="4" t="s">
        <v>41</v>
      </c>
      <c r="D507" s="4" t="s">
        <v>27</v>
      </c>
      <c r="E507" s="4" t="s">
        <v>41</v>
      </c>
      <c r="F507" s="4" t="s">
        <v>1362</v>
      </c>
      <c r="G507" s="4" t="s">
        <v>1363</v>
      </c>
      <c r="H507" s="4" t="s">
        <v>1354</v>
      </c>
      <c r="I507" s="4" t="s">
        <v>1355</v>
      </c>
      <c r="J507" s="4" t="s">
        <v>321</v>
      </c>
      <c r="K507" s="4" t="s">
        <v>1211</v>
      </c>
      <c r="L507" s="4" t="s">
        <v>86</v>
      </c>
      <c r="M507" s="4" t="s">
        <v>24</v>
      </c>
    </row>
    <row r="508" spans="1:13" ht="60" customHeight="1" x14ac:dyDescent="0.45">
      <c r="A508" s="5">
        <v>506</v>
      </c>
      <c r="B508" s="6" t="s">
        <v>25</v>
      </c>
      <c r="C508" s="4" t="s">
        <v>41</v>
      </c>
      <c r="D508" s="4" t="s">
        <v>27</v>
      </c>
      <c r="E508" s="4" t="s">
        <v>41</v>
      </c>
      <c r="F508" s="4" t="s">
        <v>1364</v>
      </c>
      <c r="G508" s="4" t="s">
        <v>1365</v>
      </c>
      <c r="H508" s="4" t="s">
        <v>1366</v>
      </c>
      <c r="I508" s="4" t="s">
        <v>1367</v>
      </c>
      <c r="J508" s="4" t="s">
        <v>1368</v>
      </c>
      <c r="K508" s="4" t="s">
        <v>39</v>
      </c>
      <c r="L508" s="4" t="s">
        <v>40</v>
      </c>
      <c r="M508" s="4" t="s">
        <v>24</v>
      </c>
    </row>
    <row r="509" spans="1:13" ht="60" customHeight="1" x14ac:dyDescent="0.45">
      <c r="A509" s="7">
        <v>507</v>
      </c>
      <c r="B509" s="8" t="s">
        <v>31</v>
      </c>
      <c r="C509" s="4" t="s">
        <v>32</v>
      </c>
      <c r="D509" s="4" t="s">
        <v>33</v>
      </c>
      <c r="E509" s="4" t="s">
        <v>32</v>
      </c>
      <c r="F509" s="4" t="s">
        <v>1369</v>
      </c>
      <c r="G509" s="4" t="s">
        <v>1370</v>
      </c>
      <c r="H509" s="4" t="s">
        <v>1366</v>
      </c>
      <c r="I509" s="4" t="s">
        <v>1367</v>
      </c>
      <c r="J509" s="4" t="s">
        <v>1368</v>
      </c>
      <c r="K509" s="4" t="s">
        <v>39</v>
      </c>
      <c r="L509" s="4" t="s">
        <v>40</v>
      </c>
      <c r="M509" s="4" t="s">
        <v>24</v>
      </c>
    </row>
    <row r="510" spans="1:13" ht="60" customHeight="1" x14ac:dyDescent="0.45">
      <c r="A510" s="7">
        <v>508</v>
      </c>
      <c r="B510" s="8" t="s">
        <v>31</v>
      </c>
      <c r="C510" s="4" t="s">
        <v>109</v>
      </c>
      <c r="D510" s="4" t="s">
        <v>33</v>
      </c>
      <c r="E510" s="4" t="s">
        <v>109</v>
      </c>
      <c r="F510" s="4" t="s">
        <v>1371</v>
      </c>
      <c r="G510" s="4" t="s">
        <v>1372</v>
      </c>
      <c r="H510" s="4" t="s">
        <v>1373</v>
      </c>
      <c r="I510" s="4" t="s">
        <v>1374</v>
      </c>
      <c r="J510" s="4" t="s">
        <v>21</v>
      </c>
      <c r="K510" s="4" t="s">
        <v>199</v>
      </c>
      <c r="L510" s="4" t="s">
        <v>200</v>
      </c>
      <c r="M510" s="4" t="s">
        <v>24</v>
      </c>
    </row>
    <row r="511" spans="1:13" ht="60" customHeight="1" x14ac:dyDescent="0.45">
      <c r="A511" s="5">
        <v>509</v>
      </c>
      <c r="B511" s="6" t="s">
        <v>25</v>
      </c>
      <c r="C511" s="4" t="s">
        <v>47</v>
      </c>
      <c r="D511" s="4" t="s">
        <v>27</v>
      </c>
      <c r="E511" s="4" t="s">
        <v>47</v>
      </c>
      <c r="F511" s="4" t="s">
        <v>1375</v>
      </c>
      <c r="G511" s="4" t="s">
        <v>1376</v>
      </c>
      <c r="H511" s="4" t="s">
        <v>1373</v>
      </c>
      <c r="I511" s="4" t="s">
        <v>1374</v>
      </c>
      <c r="J511" s="4" t="s">
        <v>21</v>
      </c>
      <c r="K511" s="4" t="s">
        <v>199</v>
      </c>
      <c r="L511" s="4" t="s">
        <v>200</v>
      </c>
      <c r="M511" s="4" t="s">
        <v>24</v>
      </c>
    </row>
    <row r="512" spans="1:13" ht="60" customHeight="1" x14ac:dyDescent="0.45">
      <c r="A512" s="2">
        <v>510</v>
      </c>
      <c r="B512" s="3" t="s">
        <v>14</v>
      </c>
      <c r="C512" s="4" t="s">
        <v>29</v>
      </c>
      <c r="D512" s="4" t="s">
        <v>16</v>
      </c>
      <c r="E512" s="4" t="s">
        <v>29</v>
      </c>
      <c r="F512" s="4" t="s">
        <v>1377</v>
      </c>
      <c r="G512" s="4" t="s">
        <v>1378</v>
      </c>
      <c r="H512" s="4" t="s">
        <v>1373</v>
      </c>
      <c r="I512" s="4" t="s">
        <v>1374</v>
      </c>
      <c r="J512" s="4" t="s">
        <v>21</v>
      </c>
      <c r="K512" s="4" t="s">
        <v>199</v>
      </c>
      <c r="L512" s="4" t="s">
        <v>200</v>
      </c>
      <c r="M512" s="4" t="s">
        <v>24</v>
      </c>
    </row>
    <row r="513" spans="1:13" ht="60" customHeight="1" x14ac:dyDescent="0.45">
      <c r="A513" s="2">
        <v>511</v>
      </c>
      <c r="B513" s="3" t="s">
        <v>14</v>
      </c>
      <c r="C513" s="4" t="s">
        <v>96</v>
      </c>
      <c r="D513" s="4" t="s">
        <v>16</v>
      </c>
      <c r="E513" s="4" t="s">
        <v>96</v>
      </c>
      <c r="F513" s="4" t="s">
        <v>1379</v>
      </c>
      <c r="G513" s="4" t="s">
        <v>1380</v>
      </c>
      <c r="H513" s="4" t="s">
        <v>1373</v>
      </c>
      <c r="I513" s="4" t="s">
        <v>1374</v>
      </c>
      <c r="J513" s="4" t="s">
        <v>21</v>
      </c>
      <c r="K513" s="4" t="s">
        <v>199</v>
      </c>
      <c r="L513" s="4" t="s">
        <v>200</v>
      </c>
      <c r="M513" s="4" t="s">
        <v>24</v>
      </c>
    </row>
    <row r="514" spans="1:13" ht="60" customHeight="1" x14ac:dyDescent="0.45">
      <c r="A514" s="5">
        <v>512</v>
      </c>
      <c r="B514" s="6" t="s">
        <v>25</v>
      </c>
      <c r="C514" s="4" t="s">
        <v>47</v>
      </c>
      <c r="D514" s="4" t="s">
        <v>27</v>
      </c>
      <c r="E514" s="4" t="s">
        <v>47</v>
      </c>
      <c r="F514" s="4" t="s">
        <v>1381</v>
      </c>
      <c r="G514" s="4" t="s">
        <v>1382</v>
      </c>
      <c r="H514" s="4" t="s">
        <v>1373</v>
      </c>
      <c r="I514" s="4" t="s">
        <v>1374</v>
      </c>
      <c r="J514" s="4" t="s">
        <v>21</v>
      </c>
      <c r="K514" s="4" t="s">
        <v>199</v>
      </c>
      <c r="L514" s="4" t="s">
        <v>200</v>
      </c>
      <c r="M514" s="4" t="s">
        <v>24</v>
      </c>
    </row>
    <row r="515" spans="1:13" ht="60" customHeight="1" x14ac:dyDescent="0.45">
      <c r="A515" s="5">
        <v>513</v>
      </c>
      <c r="B515" s="6" t="s">
        <v>25</v>
      </c>
      <c r="C515" s="4" t="s">
        <v>47</v>
      </c>
      <c r="D515" s="4" t="s">
        <v>27</v>
      </c>
      <c r="E515" s="4" t="s">
        <v>47</v>
      </c>
      <c r="F515" s="4" t="s">
        <v>1383</v>
      </c>
      <c r="G515" s="4" t="s">
        <v>1384</v>
      </c>
      <c r="H515" s="4" t="s">
        <v>1373</v>
      </c>
      <c r="I515" s="4" t="s">
        <v>1374</v>
      </c>
      <c r="J515" s="4" t="s">
        <v>21</v>
      </c>
      <c r="K515" s="4" t="s">
        <v>199</v>
      </c>
      <c r="L515" s="4" t="s">
        <v>200</v>
      </c>
      <c r="M515" s="4" t="s">
        <v>24</v>
      </c>
    </row>
    <row r="516" spans="1:13" ht="60" customHeight="1" x14ac:dyDescent="0.45">
      <c r="A516" s="7">
        <v>514</v>
      </c>
      <c r="B516" s="8" t="s">
        <v>31</v>
      </c>
      <c r="C516" s="4" t="s">
        <v>32</v>
      </c>
      <c r="D516" s="4" t="s">
        <v>33</v>
      </c>
      <c r="E516" s="4" t="s">
        <v>32</v>
      </c>
      <c r="F516" s="4" t="s">
        <v>1385</v>
      </c>
      <c r="G516" s="4" t="s">
        <v>1386</v>
      </c>
      <c r="H516" s="4" t="s">
        <v>1373</v>
      </c>
      <c r="I516" s="4" t="s">
        <v>1374</v>
      </c>
      <c r="J516" s="4" t="s">
        <v>21</v>
      </c>
      <c r="K516" s="4" t="s">
        <v>199</v>
      </c>
      <c r="L516" s="4" t="s">
        <v>200</v>
      </c>
      <c r="M516" s="4" t="s">
        <v>24</v>
      </c>
    </row>
    <row r="517" spans="1:13" ht="60" customHeight="1" x14ac:dyDescent="0.45">
      <c r="A517" s="5">
        <v>515</v>
      </c>
      <c r="B517" s="6" t="s">
        <v>25</v>
      </c>
      <c r="C517" s="4" t="s">
        <v>41</v>
      </c>
      <c r="D517" s="4" t="s">
        <v>27</v>
      </c>
      <c r="E517" s="4" t="s">
        <v>41</v>
      </c>
      <c r="F517" s="4" t="s">
        <v>1387</v>
      </c>
      <c r="G517" s="4" t="s">
        <v>1388</v>
      </c>
      <c r="H517" s="4" t="s">
        <v>1389</v>
      </c>
      <c r="I517" s="4" t="s">
        <v>1390</v>
      </c>
      <c r="J517" s="4" t="s">
        <v>829</v>
      </c>
      <c r="K517" s="4" t="s">
        <v>39</v>
      </c>
      <c r="L517" s="4" t="s">
        <v>40</v>
      </c>
      <c r="M517" s="4" t="s">
        <v>24</v>
      </c>
    </row>
    <row r="518" spans="1:13" ht="60" customHeight="1" x14ac:dyDescent="0.45">
      <c r="A518" s="5">
        <v>516</v>
      </c>
      <c r="B518" s="6" t="s">
        <v>25</v>
      </c>
      <c r="C518" s="4" t="s">
        <v>47</v>
      </c>
      <c r="D518" s="4" t="s">
        <v>27</v>
      </c>
      <c r="E518" s="4" t="s">
        <v>47</v>
      </c>
      <c r="F518" s="4" t="s">
        <v>1391</v>
      </c>
      <c r="G518" s="4" t="s">
        <v>1392</v>
      </c>
      <c r="H518" s="4" t="s">
        <v>1393</v>
      </c>
      <c r="I518" s="4" t="s">
        <v>1394</v>
      </c>
      <c r="J518" s="4" t="s">
        <v>1395</v>
      </c>
      <c r="K518" s="4" t="s">
        <v>563</v>
      </c>
      <c r="L518" s="4" t="s">
        <v>177</v>
      </c>
      <c r="M518" s="4" t="s">
        <v>87</v>
      </c>
    </row>
    <row r="519" spans="1:13" ht="60" customHeight="1" x14ac:dyDescent="0.45">
      <c r="A519" s="5">
        <v>517</v>
      </c>
      <c r="B519" s="6" t="s">
        <v>25</v>
      </c>
      <c r="C519" s="4" t="s">
        <v>62</v>
      </c>
      <c r="D519" s="4" t="s">
        <v>27</v>
      </c>
      <c r="E519" s="4" t="s">
        <v>62</v>
      </c>
      <c r="F519" s="4" t="s">
        <v>1396</v>
      </c>
      <c r="G519" s="4" t="s">
        <v>1397</v>
      </c>
      <c r="H519" s="4" t="s">
        <v>1393</v>
      </c>
      <c r="I519" s="4" t="s">
        <v>1394</v>
      </c>
      <c r="J519" s="4" t="s">
        <v>1395</v>
      </c>
      <c r="K519" s="4" t="s">
        <v>563</v>
      </c>
      <c r="L519" s="4" t="s">
        <v>177</v>
      </c>
      <c r="M519" s="4" t="s">
        <v>87</v>
      </c>
    </row>
    <row r="520" spans="1:13" ht="60" customHeight="1" x14ac:dyDescent="0.45">
      <c r="A520" s="5">
        <v>518</v>
      </c>
      <c r="B520" s="6" t="s">
        <v>25</v>
      </c>
      <c r="C520" s="4" t="s">
        <v>62</v>
      </c>
      <c r="D520" s="4" t="s">
        <v>27</v>
      </c>
      <c r="E520" s="4" t="s">
        <v>62</v>
      </c>
      <c r="F520" s="4" t="s">
        <v>1398</v>
      </c>
      <c r="G520" s="4" t="s">
        <v>1399</v>
      </c>
      <c r="H520" s="4" t="s">
        <v>1400</v>
      </c>
      <c r="I520" s="4" t="s">
        <v>1401</v>
      </c>
      <c r="J520" s="4" t="s">
        <v>948</v>
      </c>
      <c r="K520" s="4" t="s">
        <v>563</v>
      </c>
      <c r="L520" s="4" t="s">
        <v>177</v>
      </c>
      <c r="M520" s="4" t="s">
        <v>87</v>
      </c>
    </row>
    <row r="521" spans="1:13" ht="60" customHeight="1" x14ac:dyDescent="0.45">
      <c r="A521" s="5">
        <v>519</v>
      </c>
      <c r="B521" s="6" t="s">
        <v>25</v>
      </c>
      <c r="C521" s="4" t="s">
        <v>44</v>
      </c>
      <c r="D521" s="4" t="s">
        <v>27</v>
      </c>
      <c r="E521" s="4" t="s">
        <v>44</v>
      </c>
      <c r="F521" s="4" t="s">
        <v>1402</v>
      </c>
      <c r="G521" s="4" t="s">
        <v>1403</v>
      </c>
      <c r="H521" s="4" t="s">
        <v>1404</v>
      </c>
      <c r="I521" s="4" t="s">
        <v>1405</v>
      </c>
      <c r="J521" s="4" t="s">
        <v>84</v>
      </c>
      <c r="K521" s="4" t="s">
        <v>85</v>
      </c>
      <c r="L521" s="4" t="s">
        <v>86</v>
      </c>
      <c r="M521" s="4" t="s">
        <v>87</v>
      </c>
    </row>
    <row r="522" spans="1:13" ht="60" customHeight="1" x14ac:dyDescent="0.45">
      <c r="A522" s="5">
        <v>520</v>
      </c>
      <c r="B522" s="6" t="s">
        <v>25</v>
      </c>
      <c r="C522" s="4" t="s">
        <v>62</v>
      </c>
      <c r="D522" s="4" t="s">
        <v>27</v>
      </c>
      <c r="E522" s="4" t="s">
        <v>62</v>
      </c>
      <c r="F522" s="4" t="s">
        <v>1406</v>
      </c>
      <c r="G522" s="4" t="s">
        <v>1407</v>
      </c>
      <c r="H522" s="4" t="s">
        <v>1404</v>
      </c>
      <c r="I522" s="4" t="s">
        <v>1405</v>
      </c>
      <c r="J522" s="4" t="s">
        <v>84</v>
      </c>
      <c r="K522" s="4" t="s">
        <v>85</v>
      </c>
      <c r="L522" s="4" t="s">
        <v>86</v>
      </c>
      <c r="M522" s="4" t="s">
        <v>87</v>
      </c>
    </row>
    <row r="523" spans="1:13" ht="60" customHeight="1" x14ac:dyDescent="0.45">
      <c r="A523" s="5">
        <v>521</v>
      </c>
      <c r="B523" s="6" t="s">
        <v>25</v>
      </c>
      <c r="C523" s="4" t="s">
        <v>62</v>
      </c>
      <c r="D523" s="4" t="s">
        <v>27</v>
      </c>
      <c r="E523" s="4" t="s">
        <v>62</v>
      </c>
      <c r="F523" s="4" t="s">
        <v>1408</v>
      </c>
      <c r="G523" s="4" t="s">
        <v>1409</v>
      </c>
      <c r="H523" s="4" t="s">
        <v>1404</v>
      </c>
      <c r="I523" s="4" t="s">
        <v>1405</v>
      </c>
      <c r="J523" s="4" t="s">
        <v>84</v>
      </c>
      <c r="K523" s="4" t="s">
        <v>85</v>
      </c>
      <c r="L523" s="4" t="s">
        <v>86</v>
      </c>
      <c r="M523" s="4" t="s">
        <v>87</v>
      </c>
    </row>
    <row r="524" spans="1:13" ht="60" customHeight="1" x14ac:dyDescent="0.45">
      <c r="A524" s="5">
        <v>522</v>
      </c>
      <c r="B524" s="6" t="s">
        <v>25</v>
      </c>
      <c r="C524" s="4" t="s">
        <v>47</v>
      </c>
      <c r="D524" s="4" t="s">
        <v>27</v>
      </c>
      <c r="E524" s="4" t="s">
        <v>47</v>
      </c>
      <c r="F524" s="4" t="s">
        <v>1410</v>
      </c>
      <c r="G524" s="4" t="s">
        <v>1411</v>
      </c>
      <c r="H524" s="4" t="s">
        <v>1404</v>
      </c>
      <c r="I524" s="4" t="s">
        <v>1405</v>
      </c>
      <c r="J524" s="4" t="s">
        <v>84</v>
      </c>
      <c r="K524" s="4" t="s">
        <v>85</v>
      </c>
      <c r="L524" s="4" t="s">
        <v>86</v>
      </c>
      <c r="M524" s="4" t="s">
        <v>87</v>
      </c>
    </row>
    <row r="525" spans="1:13" ht="60" customHeight="1" x14ac:dyDescent="0.45">
      <c r="A525" s="5">
        <v>523</v>
      </c>
      <c r="B525" s="6" t="s">
        <v>25</v>
      </c>
      <c r="C525" s="4" t="s">
        <v>47</v>
      </c>
      <c r="D525" s="4" t="s">
        <v>27</v>
      </c>
      <c r="E525" s="4" t="s">
        <v>47</v>
      </c>
      <c r="F525" s="4" t="s">
        <v>1412</v>
      </c>
      <c r="G525" s="4" t="s">
        <v>1413</v>
      </c>
      <c r="H525" s="4" t="s">
        <v>1414</v>
      </c>
      <c r="I525" s="4" t="s">
        <v>1415</v>
      </c>
      <c r="J525" s="4" t="s">
        <v>610</v>
      </c>
      <c r="K525" s="4" t="s">
        <v>127</v>
      </c>
      <c r="L525" s="4" t="s">
        <v>23</v>
      </c>
      <c r="M525" s="4" t="s">
        <v>24</v>
      </c>
    </row>
    <row r="526" spans="1:13" ht="60" customHeight="1" x14ac:dyDescent="0.45">
      <c r="A526" s="7">
        <v>524</v>
      </c>
      <c r="B526" s="8" t="s">
        <v>31</v>
      </c>
      <c r="C526" s="4" t="s">
        <v>32</v>
      </c>
      <c r="D526" s="4" t="s">
        <v>33</v>
      </c>
      <c r="E526" s="4" t="s">
        <v>32</v>
      </c>
      <c r="F526" s="4" t="s">
        <v>1416</v>
      </c>
      <c r="G526" s="4" t="s">
        <v>1417</v>
      </c>
      <c r="H526" s="4" t="s">
        <v>1414</v>
      </c>
      <c r="I526" s="4" t="s">
        <v>1415</v>
      </c>
      <c r="J526" s="4" t="s">
        <v>610</v>
      </c>
      <c r="K526" s="4" t="s">
        <v>127</v>
      </c>
      <c r="L526" s="4" t="s">
        <v>23</v>
      </c>
      <c r="M526" s="4" t="s">
        <v>24</v>
      </c>
    </row>
    <row r="527" spans="1:13" ht="60" customHeight="1" x14ac:dyDescent="0.45">
      <c r="A527" s="5">
        <v>525</v>
      </c>
      <c r="B527" s="6" t="s">
        <v>25</v>
      </c>
      <c r="C527" s="4" t="s">
        <v>41</v>
      </c>
      <c r="D527" s="4" t="s">
        <v>27</v>
      </c>
      <c r="E527" s="4" t="s">
        <v>41</v>
      </c>
      <c r="F527" s="4" t="s">
        <v>1418</v>
      </c>
      <c r="G527" s="4" t="s">
        <v>1419</v>
      </c>
      <c r="H527" s="4" t="s">
        <v>1420</v>
      </c>
      <c r="I527" s="4" t="s">
        <v>1421</v>
      </c>
      <c r="J527" s="4" t="s">
        <v>1422</v>
      </c>
      <c r="K527" s="4" t="s">
        <v>169</v>
      </c>
      <c r="L527" s="4" t="s">
        <v>170</v>
      </c>
      <c r="M527" s="4" t="s">
        <v>24</v>
      </c>
    </row>
    <row r="528" spans="1:13" ht="60" customHeight="1" x14ac:dyDescent="0.45">
      <c r="A528" s="7">
        <v>526</v>
      </c>
      <c r="B528" s="8" t="s">
        <v>31</v>
      </c>
      <c r="C528" s="4" t="s">
        <v>32</v>
      </c>
      <c r="D528" s="4" t="s">
        <v>33</v>
      </c>
      <c r="E528" s="4" t="s">
        <v>32</v>
      </c>
      <c r="F528" s="4" t="s">
        <v>1423</v>
      </c>
      <c r="G528" s="4" t="s">
        <v>1424</v>
      </c>
      <c r="H528" s="4" t="s">
        <v>1425</v>
      </c>
      <c r="I528" s="4" t="s">
        <v>1426</v>
      </c>
      <c r="J528" s="4" t="s">
        <v>142</v>
      </c>
      <c r="K528" s="4" t="s">
        <v>39</v>
      </c>
      <c r="L528" s="4" t="s">
        <v>40</v>
      </c>
      <c r="M528" s="4" t="s">
        <v>24</v>
      </c>
    </row>
    <row r="529" spans="1:13" ht="60" customHeight="1" x14ac:dyDescent="0.45">
      <c r="A529" s="5">
        <v>527</v>
      </c>
      <c r="B529" s="6" t="s">
        <v>25</v>
      </c>
      <c r="C529" s="4" t="s">
        <v>62</v>
      </c>
      <c r="D529" s="4" t="s">
        <v>27</v>
      </c>
      <c r="E529" s="4" t="s">
        <v>62</v>
      </c>
      <c r="F529" s="4" t="s">
        <v>1427</v>
      </c>
      <c r="G529" s="4" t="s">
        <v>1428</v>
      </c>
      <c r="H529" s="4" t="s">
        <v>1425</v>
      </c>
      <c r="I529" s="4" t="s">
        <v>1426</v>
      </c>
      <c r="J529" s="4" t="s">
        <v>142</v>
      </c>
      <c r="K529" s="4" t="s">
        <v>39</v>
      </c>
      <c r="L529" s="4" t="s">
        <v>40</v>
      </c>
      <c r="M529" s="4" t="s">
        <v>24</v>
      </c>
    </row>
    <row r="530" spans="1:13" ht="60" customHeight="1" x14ac:dyDescent="0.45">
      <c r="A530" s="7">
        <v>528</v>
      </c>
      <c r="B530" s="8" t="s">
        <v>31</v>
      </c>
      <c r="C530" s="4" t="s">
        <v>79</v>
      </c>
      <c r="D530" s="4" t="s">
        <v>33</v>
      </c>
      <c r="E530" s="4" t="s">
        <v>79</v>
      </c>
      <c r="F530" s="4" t="s">
        <v>1429</v>
      </c>
      <c r="G530" s="4" t="s">
        <v>1430</v>
      </c>
      <c r="H530" s="4" t="s">
        <v>1425</v>
      </c>
      <c r="I530" s="4" t="s">
        <v>1426</v>
      </c>
      <c r="J530" s="4" t="s">
        <v>142</v>
      </c>
      <c r="K530" s="4" t="s">
        <v>39</v>
      </c>
      <c r="L530" s="4" t="s">
        <v>40</v>
      </c>
      <c r="M530" s="4" t="s">
        <v>24</v>
      </c>
    </row>
    <row r="531" spans="1:13" ht="60" customHeight="1" x14ac:dyDescent="0.45">
      <c r="A531" s="5">
        <v>529</v>
      </c>
      <c r="B531" s="6" t="s">
        <v>25</v>
      </c>
      <c r="C531" s="4" t="s">
        <v>26</v>
      </c>
      <c r="D531" s="4" t="s">
        <v>27</v>
      </c>
      <c r="E531" s="4" t="s">
        <v>26</v>
      </c>
      <c r="F531" s="4" t="s">
        <v>1431</v>
      </c>
      <c r="G531" s="4" t="s">
        <v>1432</v>
      </c>
      <c r="H531" s="4" t="s">
        <v>1425</v>
      </c>
      <c r="I531" s="4" t="s">
        <v>1426</v>
      </c>
      <c r="J531" s="4" t="s">
        <v>142</v>
      </c>
      <c r="K531" s="4" t="s">
        <v>39</v>
      </c>
      <c r="L531" s="4" t="s">
        <v>40</v>
      </c>
      <c r="M531" s="4" t="s">
        <v>24</v>
      </c>
    </row>
    <row r="532" spans="1:13" ht="60" customHeight="1" x14ac:dyDescent="0.45">
      <c r="A532" s="5">
        <v>530</v>
      </c>
      <c r="B532" s="6" t="s">
        <v>25</v>
      </c>
      <c r="C532" s="4" t="s">
        <v>62</v>
      </c>
      <c r="D532" s="4" t="s">
        <v>27</v>
      </c>
      <c r="E532" s="4" t="s">
        <v>62</v>
      </c>
      <c r="F532" s="4" t="s">
        <v>1431</v>
      </c>
      <c r="G532" s="4" t="s">
        <v>1433</v>
      </c>
      <c r="H532" s="4" t="s">
        <v>1425</v>
      </c>
      <c r="I532" s="4" t="s">
        <v>1426</v>
      </c>
      <c r="J532" s="4" t="s">
        <v>142</v>
      </c>
      <c r="K532" s="4" t="s">
        <v>39</v>
      </c>
      <c r="L532" s="4" t="s">
        <v>40</v>
      </c>
      <c r="M532" s="4" t="s">
        <v>24</v>
      </c>
    </row>
    <row r="533" spans="1:13" ht="60" customHeight="1" x14ac:dyDescent="0.45">
      <c r="A533" s="5">
        <v>531</v>
      </c>
      <c r="B533" s="6" t="s">
        <v>25</v>
      </c>
      <c r="C533" s="4" t="s">
        <v>47</v>
      </c>
      <c r="D533" s="4" t="s">
        <v>27</v>
      </c>
      <c r="E533" s="4" t="s">
        <v>47</v>
      </c>
      <c r="F533" s="4" t="s">
        <v>1434</v>
      </c>
      <c r="G533" s="4" t="s">
        <v>1435</v>
      </c>
      <c r="H533" s="4" t="s">
        <v>1425</v>
      </c>
      <c r="I533" s="4" t="s">
        <v>1426</v>
      </c>
      <c r="J533" s="4" t="s">
        <v>142</v>
      </c>
      <c r="K533" s="4" t="s">
        <v>39</v>
      </c>
      <c r="L533" s="4" t="s">
        <v>40</v>
      </c>
      <c r="M533" s="4" t="s">
        <v>24</v>
      </c>
    </row>
    <row r="534" spans="1:13" ht="60" customHeight="1" x14ac:dyDescent="0.45">
      <c r="A534" s="5">
        <v>532</v>
      </c>
      <c r="B534" s="6" t="s">
        <v>25</v>
      </c>
      <c r="C534" s="4" t="s">
        <v>114</v>
      </c>
      <c r="D534" s="4" t="s">
        <v>27</v>
      </c>
      <c r="E534" s="4" t="s">
        <v>114</v>
      </c>
      <c r="F534" s="4" t="s">
        <v>1436</v>
      </c>
      <c r="G534" s="4" t="s">
        <v>1437</v>
      </c>
      <c r="H534" s="4" t="s">
        <v>1425</v>
      </c>
      <c r="I534" s="4" t="s">
        <v>1426</v>
      </c>
      <c r="J534" s="4" t="s">
        <v>142</v>
      </c>
      <c r="K534" s="4" t="s">
        <v>39</v>
      </c>
      <c r="L534" s="4" t="s">
        <v>40</v>
      </c>
      <c r="M534" s="4" t="s">
        <v>24</v>
      </c>
    </row>
    <row r="535" spans="1:13" ht="60" customHeight="1" x14ac:dyDescent="0.45">
      <c r="A535" s="5">
        <v>533</v>
      </c>
      <c r="B535" s="6" t="s">
        <v>25</v>
      </c>
      <c r="C535" s="4" t="s">
        <v>41</v>
      </c>
      <c r="D535" s="4" t="s">
        <v>27</v>
      </c>
      <c r="E535" s="4" t="s">
        <v>41</v>
      </c>
      <c r="F535" s="4" t="s">
        <v>1438</v>
      </c>
      <c r="G535" s="4" t="s">
        <v>1439</v>
      </c>
      <c r="H535" s="4" t="s">
        <v>1425</v>
      </c>
      <c r="I535" s="4" t="s">
        <v>1426</v>
      </c>
      <c r="J535" s="4" t="s">
        <v>142</v>
      </c>
      <c r="K535" s="4" t="s">
        <v>39</v>
      </c>
      <c r="L535" s="4" t="s">
        <v>40</v>
      </c>
      <c r="M535" s="4" t="s">
        <v>24</v>
      </c>
    </row>
    <row r="536" spans="1:13" ht="60" customHeight="1" x14ac:dyDescent="0.45">
      <c r="A536" s="7">
        <v>534</v>
      </c>
      <c r="B536" s="8" t="s">
        <v>31</v>
      </c>
      <c r="C536" s="4" t="s">
        <v>32</v>
      </c>
      <c r="D536" s="4" t="s">
        <v>33</v>
      </c>
      <c r="E536" s="4" t="s">
        <v>32</v>
      </c>
      <c r="F536" s="4" t="s">
        <v>1440</v>
      </c>
      <c r="G536" s="4" t="s">
        <v>1441</v>
      </c>
      <c r="H536" s="4" t="s">
        <v>1425</v>
      </c>
      <c r="I536" s="4" t="s">
        <v>1426</v>
      </c>
      <c r="J536" s="4" t="s">
        <v>142</v>
      </c>
      <c r="K536" s="4" t="s">
        <v>39</v>
      </c>
      <c r="L536" s="4" t="s">
        <v>40</v>
      </c>
      <c r="M536" s="4" t="s">
        <v>24</v>
      </c>
    </row>
    <row r="537" spans="1:13" ht="60" customHeight="1" x14ac:dyDescent="0.45">
      <c r="A537" s="5">
        <v>535</v>
      </c>
      <c r="B537" s="6" t="s">
        <v>25</v>
      </c>
      <c r="C537" s="4" t="s">
        <v>47</v>
      </c>
      <c r="D537" s="4" t="s">
        <v>27</v>
      </c>
      <c r="E537" s="4" t="s">
        <v>47</v>
      </c>
      <c r="F537" s="4" t="s">
        <v>1442</v>
      </c>
      <c r="G537" s="4" t="s">
        <v>1443</v>
      </c>
      <c r="H537" s="4" t="s">
        <v>1444</v>
      </c>
      <c r="I537" s="4" t="s">
        <v>1445</v>
      </c>
      <c r="J537" s="4" t="s">
        <v>21</v>
      </c>
      <c r="K537" s="4" t="s">
        <v>501</v>
      </c>
      <c r="L537" s="4" t="s">
        <v>86</v>
      </c>
      <c r="M537" s="4" t="s">
        <v>24</v>
      </c>
    </row>
    <row r="538" spans="1:13" ht="60" customHeight="1" x14ac:dyDescent="0.45">
      <c r="A538" s="5">
        <v>536</v>
      </c>
      <c r="B538" s="6" t="s">
        <v>25</v>
      </c>
      <c r="C538" s="4" t="s">
        <v>44</v>
      </c>
      <c r="D538" s="4" t="s">
        <v>27</v>
      </c>
      <c r="E538" s="4" t="s">
        <v>44</v>
      </c>
      <c r="F538" s="4" t="s">
        <v>1446</v>
      </c>
      <c r="G538" s="4" t="s">
        <v>1447</v>
      </c>
      <c r="H538" s="4" t="s">
        <v>1448</v>
      </c>
      <c r="I538" s="4" t="s">
        <v>1449</v>
      </c>
      <c r="J538" s="4" t="s">
        <v>555</v>
      </c>
      <c r="K538" s="4" t="s">
        <v>1070</v>
      </c>
      <c r="L538" s="4" t="s">
        <v>170</v>
      </c>
      <c r="M538" s="4" t="s">
        <v>87</v>
      </c>
    </row>
    <row r="539" spans="1:13" ht="60" customHeight="1" x14ac:dyDescent="0.45">
      <c r="A539" s="5">
        <v>537</v>
      </c>
      <c r="B539" s="6" t="s">
        <v>25</v>
      </c>
      <c r="C539" s="4" t="s">
        <v>47</v>
      </c>
      <c r="D539" s="4" t="s">
        <v>27</v>
      </c>
      <c r="E539" s="4" t="s">
        <v>47</v>
      </c>
      <c r="F539" s="4" t="s">
        <v>1450</v>
      </c>
      <c r="G539" s="4" t="s">
        <v>1451</v>
      </c>
      <c r="H539" s="4" t="s">
        <v>1448</v>
      </c>
      <c r="I539" s="4" t="s">
        <v>1449</v>
      </c>
      <c r="J539" s="4" t="s">
        <v>555</v>
      </c>
      <c r="K539" s="4" t="s">
        <v>1070</v>
      </c>
      <c r="L539" s="4" t="s">
        <v>170</v>
      </c>
      <c r="M539" s="4" t="s">
        <v>87</v>
      </c>
    </row>
    <row r="540" spans="1:13" ht="60" customHeight="1" x14ac:dyDescent="0.45">
      <c r="A540" s="5">
        <v>538</v>
      </c>
      <c r="B540" s="6" t="s">
        <v>25</v>
      </c>
      <c r="C540" s="4" t="s">
        <v>41</v>
      </c>
      <c r="D540" s="4" t="s">
        <v>27</v>
      </c>
      <c r="E540" s="4" t="s">
        <v>41</v>
      </c>
      <c r="F540" s="4" t="s">
        <v>1452</v>
      </c>
      <c r="G540" s="4" t="s">
        <v>1453</v>
      </c>
      <c r="H540" s="4" t="s">
        <v>1448</v>
      </c>
      <c r="I540" s="4" t="s">
        <v>1449</v>
      </c>
      <c r="J540" s="4" t="s">
        <v>555</v>
      </c>
      <c r="K540" s="4" t="s">
        <v>1070</v>
      </c>
      <c r="L540" s="4" t="s">
        <v>170</v>
      </c>
      <c r="M540" s="4" t="s">
        <v>87</v>
      </c>
    </row>
    <row r="541" spans="1:13" ht="60" customHeight="1" x14ac:dyDescent="0.45">
      <c r="A541" s="5">
        <v>539</v>
      </c>
      <c r="B541" s="6" t="s">
        <v>25</v>
      </c>
      <c r="C541" s="4" t="s">
        <v>41</v>
      </c>
      <c r="D541" s="4" t="s">
        <v>27</v>
      </c>
      <c r="E541" s="4" t="s">
        <v>41</v>
      </c>
      <c r="F541" s="4" t="s">
        <v>1454</v>
      </c>
      <c r="G541" s="4" t="s">
        <v>1455</v>
      </c>
      <c r="H541" s="4" t="s">
        <v>1448</v>
      </c>
      <c r="I541" s="4" t="s">
        <v>1449</v>
      </c>
      <c r="J541" s="4" t="s">
        <v>555</v>
      </c>
      <c r="K541" s="4" t="s">
        <v>1070</v>
      </c>
      <c r="L541" s="4" t="s">
        <v>170</v>
      </c>
      <c r="M541" s="4" t="s">
        <v>87</v>
      </c>
    </row>
    <row r="542" spans="1:13" ht="60" customHeight="1" x14ac:dyDescent="0.45">
      <c r="A542" s="5">
        <v>540</v>
      </c>
      <c r="B542" s="6" t="s">
        <v>25</v>
      </c>
      <c r="C542" s="4" t="s">
        <v>47</v>
      </c>
      <c r="D542" s="4" t="s">
        <v>27</v>
      </c>
      <c r="E542" s="4" t="s">
        <v>47</v>
      </c>
      <c r="F542" s="4" t="s">
        <v>1456</v>
      </c>
      <c r="G542" s="4" t="s">
        <v>1457</v>
      </c>
      <c r="H542" s="4" t="s">
        <v>1448</v>
      </c>
      <c r="I542" s="4" t="s">
        <v>1449</v>
      </c>
      <c r="J542" s="4" t="s">
        <v>555</v>
      </c>
      <c r="K542" s="4" t="s">
        <v>1070</v>
      </c>
      <c r="L542" s="4" t="s">
        <v>170</v>
      </c>
      <c r="M542" s="4" t="s">
        <v>87</v>
      </c>
    </row>
    <row r="543" spans="1:13" ht="60" customHeight="1" x14ac:dyDescent="0.45">
      <c r="A543" s="5">
        <v>541</v>
      </c>
      <c r="B543" s="6" t="s">
        <v>25</v>
      </c>
      <c r="C543" s="4" t="s">
        <v>62</v>
      </c>
      <c r="D543" s="4" t="s">
        <v>27</v>
      </c>
      <c r="E543" s="4" t="s">
        <v>62</v>
      </c>
      <c r="F543" s="4" t="s">
        <v>1456</v>
      </c>
      <c r="G543" s="4" t="s">
        <v>1458</v>
      </c>
      <c r="H543" s="4" t="s">
        <v>1448</v>
      </c>
      <c r="I543" s="4" t="s">
        <v>1449</v>
      </c>
      <c r="J543" s="4" t="s">
        <v>555</v>
      </c>
      <c r="K543" s="4" t="s">
        <v>1070</v>
      </c>
      <c r="L543" s="4" t="s">
        <v>170</v>
      </c>
      <c r="M543" s="4" t="s">
        <v>87</v>
      </c>
    </row>
    <row r="544" spans="1:13" ht="60" customHeight="1" x14ac:dyDescent="0.45">
      <c r="A544" s="7">
        <v>542</v>
      </c>
      <c r="B544" s="8" t="s">
        <v>31</v>
      </c>
      <c r="C544" s="4" t="s">
        <v>79</v>
      </c>
      <c r="D544" s="4" t="s">
        <v>33</v>
      </c>
      <c r="E544" s="4" t="s">
        <v>79</v>
      </c>
      <c r="F544" s="4" t="s">
        <v>1459</v>
      </c>
      <c r="G544" s="4" t="s">
        <v>1460</v>
      </c>
      <c r="H544" s="4" t="s">
        <v>1448</v>
      </c>
      <c r="I544" s="4" t="s">
        <v>1449</v>
      </c>
      <c r="J544" s="4" t="s">
        <v>555</v>
      </c>
      <c r="K544" s="4" t="s">
        <v>1070</v>
      </c>
      <c r="L544" s="4" t="s">
        <v>170</v>
      </c>
      <c r="M544" s="4" t="s">
        <v>87</v>
      </c>
    </row>
    <row r="545" spans="1:13" ht="60" customHeight="1" x14ac:dyDescent="0.45">
      <c r="A545" s="5">
        <v>543</v>
      </c>
      <c r="B545" s="6" t="s">
        <v>25</v>
      </c>
      <c r="C545" s="4" t="s">
        <v>41</v>
      </c>
      <c r="D545" s="4" t="s">
        <v>27</v>
      </c>
      <c r="E545" s="4" t="s">
        <v>41</v>
      </c>
      <c r="F545" s="4" t="s">
        <v>1461</v>
      </c>
      <c r="G545" s="4" t="s">
        <v>1462</v>
      </c>
      <c r="H545" s="4" t="s">
        <v>1463</v>
      </c>
      <c r="I545" s="4" t="s">
        <v>1449</v>
      </c>
      <c r="J545" s="4" t="s">
        <v>555</v>
      </c>
      <c r="K545" s="4" t="s">
        <v>1211</v>
      </c>
      <c r="L545" s="4" t="s">
        <v>86</v>
      </c>
      <c r="M545" s="4" t="s">
        <v>87</v>
      </c>
    </row>
    <row r="546" spans="1:13" ht="60" customHeight="1" x14ac:dyDescent="0.45">
      <c r="A546" s="5">
        <v>544</v>
      </c>
      <c r="B546" s="6" t="s">
        <v>25</v>
      </c>
      <c r="C546" s="4" t="s">
        <v>41</v>
      </c>
      <c r="D546" s="4" t="s">
        <v>27</v>
      </c>
      <c r="E546" s="4" t="s">
        <v>41</v>
      </c>
      <c r="F546" s="4" t="s">
        <v>1464</v>
      </c>
      <c r="G546" s="4" t="s">
        <v>1465</v>
      </c>
      <c r="H546" s="4" t="s">
        <v>1463</v>
      </c>
      <c r="I546" s="4" t="s">
        <v>1449</v>
      </c>
      <c r="J546" s="4" t="s">
        <v>555</v>
      </c>
      <c r="K546" s="4" t="s">
        <v>1211</v>
      </c>
      <c r="L546" s="4" t="s">
        <v>86</v>
      </c>
      <c r="M546" s="4" t="s">
        <v>87</v>
      </c>
    </row>
    <row r="547" spans="1:13" ht="60" customHeight="1" x14ac:dyDescent="0.45">
      <c r="A547" s="7">
        <v>545</v>
      </c>
      <c r="B547" s="8" t="s">
        <v>31</v>
      </c>
      <c r="C547" s="4" t="s">
        <v>32</v>
      </c>
      <c r="D547" s="4" t="s">
        <v>33</v>
      </c>
      <c r="E547" s="4" t="s">
        <v>32</v>
      </c>
      <c r="F547" s="4" t="s">
        <v>1466</v>
      </c>
      <c r="G547" s="4" t="s">
        <v>1467</v>
      </c>
      <c r="H547" s="4" t="s">
        <v>1468</v>
      </c>
      <c r="I547" s="4" t="s">
        <v>1449</v>
      </c>
      <c r="J547" s="4" t="s">
        <v>555</v>
      </c>
      <c r="K547" s="4" t="s">
        <v>282</v>
      </c>
      <c r="L547" s="4" t="s">
        <v>200</v>
      </c>
      <c r="M547" s="4" t="s">
        <v>87</v>
      </c>
    </row>
    <row r="548" spans="1:13" ht="60" customHeight="1" x14ac:dyDescent="0.45">
      <c r="A548" s="7">
        <v>546</v>
      </c>
      <c r="B548" s="8" t="s">
        <v>31</v>
      </c>
      <c r="C548" s="4" t="s">
        <v>79</v>
      </c>
      <c r="D548" s="4" t="s">
        <v>33</v>
      </c>
      <c r="E548" s="4" t="s">
        <v>79</v>
      </c>
      <c r="F548" s="4" t="s">
        <v>1469</v>
      </c>
      <c r="G548" s="4" t="s">
        <v>1470</v>
      </c>
      <c r="H548" s="4" t="s">
        <v>1471</v>
      </c>
      <c r="I548" s="4" t="s">
        <v>1472</v>
      </c>
      <c r="J548" s="4" t="s">
        <v>222</v>
      </c>
      <c r="K548" s="4" t="s">
        <v>85</v>
      </c>
      <c r="L548" s="4" t="s">
        <v>86</v>
      </c>
      <c r="M548" s="4" t="s">
        <v>87</v>
      </c>
    </row>
    <row r="549" spans="1:13" ht="60" customHeight="1" x14ac:dyDescent="0.45">
      <c r="A549" s="5">
        <v>547</v>
      </c>
      <c r="B549" s="6" t="s">
        <v>25</v>
      </c>
      <c r="C549" s="4" t="s">
        <v>44</v>
      </c>
      <c r="D549" s="4" t="s">
        <v>27</v>
      </c>
      <c r="E549" s="4" t="s">
        <v>44</v>
      </c>
      <c r="F549" s="4" t="s">
        <v>1473</v>
      </c>
      <c r="G549" s="4" t="s">
        <v>1474</v>
      </c>
      <c r="H549" s="4" t="s">
        <v>1471</v>
      </c>
      <c r="I549" s="4" t="s">
        <v>1472</v>
      </c>
      <c r="J549" s="4" t="s">
        <v>222</v>
      </c>
      <c r="K549" s="4" t="s">
        <v>85</v>
      </c>
      <c r="L549" s="4" t="s">
        <v>86</v>
      </c>
      <c r="M549" s="4" t="s">
        <v>87</v>
      </c>
    </row>
    <row r="550" spans="1:13" ht="60" customHeight="1" x14ac:dyDescent="0.45">
      <c r="A550" s="5">
        <v>548</v>
      </c>
      <c r="B550" s="6" t="s">
        <v>25</v>
      </c>
      <c r="C550" s="4" t="s">
        <v>62</v>
      </c>
      <c r="D550" s="4" t="s">
        <v>27</v>
      </c>
      <c r="E550" s="4" t="s">
        <v>62</v>
      </c>
      <c r="F550" s="4" t="s">
        <v>1475</v>
      </c>
      <c r="G550" s="4" t="s">
        <v>1476</v>
      </c>
      <c r="H550" s="4" t="s">
        <v>1471</v>
      </c>
      <c r="I550" s="4" t="s">
        <v>1472</v>
      </c>
      <c r="J550" s="4" t="s">
        <v>222</v>
      </c>
      <c r="K550" s="4" t="s">
        <v>85</v>
      </c>
      <c r="L550" s="4" t="s">
        <v>86</v>
      </c>
      <c r="M550" s="4" t="s">
        <v>87</v>
      </c>
    </row>
    <row r="551" spans="1:13" ht="60" customHeight="1" x14ac:dyDescent="0.45">
      <c r="A551" s="7">
        <v>549</v>
      </c>
      <c r="B551" s="8" t="s">
        <v>31</v>
      </c>
      <c r="C551" s="4" t="s">
        <v>79</v>
      </c>
      <c r="D551" s="4" t="s">
        <v>33</v>
      </c>
      <c r="E551" s="4" t="s">
        <v>79</v>
      </c>
      <c r="F551" s="4" t="s">
        <v>1477</v>
      </c>
      <c r="G551" s="4" t="s">
        <v>1478</v>
      </c>
      <c r="H551" s="4" t="s">
        <v>1471</v>
      </c>
      <c r="I551" s="4" t="s">
        <v>1472</v>
      </c>
      <c r="J551" s="4" t="s">
        <v>222</v>
      </c>
      <c r="K551" s="4" t="s">
        <v>85</v>
      </c>
      <c r="L551" s="4" t="s">
        <v>86</v>
      </c>
      <c r="M551" s="4" t="s">
        <v>87</v>
      </c>
    </row>
    <row r="552" spans="1:13" ht="60" customHeight="1" x14ac:dyDescent="0.45">
      <c r="A552" s="5">
        <v>550</v>
      </c>
      <c r="B552" s="6" t="s">
        <v>25</v>
      </c>
      <c r="C552" s="4" t="s">
        <v>47</v>
      </c>
      <c r="D552" s="4" t="s">
        <v>27</v>
      </c>
      <c r="E552" s="4" t="s">
        <v>47</v>
      </c>
      <c r="F552" s="4" t="s">
        <v>1479</v>
      </c>
      <c r="G552" s="4" t="s">
        <v>1480</v>
      </c>
      <c r="H552" s="4" t="s">
        <v>1471</v>
      </c>
      <c r="I552" s="4" t="s">
        <v>1472</v>
      </c>
      <c r="J552" s="4" t="s">
        <v>222</v>
      </c>
      <c r="K552" s="4" t="s">
        <v>85</v>
      </c>
      <c r="L552" s="4" t="s">
        <v>86</v>
      </c>
      <c r="M552" s="4" t="s">
        <v>87</v>
      </c>
    </row>
    <row r="553" spans="1:13" ht="60" customHeight="1" x14ac:dyDescent="0.45">
      <c r="A553" s="5">
        <v>551</v>
      </c>
      <c r="B553" s="6" t="s">
        <v>25</v>
      </c>
      <c r="C553" s="4" t="s">
        <v>62</v>
      </c>
      <c r="D553" s="4" t="s">
        <v>27</v>
      </c>
      <c r="E553" s="4" t="s">
        <v>62</v>
      </c>
      <c r="F553" s="4" t="s">
        <v>1481</v>
      </c>
      <c r="G553" s="4" t="s">
        <v>1482</v>
      </c>
      <c r="H553" s="4" t="s">
        <v>1471</v>
      </c>
      <c r="I553" s="4" t="s">
        <v>1472</v>
      </c>
      <c r="J553" s="4" t="s">
        <v>222</v>
      </c>
      <c r="K553" s="4" t="s">
        <v>85</v>
      </c>
      <c r="L553" s="4" t="s">
        <v>86</v>
      </c>
      <c r="M553" s="4" t="s">
        <v>87</v>
      </c>
    </row>
    <row r="554" spans="1:13" ht="60" customHeight="1" x14ac:dyDescent="0.45">
      <c r="A554" s="2">
        <v>552</v>
      </c>
      <c r="B554" s="3" t="s">
        <v>14</v>
      </c>
      <c r="C554" s="4" t="s">
        <v>96</v>
      </c>
      <c r="D554" s="4" t="s">
        <v>16</v>
      </c>
      <c r="E554" s="4" t="s">
        <v>96</v>
      </c>
      <c r="F554" s="4" t="s">
        <v>1483</v>
      </c>
      <c r="G554" s="4" t="s">
        <v>1484</v>
      </c>
      <c r="H554" s="4" t="s">
        <v>1471</v>
      </c>
      <c r="I554" s="4" t="s">
        <v>1472</v>
      </c>
      <c r="J554" s="4" t="s">
        <v>222</v>
      </c>
      <c r="K554" s="4" t="s">
        <v>85</v>
      </c>
      <c r="L554" s="4" t="s">
        <v>86</v>
      </c>
      <c r="M554" s="4" t="s">
        <v>87</v>
      </c>
    </row>
    <row r="555" spans="1:13" ht="60" customHeight="1" x14ac:dyDescent="0.45">
      <c r="A555" s="5">
        <v>553</v>
      </c>
      <c r="B555" s="6" t="s">
        <v>25</v>
      </c>
      <c r="C555" s="4" t="s">
        <v>47</v>
      </c>
      <c r="D555" s="4" t="s">
        <v>27</v>
      </c>
      <c r="E555" s="4" t="s">
        <v>47</v>
      </c>
      <c r="F555" s="4" t="s">
        <v>1485</v>
      </c>
      <c r="G555" s="4" t="s">
        <v>1486</v>
      </c>
      <c r="H555" s="4" t="s">
        <v>1471</v>
      </c>
      <c r="I555" s="4" t="s">
        <v>1472</v>
      </c>
      <c r="J555" s="4" t="s">
        <v>222</v>
      </c>
      <c r="K555" s="4" t="s">
        <v>85</v>
      </c>
      <c r="L555" s="4" t="s">
        <v>86</v>
      </c>
      <c r="M555" s="4" t="s">
        <v>87</v>
      </c>
    </row>
    <row r="556" spans="1:13" ht="60" customHeight="1" x14ac:dyDescent="0.45">
      <c r="A556" s="7">
        <v>554</v>
      </c>
      <c r="B556" s="8" t="s">
        <v>31</v>
      </c>
      <c r="C556" s="4" t="s">
        <v>32</v>
      </c>
      <c r="D556" s="4" t="s">
        <v>33</v>
      </c>
      <c r="E556" s="4" t="s">
        <v>32</v>
      </c>
      <c r="F556" s="4" t="s">
        <v>1487</v>
      </c>
      <c r="G556" s="4" t="s">
        <v>1488</v>
      </c>
      <c r="H556" s="4" t="s">
        <v>1471</v>
      </c>
      <c r="I556" s="4" t="s">
        <v>1472</v>
      </c>
      <c r="J556" s="4" t="s">
        <v>222</v>
      </c>
      <c r="K556" s="4" t="s">
        <v>85</v>
      </c>
      <c r="L556" s="4" t="s">
        <v>86</v>
      </c>
      <c r="M556" s="4" t="s">
        <v>87</v>
      </c>
    </row>
    <row r="557" spans="1:13" ht="60" customHeight="1" x14ac:dyDescent="0.45">
      <c r="A557" s="7">
        <v>555</v>
      </c>
      <c r="B557" s="8" t="s">
        <v>31</v>
      </c>
      <c r="C557" s="4" t="s">
        <v>32</v>
      </c>
      <c r="D557" s="4" t="s">
        <v>33</v>
      </c>
      <c r="E557" s="4" t="s">
        <v>32</v>
      </c>
      <c r="F557" s="4" t="s">
        <v>1489</v>
      </c>
      <c r="G557" s="4" t="s">
        <v>1490</v>
      </c>
      <c r="H557" s="4" t="s">
        <v>1471</v>
      </c>
      <c r="I557" s="4" t="s">
        <v>1472</v>
      </c>
      <c r="J557" s="4" t="s">
        <v>222</v>
      </c>
      <c r="K557" s="4" t="s">
        <v>85</v>
      </c>
      <c r="L557" s="4" t="s">
        <v>86</v>
      </c>
      <c r="M557" s="4" t="s">
        <v>87</v>
      </c>
    </row>
    <row r="558" spans="1:13" ht="60" customHeight="1" x14ac:dyDescent="0.45">
      <c r="A558" s="7">
        <v>556</v>
      </c>
      <c r="B558" s="8" t="s">
        <v>31</v>
      </c>
      <c r="C558" s="4" t="s">
        <v>32</v>
      </c>
      <c r="D558" s="4" t="s">
        <v>33</v>
      </c>
      <c r="E558" s="4" t="s">
        <v>32</v>
      </c>
      <c r="F558" s="4" t="s">
        <v>1491</v>
      </c>
      <c r="G558" s="4" t="s">
        <v>1492</v>
      </c>
      <c r="H558" s="4" t="s">
        <v>1471</v>
      </c>
      <c r="I558" s="4" t="s">
        <v>1472</v>
      </c>
      <c r="J558" s="4" t="s">
        <v>222</v>
      </c>
      <c r="K558" s="4" t="s">
        <v>85</v>
      </c>
      <c r="L558" s="4" t="s">
        <v>86</v>
      </c>
      <c r="M558" s="4" t="s">
        <v>87</v>
      </c>
    </row>
    <row r="559" spans="1:13" ht="60" customHeight="1" x14ac:dyDescent="0.45">
      <c r="A559" s="7">
        <v>557</v>
      </c>
      <c r="B559" s="8" t="s">
        <v>31</v>
      </c>
      <c r="C559" s="4" t="s">
        <v>32</v>
      </c>
      <c r="D559" s="4" t="s">
        <v>33</v>
      </c>
      <c r="E559" s="4" t="s">
        <v>32</v>
      </c>
      <c r="F559" s="4" t="s">
        <v>1493</v>
      </c>
      <c r="G559" s="4" t="s">
        <v>1494</v>
      </c>
      <c r="H559" s="4" t="s">
        <v>1471</v>
      </c>
      <c r="I559" s="4" t="s">
        <v>1472</v>
      </c>
      <c r="J559" s="4" t="s">
        <v>222</v>
      </c>
      <c r="K559" s="4" t="s">
        <v>85</v>
      </c>
      <c r="L559" s="4" t="s">
        <v>86</v>
      </c>
      <c r="M559" s="4" t="s">
        <v>87</v>
      </c>
    </row>
    <row r="560" spans="1:13" ht="60" customHeight="1" x14ac:dyDescent="0.45">
      <c r="A560" s="5">
        <v>558</v>
      </c>
      <c r="B560" s="6" t="s">
        <v>25</v>
      </c>
      <c r="C560" s="4" t="s">
        <v>62</v>
      </c>
      <c r="D560" s="4" t="s">
        <v>27</v>
      </c>
      <c r="E560" s="4" t="s">
        <v>62</v>
      </c>
      <c r="F560" s="4" t="s">
        <v>1495</v>
      </c>
      <c r="G560" s="4" t="s">
        <v>1496</v>
      </c>
      <c r="H560" s="4" t="s">
        <v>1471</v>
      </c>
      <c r="I560" s="4" t="s">
        <v>1472</v>
      </c>
      <c r="J560" s="4" t="s">
        <v>222</v>
      </c>
      <c r="K560" s="4" t="s">
        <v>85</v>
      </c>
      <c r="L560" s="4" t="s">
        <v>86</v>
      </c>
      <c r="M560" s="4" t="s">
        <v>87</v>
      </c>
    </row>
    <row r="561" spans="1:13" ht="60" customHeight="1" x14ac:dyDescent="0.45">
      <c r="A561" s="5">
        <v>559</v>
      </c>
      <c r="B561" s="6" t="s">
        <v>25</v>
      </c>
      <c r="C561" s="4" t="s">
        <v>41</v>
      </c>
      <c r="D561" s="4" t="s">
        <v>27</v>
      </c>
      <c r="E561" s="4" t="s">
        <v>41</v>
      </c>
      <c r="F561" s="4" t="s">
        <v>1497</v>
      </c>
      <c r="G561" s="4" t="s">
        <v>1498</v>
      </c>
      <c r="H561" s="4" t="s">
        <v>1471</v>
      </c>
      <c r="I561" s="4" t="s">
        <v>1472</v>
      </c>
      <c r="J561" s="4" t="s">
        <v>222</v>
      </c>
      <c r="K561" s="4" t="s">
        <v>85</v>
      </c>
      <c r="L561" s="4" t="s">
        <v>86</v>
      </c>
      <c r="M561" s="4" t="s">
        <v>87</v>
      </c>
    </row>
    <row r="562" spans="1:13" ht="60" customHeight="1" x14ac:dyDescent="0.45">
      <c r="A562" s="5">
        <v>560</v>
      </c>
      <c r="B562" s="6" t="s">
        <v>25</v>
      </c>
      <c r="C562" s="4" t="s">
        <v>41</v>
      </c>
      <c r="D562" s="4" t="s">
        <v>27</v>
      </c>
      <c r="E562" s="4" t="s">
        <v>41</v>
      </c>
      <c r="F562" s="4" t="s">
        <v>1499</v>
      </c>
      <c r="G562" s="4" t="s">
        <v>1500</v>
      </c>
      <c r="H562" s="4" t="s">
        <v>1471</v>
      </c>
      <c r="I562" s="4" t="s">
        <v>1472</v>
      </c>
      <c r="J562" s="4" t="s">
        <v>222</v>
      </c>
      <c r="K562" s="4" t="s">
        <v>85</v>
      </c>
      <c r="L562" s="4" t="s">
        <v>86</v>
      </c>
      <c r="M562" s="4" t="s">
        <v>87</v>
      </c>
    </row>
    <row r="563" spans="1:13" ht="60" customHeight="1" x14ac:dyDescent="0.45">
      <c r="A563" s="5">
        <v>561</v>
      </c>
      <c r="B563" s="6" t="s">
        <v>25</v>
      </c>
      <c r="C563" s="4" t="s">
        <v>44</v>
      </c>
      <c r="D563" s="4" t="s">
        <v>27</v>
      </c>
      <c r="E563" s="4" t="s">
        <v>44</v>
      </c>
      <c r="F563" s="4" t="s">
        <v>1501</v>
      </c>
      <c r="G563" s="4" t="s">
        <v>1502</v>
      </c>
      <c r="H563" s="4" t="s">
        <v>1471</v>
      </c>
      <c r="I563" s="4" t="s">
        <v>1472</v>
      </c>
      <c r="J563" s="4" t="s">
        <v>222</v>
      </c>
      <c r="K563" s="4" t="s">
        <v>85</v>
      </c>
      <c r="L563" s="4" t="s">
        <v>86</v>
      </c>
      <c r="M563" s="4" t="s">
        <v>87</v>
      </c>
    </row>
    <row r="564" spans="1:13" ht="60" customHeight="1" x14ac:dyDescent="0.45">
      <c r="A564" s="5">
        <v>562</v>
      </c>
      <c r="B564" s="6" t="s">
        <v>25</v>
      </c>
      <c r="C564" s="4" t="s">
        <v>41</v>
      </c>
      <c r="D564" s="4" t="s">
        <v>27</v>
      </c>
      <c r="E564" s="4" t="s">
        <v>41</v>
      </c>
      <c r="F564" s="4" t="s">
        <v>1503</v>
      </c>
      <c r="G564" s="4" t="s">
        <v>1504</v>
      </c>
      <c r="H564" s="4" t="s">
        <v>1471</v>
      </c>
      <c r="I564" s="4" t="s">
        <v>1472</v>
      </c>
      <c r="J564" s="4" t="s">
        <v>222</v>
      </c>
      <c r="K564" s="4" t="s">
        <v>85</v>
      </c>
      <c r="L564" s="4" t="s">
        <v>86</v>
      </c>
      <c r="M564" s="4" t="s">
        <v>87</v>
      </c>
    </row>
    <row r="565" spans="1:13" ht="60" customHeight="1" x14ac:dyDescent="0.45">
      <c r="A565" s="5">
        <v>563</v>
      </c>
      <c r="B565" s="6" t="s">
        <v>25</v>
      </c>
      <c r="C565" s="4" t="s">
        <v>47</v>
      </c>
      <c r="D565" s="4" t="s">
        <v>27</v>
      </c>
      <c r="E565" s="4" t="s">
        <v>47</v>
      </c>
      <c r="F565" s="4" t="s">
        <v>1505</v>
      </c>
      <c r="G565" s="4" t="s">
        <v>1506</v>
      </c>
      <c r="H565" s="4" t="s">
        <v>1471</v>
      </c>
      <c r="I565" s="4" t="s">
        <v>1472</v>
      </c>
      <c r="J565" s="4" t="s">
        <v>222</v>
      </c>
      <c r="K565" s="4" t="s">
        <v>85</v>
      </c>
      <c r="L565" s="4" t="s">
        <v>86</v>
      </c>
      <c r="M565" s="4" t="s">
        <v>87</v>
      </c>
    </row>
    <row r="566" spans="1:13" ht="60" customHeight="1" x14ac:dyDescent="0.45">
      <c r="A566" s="5">
        <v>564</v>
      </c>
      <c r="B566" s="6" t="s">
        <v>25</v>
      </c>
      <c r="C566" s="4" t="s">
        <v>41</v>
      </c>
      <c r="D566" s="4" t="s">
        <v>27</v>
      </c>
      <c r="E566" s="4" t="s">
        <v>41</v>
      </c>
      <c r="F566" s="4" t="s">
        <v>1507</v>
      </c>
      <c r="G566" s="4" t="s">
        <v>1508</v>
      </c>
      <c r="H566" s="4" t="s">
        <v>1471</v>
      </c>
      <c r="I566" s="4" t="s">
        <v>1472</v>
      </c>
      <c r="J566" s="4" t="s">
        <v>222</v>
      </c>
      <c r="K566" s="4" t="s">
        <v>85</v>
      </c>
      <c r="L566" s="4" t="s">
        <v>86</v>
      </c>
      <c r="M566" s="4" t="s">
        <v>87</v>
      </c>
    </row>
    <row r="567" spans="1:13" ht="60" customHeight="1" x14ac:dyDescent="0.45">
      <c r="A567" s="7">
        <v>565</v>
      </c>
      <c r="B567" s="8" t="s">
        <v>31</v>
      </c>
      <c r="C567" s="4" t="s">
        <v>79</v>
      </c>
      <c r="D567" s="4" t="s">
        <v>33</v>
      </c>
      <c r="E567" s="4" t="s">
        <v>79</v>
      </c>
      <c r="F567" s="4" t="s">
        <v>1509</v>
      </c>
      <c r="G567" s="4" t="s">
        <v>1510</v>
      </c>
      <c r="H567" s="4" t="s">
        <v>1471</v>
      </c>
      <c r="I567" s="4" t="s">
        <v>1472</v>
      </c>
      <c r="J567" s="4" t="s">
        <v>222</v>
      </c>
      <c r="K567" s="4" t="s">
        <v>85</v>
      </c>
      <c r="L567" s="4" t="s">
        <v>86</v>
      </c>
      <c r="M567" s="4" t="s">
        <v>87</v>
      </c>
    </row>
    <row r="568" spans="1:13" ht="60" customHeight="1" x14ac:dyDescent="0.45">
      <c r="A568" s="7">
        <v>566</v>
      </c>
      <c r="B568" s="8" t="s">
        <v>31</v>
      </c>
      <c r="C568" s="4" t="s">
        <v>79</v>
      </c>
      <c r="D568" s="4" t="s">
        <v>33</v>
      </c>
      <c r="E568" s="4" t="s">
        <v>79</v>
      </c>
      <c r="F568" s="4" t="s">
        <v>1511</v>
      </c>
      <c r="G568" s="4" t="s">
        <v>1512</v>
      </c>
      <c r="H568" s="4" t="s">
        <v>1471</v>
      </c>
      <c r="I568" s="4" t="s">
        <v>1472</v>
      </c>
      <c r="J568" s="4" t="s">
        <v>222</v>
      </c>
      <c r="K568" s="4" t="s">
        <v>85</v>
      </c>
      <c r="L568" s="4" t="s">
        <v>86</v>
      </c>
      <c r="M568" s="4" t="s">
        <v>87</v>
      </c>
    </row>
    <row r="569" spans="1:13" ht="60" customHeight="1" x14ac:dyDescent="0.45">
      <c r="A569" s="7">
        <v>567</v>
      </c>
      <c r="B569" s="8" t="s">
        <v>31</v>
      </c>
      <c r="C569" s="4" t="s">
        <v>32</v>
      </c>
      <c r="D569" s="4" t="s">
        <v>33</v>
      </c>
      <c r="E569" s="4" t="s">
        <v>32</v>
      </c>
      <c r="F569" s="4" t="s">
        <v>1513</v>
      </c>
      <c r="G569" s="4" t="s">
        <v>1514</v>
      </c>
      <c r="H569" s="4" t="s">
        <v>1225</v>
      </c>
      <c r="I569" s="4" t="s">
        <v>1515</v>
      </c>
      <c r="J569" s="4" t="s">
        <v>638</v>
      </c>
      <c r="K569" s="4" t="s">
        <v>403</v>
      </c>
      <c r="L569" s="4" t="s">
        <v>86</v>
      </c>
      <c r="M569" s="4" t="s">
        <v>24</v>
      </c>
    </row>
    <row r="570" spans="1:13" ht="60" customHeight="1" x14ac:dyDescent="0.45">
      <c r="A570" s="5">
        <v>568</v>
      </c>
      <c r="B570" s="6" t="s">
        <v>25</v>
      </c>
      <c r="C570" s="4" t="s">
        <v>41</v>
      </c>
      <c r="D570" s="4" t="s">
        <v>27</v>
      </c>
      <c r="E570" s="4" t="s">
        <v>41</v>
      </c>
      <c r="F570" s="4" t="s">
        <v>1516</v>
      </c>
      <c r="G570" s="4" t="s">
        <v>1517</v>
      </c>
      <c r="H570" s="4" t="s">
        <v>1225</v>
      </c>
      <c r="I570" s="4" t="s">
        <v>1515</v>
      </c>
      <c r="J570" s="4" t="s">
        <v>638</v>
      </c>
      <c r="K570" s="4" t="s">
        <v>403</v>
      </c>
      <c r="L570" s="4" t="s">
        <v>86</v>
      </c>
      <c r="M570" s="4" t="s">
        <v>24</v>
      </c>
    </row>
    <row r="571" spans="1:13" ht="60" customHeight="1" x14ac:dyDescent="0.45">
      <c r="A571" s="5">
        <v>569</v>
      </c>
      <c r="B571" s="6" t="s">
        <v>25</v>
      </c>
      <c r="C571" s="4" t="s">
        <v>26</v>
      </c>
      <c r="D571" s="4" t="s">
        <v>27</v>
      </c>
      <c r="E571" s="4" t="s">
        <v>26</v>
      </c>
      <c r="F571" s="4" t="s">
        <v>1518</v>
      </c>
      <c r="G571" s="4" t="s">
        <v>1519</v>
      </c>
      <c r="H571" s="4" t="s">
        <v>1225</v>
      </c>
      <c r="I571" s="4" t="s">
        <v>1515</v>
      </c>
      <c r="J571" s="4" t="s">
        <v>638</v>
      </c>
      <c r="K571" s="4" t="s">
        <v>403</v>
      </c>
      <c r="L571" s="4" t="s">
        <v>86</v>
      </c>
      <c r="M571" s="4" t="s">
        <v>24</v>
      </c>
    </row>
    <row r="572" spans="1:13" ht="60" customHeight="1" x14ac:dyDescent="0.45">
      <c r="A572" s="5">
        <v>570</v>
      </c>
      <c r="B572" s="6" t="s">
        <v>25</v>
      </c>
      <c r="C572" s="4" t="s">
        <v>26</v>
      </c>
      <c r="D572" s="4" t="s">
        <v>27</v>
      </c>
      <c r="E572" s="4" t="s">
        <v>26</v>
      </c>
      <c r="F572" s="4" t="s">
        <v>1520</v>
      </c>
      <c r="G572" s="4" t="s">
        <v>1521</v>
      </c>
      <c r="H572" s="4" t="s">
        <v>1225</v>
      </c>
      <c r="I572" s="4" t="s">
        <v>1515</v>
      </c>
      <c r="J572" s="4" t="s">
        <v>638</v>
      </c>
      <c r="K572" s="4" t="s">
        <v>403</v>
      </c>
      <c r="L572" s="4" t="s">
        <v>86</v>
      </c>
      <c r="M572" s="4" t="s">
        <v>24</v>
      </c>
    </row>
    <row r="573" spans="1:13" ht="60" customHeight="1" x14ac:dyDescent="0.45">
      <c r="A573" s="7">
        <v>571</v>
      </c>
      <c r="B573" s="8" t="s">
        <v>31</v>
      </c>
      <c r="C573" s="4" t="s">
        <v>79</v>
      </c>
      <c r="D573" s="4" t="s">
        <v>33</v>
      </c>
      <c r="E573" s="4" t="s">
        <v>79</v>
      </c>
      <c r="F573" s="4" t="s">
        <v>1520</v>
      </c>
      <c r="G573" s="4" t="s">
        <v>1522</v>
      </c>
      <c r="H573" s="4" t="s">
        <v>1225</v>
      </c>
      <c r="I573" s="4" t="s">
        <v>1515</v>
      </c>
      <c r="J573" s="4" t="s">
        <v>638</v>
      </c>
      <c r="K573" s="4" t="s">
        <v>403</v>
      </c>
      <c r="L573" s="4" t="s">
        <v>86</v>
      </c>
      <c r="M573" s="4" t="s">
        <v>24</v>
      </c>
    </row>
    <row r="574" spans="1:13" ht="60" customHeight="1" x14ac:dyDescent="0.45">
      <c r="A574" s="5">
        <v>572</v>
      </c>
      <c r="B574" s="6" t="s">
        <v>25</v>
      </c>
      <c r="C574" s="4" t="s">
        <v>62</v>
      </c>
      <c r="D574" s="4" t="s">
        <v>27</v>
      </c>
      <c r="E574" s="4" t="s">
        <v>62</v>
      </c>
      <c r="F574" s="4" t="s">
        <v>1520</v>
      </c>
      <c r="G574" s="4" t="s">
        <v>1523</v>
      </c>
      <c r="H574" s="4" t="s">
        <v>1225</v>
      </c>
      <c r="I574" s="4" t="s">
        <v>1515</v>
      </c>
      <c r="J574" s="4" t="s">
        <v>638</v>
      </c>
      <c r="K574" s="4" t="s">
        <v>403</v>
      </c>
      <c r="L574" s="4" t="s">
        <v>86</v>
      </c>
      <c r="M574" s="4" t="s">
        <v>24</v>
      </c>
    </row>
    <row r="575" spans="1:13" ht="60" customHeight="1" x14ac:dyDescent="0.45">
      <c r="A575" s="7">
        <v>573</v>
      </c>
      <c r="B575" s="8" t="s">
        <v>31</v>
      </c>
      <c r="C575" s="4" t="s">
        <v>32</v>
      </c>
      <c r="D575" s="4" t="s">
        <v>33</v>
      </c>
      <c r="E575" s="4" t="s">
        <v>32</v>
      </c>
      <c r="F575" s="4" t="s">
        <v>1524</v>
      </c>
      <c r="G575" s="4" t="s">
        <v>1525</v>
      </c>
      <c r="H575" s="4" t="s">
        <v>1526</v>
      </c>
      <c r="I575" s="4" t="s">
        <v>1527</v>
      </c>
      <c r="J575" s="4" t="s">
        <v>511</v>
      </c>
      <c r="K575" s="4" t="s">
        <v>127</v>
      </c>
      <c r="L575" s="4" t="s">
        <v>23</v>
      </c>
      <c r="M575" s="4" t="s">
        <v>24</v>
      </c>
    </row>
    <row r="576" spans="1:13" ht="60" customHeight="1" x14ac:dyDescent="0.45">
      <c r="A576" s="2">
        <v>574</v>
      </c>
      <c r="B576" s="3" t="s">
        <v>14</v>
      </c>
      <c r="C576" s="4" t="s">
        <v>29</v>
      </c>
      <c r="D576" s="4" t="s">
        <v>16</v>
      </c>
      <c r="E576" s="4" t="s">
        <v>29</v>
      </c>
      <c r="F576" s="4" t="s">
        <v>1528</v>
      </c>
      <c r="G576" s="4" t="s">
        <v>1529</v>
      </c>
      <c r="H576" s="4" t="s">
        <v>1530</v>
      </c>
      <c r="I576" s="4" t="s">
        <v>1531</v>
      </c>
      <c r="J576" s="4" t="s">
        <v>388</v>
      </c>
      <c r="K576" s="4" t="s">
        <v>85</v>
      </c>
      <c r="L576" s="4" t="s">
        <v>86</v>
      </c>
      <c r="M576" s="4" t="s">
        <v>24</v>
      </c>
    </row>
    <row r="577" spans="1:13" ht="60" customHeight="1" x14ac:dyDescent="0.45">
      <c r="A577" s="7">
        <v>575</v>
      </c>
      <c r="B577" s="8" t="s">
        <v>31</v>
      </c>
      <c r="C577" s="4" t="s">
        <v>109</v>
      </c>
      <c r="D577" s="4" t="s">
        <v>33</v>
      </c>
      <c r="E577" s="4" t="s">
        <v>109</v>
      </c>
      <c r="F577" s="4" t="s">
        <v>1532</v>
      </c>
      <c r="G577" s="4" t="s">
        <v>1533</v>
      </c>
      <c r="H577" s="4" t="s">
        <v>1534</v>
      </c>
      <c r="I577" s="4" t="s">
        <v>1535</v>
      </c>
      <c r="J577" s="4" t="s">
        <v>1536</v>
      </c>
      <c r="K577" s="4" t="s">
        <v>127</v>
      </c>
      <c r="L577" s="4" t="s">
        <v>23</v>
      </c>
      <c r="M577" s="4" t="s">
        <v>87</v>
      </c>
    </row>
    <row r="578" spans="1:13" ht="60" customHeight="1" x14ac:dyDescent="0.45">
      <c r="A578" s="5">
        <v>576</v>
      </c>
      <c r="B578" s="6" t="s">
        <v>25</v>
      </c>
      <c r="C578" s="4" t="s">
        <v>114</v>
      </c>
      <c r="D578" s="4" t="s">
        <v>27</v>
      </c>
      <c r="E578" s="4" t="s">
        <v>114</v>
      </c>
      <c r="F578" s="4" t="s">
        <v>1537</v>
      </c>
      <c r="G578" s="4" t="s">
        <v>1538</v>
      </c>
      <c r="H578" s="4" t="s">
        <v>1534</v>
      </c>
      <c r="I578" s="4" t="s">
        <v>1535</v>
      </c>
      <c r="J578" s="4" t="s">
        <v>1536</v>
      </c>
      <c r="K578" s="4" t="s">
        <v>127</v>
      </c>
      <c r="L578" s="4" t="s">
        <v>23</v>
      </c>
      <c r="M578" s="4" t="s">
        <v>87</v>
      </c>
    </row>
    <row r="579" spans="1:13" ht="60" customHeight="1" x14ac:dyDescent="0.45">
      <c r="A579" s="5">
        <v>577</v>
      </c>
      <c r="B579" s="6" t="s">
        <v>25</v>
      </c>
      <c r="C579" s="4" t="s">
        <v>114</v>
      </c>
      <c r="D579" s="4" t="s">
        <v>27</v>
      </c>
      <c r="E579" s="4" t="s">
        <v>114</v>
      </c>
      <c r="F579" s="4" t="s">
        <v>1539</v>
      </c>
      <c r="G579" s="4" t="s">
        <v>1540</v>
      </c>
      <c r="H579" s="4" t="s">
        <v>1534</v>
      </c>
      <c r="I579" s="4" t="s">
        <v>1535</v>
      </c>
      <c r="J579" s="4" t="s">
        <v>1536</v>
      </c>
      <c r="K579" s="4" t="s">
        <v>127</v>
      </c>
      <c r="L579" s="4" t="s">
        <v>23</v>
      </c>
      <c r="M579" s="4" t="s">
        <v>87</v>
      </c>
    </row>
    <row r="580" spans="1:13" ht="60" customHeight="1" x14ac:dyDescent="0.45">
      <c r="A580" s="5">
        <v>578</v>
      </c>
      <c r="B580" s="6" t="s">
        <v>25</v>
      </c>
      <c r="C580" s="4" t="s">
        <v>114</v>
      </c>
      <c r="D580" s="4" t="s">
        <v>27</v>
      </c>
      <c r="E580" s="4" t="s">
        <v>114</v>
      </c>
      <c r="F580" s="4" t="s">
        <v>1541</v>
      </c>
      <c r="G580" s="4" t="s">
        <v>1542</v>
      </c>
      <c r="H580" s="4" t="s">
        <v>1534</v>
      </c>
      <c r="I580" s="4" t="s">
        <v>1535</v>
      </c>
      <c r="J580" s="4" t="s">
        <v>1536</v>
      </c>
      <c r="K580" s="4" t="s">
        <v>127</v>
      </c>
      <c r="L580" s="4" t="s">
        <v>23</v>
      </c>
      <c r="M580" s="4" t="s">
        <v>87</v>
      </c>
    </row>
    <row r="581" spans="1:13" ht="60" customHeight="1" x14ac:dyDescent="0.45">
      <c r="A581" s="7">
        <v>579</v>
      </c>
      <c r="B581" s="8" t="s">
        <v>31</v>
      </c>
      <c r="C581" s="4" t="s">
        <v>32</v>
      </c>
      <c r="D581" s="4" t="s">
        <v>33</v>
      </c>
      <c r="E581" s="4" t="s">
        <v>32</v>
      </c>
      <c r="F581" s="4" t="s">
        <v>1543</v>
      </c>
      <c r="G581" s="4" t="s">
        <v>1544</v>
      </c>
      <c r="H581" s="4" t="s">
        <v>1534</v>
      </c>
      <c r="I581" s="4" t="s">
        <v>1535</v>
      </c>
      <c r="J581" s="4" t="s">
        <v>1536</v>
      </c>
      <c r="K581" s="4" t="s">
        <v>127</v>
      </c>
      <c r="L581" s="4" t="s">
        <v>23</v>
      </c>
      <c r="M581" s="4" t="s">
        <v>87</v>
      </c>
    </row>
    <row r="582" spans="1:13" ht="60" customHeight="1" x14ac:dyDescent="0.45">
      <c r="A582" s="7">
        <v>580</v>
      </c>
      <c r="B582" s="8" t="s">
        <v>31</v>
      </c>
      <c r="C582" s="4" t="s">
        <v>79</v>
      </c>
      <c r="D582" s="4" t="s">
        <v>33</v>
      </c>
      <c r="E582" s="4" t="s">
        <v>79</v>
      </c>
      <c r="F582" s="4" t="s">
        <v>1545</v>
      </c>
      <c r="G582" s="4" t="s">
        <v>1546</v>
      </c>
      <c r="H582" s="4" t="s">
        <v>1547</v>
      </c>
      <c r="I582" s="4" t="s">
        <v>1535</v>
      </c>
      <c r="J582" s="4" t="s">
        <v>1536</v>
      </c>
      <c r="K582" s="4" t="s">
        <v>282</v>
      </c>
      <c r="L582" s="4" t="s">
        <v>200</v>
      </c>
      <c r="M582" s="4" t="s">
        <v>87</v>
      </c>
    </row>
    <row r="583" spans="1:13" ht="60" customHeight="1" x14ac:dyDescent="0.45">
      <c r="A583" s="5">
        <v>581</v>
      </c>
      <c r="B583" s="6" t="s">
        <v>25</v>
      </c>
      <c r="C583" s="4" t="s">
        <v>41</v>
      </c>
      <c r="D583" s="4" t="s">
        <v>27</v>
      </c>
      <c r="E583" s="4" t="s">
        <v>41</v>
      </c>
      <c r="F583" s="4" t="s">
        <v>1548</v>
      </c>
      <c r="G583" s="4" t="s">
        <v>1549</v>
      </c>
      <c r="H583" s="4" t="s">
        <v>1550</v>
      </c>
      <c r="I583" s="4" t="s">
        <v>1551</v>
      </c>
      <c r="J583" s="4" t="s">
        <v>21</v>
      </c>
      <c r="K583" s="4" t="s">
        <v>57</v>
      </c>
      <c r="L583" s="4" t="s">
        <v>40</v>
      </c>
      <c r="M583" s="4" t="s">
        <v>24</v>
      </c>
    </row>
    <row r="584" spans="1:13" ht="60" customHeight="1" x14ac:dyDescent="0.45">
      <c r="A584" s="5">
        <v>582</v>
      </c>
      <c r="B584" s="6" t="s">
        <v>25</v>
      </c>
      <c r="C584" s="4" t="s">
        <v>44</v>
      </c>
      <c r="D584" s="4" t="s">
        <v>27</v>
      </c>
      <c r="E584" s="4" t="s">
        <v>44</v>
      </c>
      <c r="F584" s="4" t="s">
        <v>1552</v>
      </c>
      <c r="G584" s="4" t="s">
        <v>1553</v>
      </c>
      <c r="H584" s="4" t="s">
        <v>1550</v>
      </c>
      <c r="I584" s="4" t="s">
        <v>1551</v>
      </c>
      <c r="J584" s="4" t="s">
        <v>21</v>
      </c>
      <c r="K584" s="4" t="s">
        <v>57</v>
      </c>
      <c r="L584" s="4" t="s">
        <v>40</v>
      </c>
      <c r="M584" s="4" t="s">
        <v>24</v>
      </c>
    </row>
    <row r="585" spans="1:13" ht="60" customHeight="1" x14ac:dyDescent="0.45">
      <c r="A585" s="5">
        <v>583</v>
      </c>
      <c r="B585" s="6" t="s">
        <v>25</v>
      </c>
      <c r="C585" s="4" t="s">
        <v>41</v>
      </c>
      <c r="D585" s="4" t="s">
        <v>27</v>
      </c>
      <c r="E585" s="4" t="s">
        <v>41</v>
      </c>
      <c r="F585" s="4" t="s">
        <v>1554</v>
      </c>
      <c r="G585" s="4" t="s">
        <v>1555</v>
      </c>
      <c r="H585" s="4" t="s">
        <v>1556</v>
      </c>
      <c r="I585" s="4" t="s">
        <v>1551</v>
      </c>
      <c r="J585" s="4" t="s">
        <v>21</v>
      </c>
      <c r="K585" s="4" t="s">
        <v>39</v>
      </c>
      <c r="L585" s="4" t="s">
        <v>40</v>
      </c>
      <c r="M585" s="4" t="s">
        <v>24</v>
      </c>
    </row>
    <row r="586" spans="1:13" ht="60" customHeight="1" x14ac:dyDescent="0.45">
      <c r="A586" s="5">
        <v>584</v>
      </c>
      <c r="B586" s="6" t="s">
        <v>25</v>
      </c>
      <c r="C586" s="4" t="s">
        <v>47</v>
      </c>
      <c r="D586" s="4" t="s">
        <v>27</v>
      </c>
      <c r="E586" s="4" t="s">
        <v>47</v>
      </c>
      <c r="F586" s="4" t="s">
        <v>1557</v>
      </c>
      <c r="G586" s="4" t="s">
        <v>1558</v>
      </c>
      <c r="H586" s="4" t="s">
        <v>1556</v>
      </c>
      <c r="I586" s="4" t="s">
        <v>1551</v>
      </c>
      <c r="J586" s="4" t="s">
        <v>21</v>
      </c>
      <c r="K586" s="4" t="s">
        <v>39</v>
      </c>
      <c r="L586" s="4" t="s">
        <v>40</v>
      </c>
      <c r="M586" s="4" t="s">
        <v>24</v>
      </c>
    </row>
    <row r="587" spans="1:13" ht="60" customHeight="1" x14ac:dyDescent="0.45">
      <c r="A587" s="2">
        <v>585</v>
      </c>
      <c r="B587" s="3" t="s">
        <v>14</v>
      </c>
      <c r="C587" s="4" t="s">
        <v>29</v>
      </c>
      <c r="D587" s="4" t="s">
        <v>16</v>
      </c>
      <c r="E587" s="4" t="s">
        <v>29</v>
      </c>
      <c r="F587" s="4" t="s">
        <v>1559</v>
      </c>
      <c r="G587" s="4" t="s">
        <v>1560</v>
      </c>
      <c r="H587" s="4" t="s">
        <v>1561</v>
      </c>
      <c r="I587" s="4" t="s">
        <v>1562</v>
      </c>
      <c r="J587" s="4" t="s">
        <v>21</v>
      </c>
      <c r="K587" s="4" t="s">
        <v>403</v>
      </c>
      <c r="L587" s="4" t="s">
        <v>86</v>
      </c>
      <c r="M587" s="4" t="s">
        <v>24</v>
      </c>
    </row>
    <row r="588" spans="1:13" ht="60" customHeight="1" x14ac:dyDescent="0.45">
      <c r="A588" s="2">
        <v>586</v>
      </c>
      <c r="B588" s="3" t="s">
        <v>14</v>
      </c>
      <c r="C588" s="4" t="s">
        <v>29</v>
      </c>
      <c r="D588" s="4" t="s">
        <v>16</v>
      </c>
      <c r="E588" s="4" t="s">
        <v>29</v>
      </c>
      <c r="F588" s="4" t="s">
        <v>1559</v>
      </c>
      <c r="G588" s="4" t="s">
        <v>1563</v>
      </c>
      <c r="H588" s="4" t="s">
        <v>1561</v>
      </c>
      <c r="I588" s="4" t="s">
        <v>1562</v>
      </c>
      <c r="J588" s="4" t="s">
        <v>21</v>
      </c>
      <c r="K588" s="4" t="s">
        <v>403</v>
      </c>
      <c r="L588" s="4" t="s">
        <v>86</v>
      </c>
      <c r="M588" s="4" t="s">
        <v>24</v>
      </c>
    </row>
    <row r="589" spans="1:13" ht="60" customHeight="1" x14ac:dyDescent="0.45">
      <c r="A589" s="7">
        <v>587</v>
      </c>
      <c r="B589" s="8" t="s">
        <v>31</v>
      </c>
      <c r="C589" s="4" t="s">
        <v>32</v>
      </c>
      <c r="D589" s="4" t="s">
        <v>33</v>
      </c>
      <c r="E589" s="4" t="s">
        <v>32</v>
      </c>
      <c r="F589" s="4" t="s">
        <v>1564</v>
      </c>
      <c r="G589" s="4" t="s">
        <v>1565</v>
      </c>
      <c r="H589" s="4" t="s">
        <v>1566</v>
      </c>
      <c r="I589" s="4" t="s">
        <v>1567</v>
      </c>
      <c r="J589" s="4" t="s">
        <v>1568</v>
      </c>
      <c r="K589" s="4" t="s">
        <v>176</v>
      </c>
      <c r="L589" s="4" t="s">
        <v>177</v>
      </c>
      <c r="M589" s="4" t="s">
        <v>87</v>
      </c>
    </row>
    <row r="590" spans="1:13" ht="60" customHeight="1" x14ac:dyDescent="0.45">
      <c r="A590" s="5">
        <v>588</v>
      </c>
      <c r="B590" s="6" t="s">
        <v>25</v>
      </c>
      <c r="C590" s="4" t="s">
        <v>44</v>
      </c>
      <c r="D590" s="4" t="s">
        <v>27</v>
      </c>
      <c r="E590" s="4" t="s">
        <v>44</v>
      </c>
      <c r="F590" s="4" t="s">
        <v>1569</v>
      </c>
      <c r="G590" s="4" t="s">
        <v>1570</v>
      </c>
      <c r="H590" s="4" t="s">
        <v>1571</v>
      </c>
      <c r="I590" s="4" t="s">
        <v>1572</v>
      </c>
      <c r="J590" s="4" t="s">
        <v>1573</v>
      </c>
      <c r="K590" s="4" t="s">
        <v>282</v>
      </c>
      <c r="L590" s="4" t="s">
        <v>200</v>
      </c>
      <c r="M590" s="4" t="s">
        <v>87</v>
      </c>
    </row>
    <row r="591" spans="1:13" ht="60" customHeight="1" x14ac:dyDescent="0.45">
      <c r="A591" s="5">
        <v>589</v>
      </c>
      <c r="B591" s="6" t="s">
        <v>25</v>
      </c>
      <c r="C591" s="4" t="s">
        <v>41</v>
      </c>
      <c r="D591" s="4" t="s">
        <v>27</v>
      </c>
      <c r="E591" s="4" t="s">
        <v>41</v>
      </c>
      <c r="F591" s="4" t="s">
        <v>1574</v>
      </c>
      <c r="G591" s="4" t="s">
        <v>1575</v>
      </c>
      <c r="H591" s="4" t="s">
        <v>1571</v>
      </c>
      <c r="I591" s="4" t="s">
        <v>1572</v>
      </c>
      <c r="J591" s="4" t="s">
        <v>1573</v>
      </c>
      <c r="K591" s="4" t="s">
        <v>282</v>
      </c>
      <c r="L591" s="4" t="s">
        <v>200</v>
      </c>
      <c r="M591" s="4" t="s">
        <v>87</v>
      </c>
    </row>
    <row r="592" spans="1:13" ht="60" customHeight="1" x14ac:dyDescent="0.45">
      <c r="A592" s="7">
        <v>590</v>
      </c>
      <c r="B592" s="8" t="s">
        <v>31</v>
      </c>
      <c r="C592" s="4" t="s">
        <v>32</v>
      </c>
      <c r="D592" s="4" t="s">
        <v>33</v>
      </c>
      <c r="E592" s="4" t="s">
        <v>32</v>
      </c>
      <c r="F592" s="4" t="s">
        <v>1576</v>
      </c>
      <c r="G592" s="4" t="s">
        <v>1577</v>
      </c>
      <c r="H592" s="4" t="s">
        <v>1571</v>
      </c>
      <c r="I592" s="4" t="s">
        <v>1572</v>
      </c>
      <c r="J592" s="4" t="s">
        <v>1573</v>
      </c>
      <c r="K592" s="4" t="s">
        <v>282</v>
      </c>
      <c r="L592" s="4" t="s">
        <v>200</v>
      </c>
      <c r="M592" s="4" t="s">
        <v>87</v>
      </c>
    </row>
    <row r="593" spans="1:13" ht="60" customHeight="1" x14ac:dyDescent="0.45">
      <c r="A593" s="7">
        <v>591</v>
      </c>
      <c r="B593" s="8" t="s">
        <v>31</v>
      </c>
      <c r="C593" s="4" t="s">
        <v>79</v>
      </c>
      <c r="D593" s="4" t="s">
        <v>33</v>
      </c>
      <c r="E593" s="4" t="s">
        <v>79</v>
      </c>
      <c r="F593" s="4" t="s">
        <v>1578</v>
      </c>
      <c r="G593" s="4" t="s">
        <v>1579</v>
      </c>
      <c r="H593" s="4" t="s">
        <v>1580</v>
      </c>
      <c r="I593" s="4" t="s">
        <v>1572</v>
      </c>
      <c r="J593" s="4" t="s">
        <v>1573</v>
      </c>
      <c r="K593" s="4" t="s">
        <v>176</v>
      </c>
      <c r="L593" s="4" t="s">
        <v>177</v>
      </c>
      <c r="M593" s="4" t="s">
        <v>87</v>
      </c>
    </row>
    <row r="594" spans="1:13" ht="60" customHeight="1" x14ac:dyDescent="0.45">
      <c r="A594" s="7">
        <v>592</v>
      </c>
      <c r="B594" s="8" t="s">
        <v>31</v>
      </c>
      <c r="C594" s="4" t="s">
        <v>32</v>
      </c>
      <c r="D594" s="4" t="s">
        <v>33</v>
      </c>
      <c r="E594" s="4" t="s">
        <v>32</v>
      </c>
      <c r="F594" s="4" t="s">
        <v>1581</v>
      </c>
      <c r="G594" s="4" t="s">
        <v>1582</v>
      </c>
      <c r="H594" s="4" t="s">
        <v>1583</v>
      </c>
      <c r="I594" s="4" t="s">
        <v>1584</v>
      </c>
      <c r="J594" s="4" t="s">
        <v>198</v>
      </c>
      <c r="K594" s="4" t="s">
        <v>199</v>
      </c>
      <c r="L594" s="4" t="s">
        <v>200</v>
      </c>
      <c r="M594" s="4" t="s">
        <v>24</v>
      </c>
    </row>
    <row r="595" spans="1:13" ht="60" customHeight="1" x14ac:dyDescent="0.45">
      <c r="A595" s="2">
        <v>593</v>
      </c>
      <c r="B595" s="3" t="s">
        <v>14</v>
      </c>
      <c r="C595" s="4" t="s">
        <v>29</v>
      </c>
      <c r="D595" s="4" t="s">
        <v>16</v>
      </c>
      <c r="E595" s="4" t="s">
        <v>29</v>
      </c>
      <c r="F595" s="4" t="s">
        <v>1585</v>
      </c>
      <c r="G595" s="4" t="s">
        <v>1586</v>
      </c>
      <c r="H595" s="4" t="s">
        <v>1583</v>
      </c>
      <c r="I595" s="4" t="s">
        <v>1584</v>
      </c>
      <c r="J595" s="4" t="s">
        <v>198</v>
      </c>
      <c r="K595" s="4" t="s">
        <v>199</v>
      </c>
      <c r="L595" s="4" t="s">
        <v>200</v>
      </c>
      <c r="M595" s="4" t="s">
        <v>24</v>
      </c>
    </row>
    <row r="596" spans="1:13" ht="60" customHeight="1" x14ac:dyDescent="0.45">
      <c r="A596" s="5">
        <v>594</v>
      </c>
      <c r="B596" s="6" t="s">
        <v>25</v>
      </c>
      <c r="C596" s="4" t="s">
        <v>62</v>
      </c>
      <c r="D596" s="4" t="s">
        <v>27</v>
      </c>
      <c r="E596" s="4" t="s">
        <v>62</v>
      </c>
      <c r="F596" s="4" t="s">
        <v>1587</v>
      </c>
      <c r="G596" s="4" t="s">
        <v>1588</v>
      </c>
      <c r="H596" s="4" t="s">
        <v>1583</v>
      </c>
      <c r="I596" s="4" t="s">
        <v>1584</v>
      </c>
      <c r="J596" s="4" t="s">
        <v>198</v>
      </c>
      <c r="K596" s="4" t="s">
        <v>199</v>
      </c>
      <c r="L596" s="4" t="s">
        <v>200</v>
      </c>
      <c r="M596" s="4" t="s">
        <v>24</v>
      </c>
    </row>
    <row r="597" spans="1:13" ht="60" customHeight="1" x14ac:dyDescent="0.45">
      <c r="A597" s="5">
        <v>595</v>
      </c>
      <c r="B597" s="6" t="s">
        <v>25</v>
      </c>
      <c r="C597" s="4" t="s">
        <v>26</v>
      </c>
      <c r="D597" s="4" t="s">
        <v>27</v>
      </c>
      <c r="E597" s="4" t="s">
        <v>26</v>
      </c>
      <c r="F597" s="4" t="s">
        <v>1589</v>
      </c>
      <c r="G597" s="4" t="s">
        <v>1590</v>
      </c>
      <c r="H597" s="4" t="s">
        <v>1591</v>
      </c>
      <c r="I597" s="4" t="s">
        <v>1592</v>
      </c>
      <c r="J597" s="4" t="s">
        <v>511</v>
      </c>
      <c r="K597" s="4" t="s">
        <v>127</v>
      </c>
      <c r="L597" s="4" t="s">
        <v>23</v>
      </c>
      <c r="M597" s="4" t="s">
        <v>24</v>
      </c>
    </row>
    <row r="598" spans="1:13" ht="60" customHeight="1" x14ac:dyDescent="0.45">
      <c r="A598" s="7">
        <v>596</v>
      </c>
      <c r="B598" s="8" t="s">
        <v>31</v>
      </c>
      <c r="C598" s="4" t="s">
        <v>32</v>
      </c>
      <c r="D598" s="4" t="s">
        <v>33</v>
      </c>
      <c r="E598" s="4" t="s">
        <v>32</v>
      </c>
      <c r="F598" s="4" t="s">
        <v>1593</v>
      </c>
      <c r="G598" s="4" t="s">
        <v>1594</v>
      </c>
      <c r="H598" s="4" t="s">
        <v>1591</v>
      </c>
      <c r="I598" s="4" t="s">
        <v>1592</v>
      </c>
      <c r="J598" s="4" t="s">
        <v>511</v>
      </c>
      <c r="K598" s="4" t="s">
        <v>127</v>
      </c>
      <c r="L598" s="4" t="s">
        <v>23</v>
      </c>
      <c r="M598" s="4" t="s">
        <v>24</v>
      </c>
    </row>
    <row r="599" spans="1:13" ht="60" customHeight="1" x14ac:dyDescent="0.45">
      <c r="A599" s="7">
        <v>597</v>
      </c>
      <c r="B599" s="8" t="s">
        <v>31</v>
      </c>
      <c r="C599" s="4" t="s">
        <v>32</v>
      </c>
      <c r="D599" s="4" t="s">
        <v>33</v>
      </c>
      <c r="E599" s="4" t="s">
        <v>32</v>
      </c>
      <c r="F599" s="4" t="s">
        <v>1595</v>
      </c>
      <c r="G599" s="4" t="s">
        <v>1596</v>
      </c>
      <c r="H599" s="4" t="s">
        <v>1597</v>
      </c>
      <c r="I599" s="4" t="s">
        <v>1598</v>
      </c>
      <c r="J599" s="4" t="s">
        <v>971</v>
      </c>
      <c r="K599" s="4" t="s">
        <v>85</v>
      </c>
      <c r="L599" s="4" t="s">
        <v>86</v>
      </c>
      <c r="M599" s="4" t="s">
        <v>24</v>
      </c>
    </row>
    <row r="600" spans="1:13" ht="60" customHeight="1" x14ac:dyDescent="0.45">
      <c r="A600" s="7">
        <v>598</v>
      </c>
      <c r="B600" s="8" t="s">
        <v>31</v>
      </c>
      <c r="C600" s="4" t="s">
        <v>32</v>
      </c>
      <c r="D600" s="4" t="s">
        <v>33</v>
      </c>
      <c r="E600" s="4" t="s">
        <v>32</v>
      </c>
      <c r="F600" s="4" t="s">
        <v>1599</v>
      </c>
      <c r="G600" s="4" t="s">
        <v>1600</v>
      </c>
      <c r="H600" s="4" t="s">
        <v>1597</v>
      </c>
      <c r="I600" s="4" t="s">
        <v>1598</v>
      </c>
      <c r="J600" s="4" t="s">
        <v>971</v>
      </c>
      <c r="K600" s="4" t="s">
        <v>85</v>
      </c>
      <c r="L600" s="4" t="s">
        <v>86</v>
      </c>
      <c r="M600" s="4" t="s">
        <v>24</v>
      </c>
    </row>
    <row r="601" spans="1:13" ht="60" customHeight="1" x14ac:dyDescent="0.45">
      <c r="A601" s="5">
        <v>599</v>
      </c>
      <c r="B601" s="6" t="s">
        <v>25</v>
      </c>
      <c r="C601" s="4" t="s">
        <v>47</v>
      </c>
      <c r="D601" s="4" t="s">
        <v>27</v>
      </c>
      <c r="E601" s="4" t="s">
        <v>47</v>
      </c>
      <c r="F601" s="4" t="s">
        <v>1601</v>
      </c>
      <c r="G601" s="4" t="s">
        <v>1602</v>
      </c>
      <c r="H601" s="4" t="s">
        <v>1597</v>
      </c>
      <c r="I601" s="4" t="s">
        <v>1598</v>
      </c>
      <c r="J601" s="4" t="s">
        <v>971</v>
      </c>
      <c r="K601" s="4" t="s">
        <v>85</v>
      </c>
      <c r="L601" s="4" t="s">
        <v>86</v>
      </c>
      <c r="M601" s="4" t="s">
        <v>24</v>
      </c>
    </row>
    <row r="602" spans="1:13" ht="60" customHeight="1" x14ac:dyDescent="0.45">
      <c r="A602" s="5">
        <v>600</v>
      </c>
      <c r="B602" s="6" t="s">
        <v>25</v>
      </c>
      <c r="C602" s="4" t="s">
        <v>62</v>
      </c>
      <c r="D602" s="4" t="s">
        <v>27</v>
      </c>
      <c r="E602" s="4" t="s">
        <v>62</v>
      </c>
      <c r="F602" s="4" t="s">
        <v>1603</v>
      </c>
      <c r="G602" s="4" t="s">
        <v>1604</v>
      </c>
      <c r="H602" s="4" t="s">
        <v>1597</v>
      </c>
      <c r="I602" s="4" t="s">
        <v>1598</v>
      </c>
      <c r="J602" s="4" t="s">
        <v>971</v>
      </c>
      <c r="K602" s="4" t="s">
        <v>85</v>
      </c>
      <c r="L602" s="4" t="s">
        <v>86</v>
      </c>
      <c r="M602" s="4" t="s">
        <v>24</v>
      </c>
    </row>
    <row r="603" spans="1:13" ht="60" customHeight="1" x14ac:dyDescent="0.45">
      <c r="A603" s="5">
        <v>601</v>
      </c>
      <c r="B603" s="6" t="s">
        <v>25</v>
      </c>
      <c r="C603" s="4" t="s">
        <v>62</v>
      </c>
      <c r="D603" s="4" t="s">
        <v>27</v>
      </c>
      <c r="E603" s="4" t="s">
        <v>62</v>
      </c>
      <c r="F603" s="4" t="s">
        <v>1605</v>
      </c>
      <c r="G603" s="4" t="s">
        <v>1606</v>
      </c>
      <c r="H603" s="4" t="s">
        <v>1597</v>
      </c>
      <c r="I603" s="4" t="s">
        <v>1598</v>
      </c>
      <c r="J603" s="4" t="s">
        <v>971</v>
      </c>
      <c r="K603" s="4" t="s">
        <v>85</v>
      </c>
      <c r="L603" s="4" t="s">
        <v>86</v>
      </c>
      <c r="M603" s="4" t="s">
        <v>24</v>
      </c>
    </row>
    <row r="604" spans="1:13" ht="60" customHeight="1" x14ac:dyDescent="0.45">
      <c r="A604" s="5">
        <v>602</v>
      </c>
      <c r="B604" s="6" t="s">
        <v>25</v>
      </c>
      <c r="C604" s="4" t="s">
        <v>62</v>
      </c>
      <c r="D604" s="4" t="s">
        <v>27</v>
      </c>
      <c r="E604" s="4" t="s">
        <v>62</v>
      </c>
      <c r="F604" s="4" t="s">
        <v>1607</v>
      </c>
      <c r="G604" s="4" t="s">
        <v>1608</v>
      </c>
      <c r="H604" s="4" t="s">
        <v>1597</v>
      </c>
      <c r="I604" s="4" t="s">
        <v>1598</v>
      </c>
      <c r="J604" s="4" t="s">
        <v>971</v>
      </c>
      <c r="K604" s="4" t="s">
        <v>85</v>
      </c>
      <c r="L604" s="4" t="s">
        <v>86</v>
      </c>
      <c r="M604" s="4" t="s">
        <v>24</v>
      </c>
    </row>
    <row r="605" spans="1:13" ht="60" customHeight="1" x14ac:dyDescent="0.45">
      <c r="A605" s="5">
        <v>603</v>
      </c>
      <c r="B605" s="6" t="s">
        <v>25</v>
      </c>
      <c r="C605" s="4" t="s">
        <v>44</v>
      </c>
      <c r="D605" s="4" t="s">
        <v>27</v>
      </c>
      <c r="E605" s="4" t="s">
        <v>44</v>
      </c>
      <c r="F605" s="4" t="s">
        <v>1609</v>
      </c>
      <c r="G605" s="4" t="s">
        <v>1610</v>
      </c>
      <c r="H605" s="4" t="s">
        <v>1597</v>
      </c>
      <c r="I605" s="4" t="s">
        <v>1598</v>
      </c>
      <c r="J605" s="4" t="s">
        <v>971</v>
      </c>
      <c r="K605" s="4" t="s">
        <v>85</v>
      </c>
      <c r="L605" s="4" t="s">
        <v>86</v>
      </c>
      <c r="M605" s="4" t="s">
        <v>24</v>
      </c>
    </row>
    <row r="606" spans="1:13" ht="60" customHeight="1" x14ac:dyDescent="0.45">
      <c r="A606" s="7">
        <v>604</v>
      </c>
      <c r="B606" s="8" t="s">
        <v>31</v>
      </c>
      <c r="C606" s="4" t="s">
        <v>32</v>
      </c>
      <c r="D606" s="4" t="s">
        <v>33</v>
      </c>
      <c r="E606" s="4" t="s">
        <v>32</v>
      </c>
      <c r="F606" s="4" t="s">
        <v>1611</v>
      </c>
      <c r="G606" s="4" t="s">
        <v>1612</v>
      </c>
      <c r="H606" s="4" t="s">
        <v>1597</v>
      </c>
      <c r="I606" s="4" t="s">
        <v>1598</v>
      </c>
      <c r="J606" s="4" t="s">
        <v>971</v>
      </c>
      <c r="K606" s="4" t="s">
        <v>85</v>
      </c>
      <c r="L606" s="4" t="s">
        <v>86</v>
      </c>
      <c r="M606" s="4" t="s">
        <v>24</v>
      </c>
    </row>
    <row r="607" spans="1:13" ht="60" customHeight="1" x14ac:dyDescent="0.45">
      <c r="A607" s="5">
        <v>605</v>
      </c>
      <c r="B607" s="6" t="s">
        <v>25</v>
      </c>
      <c r="C607" s="4" t="s">
        <v>62</v>
      </c>
      <c r="D607" s="4" t="s">
        <v>27</v>
      </c>
      <c r="E607" s="4" t="s">
        <v>62</v>
      </c>
      <c r="F607" s="4" t="s">
        <v>1613</v>
      </c>
      <c r="G607" s="4" t="s">
        <v>1614</v>
      </c>
      <c r="H607" s="4" t="s">
        <v>1597</v>
      </c>
      <c r="I607" s="4" t="s">
        <v>1598</v>
      </c>
      <c r="J607" s="4" t="s">
        <v>971</v>
      </c>
      <c r="K607" s="4" t="s">
        <v>85</v>
      </c>
      <c r="L607" s="4" t="s">
        <v>86</v>
      </c>
      <c r="M607" s="4" t="s">
        <v>24</v>
      </c>
    </row>
    <row r="608" spans="1:13" ht="60" customHeight="1" x14ac:dyDescent="0.45">
      <c r="A608" s="7">
        <v>606</v>
      </c>
      <c r="B608" s="8" t="s">
        <v>31</v>
      </c>
      <c r="C608" s="4" t="s">
        <v>32</v>
      </c>
      <c r="D608" s="4" t="s">
        <v>33</v>
      </c>
      <c r="E608" s="4" t="s">
        <v>32</v>
      </c>
      <c r="F608" s="4" t="s">
        <v>1615</v>
      </c>
      <c r="G608" s="4" t="s">
        <v>1616</v>
      </c>
      <c r="H608" s="4" t="s">
        <v>1597</v>
      </c>
      <c r="I608" s="4" t="s">
        <v>1598</v>
      </c>
      <c r="J608" s="4" t="s">
        <v>971</v>
      </c>
      <c r="K608" s="4" t="s">
        <v>85</v>
      </c>
      <c r="L608" s="4" t="s">
        <v>86</v>
      </c>
      <c r="M608" s="4" t="s">
        <v>24</v>
      </c>
    </row>
    <row r="609" spans="1:13" ht="60" customHeight="1" x14ac:dyDescent="0.45">
      <c r="A609" s="5">
        <v>607</v>
      </c>
      <c r="B609" s="6" t="s">
        <v>25</v>
      </c>
      <c r="C609" s="4" t="s">
        <v>62</v>
      </c>
      <c r="D609" s="4" t="s">
        <v>27</v>
      </c>
      <c r="E609" s="4" t="s">
        <v>62</v>
      </c>
      <c r="F609" s="4" t="s">
        <v>1617</v>
      </c>
      <c r="G609" s="4" t="s">
        <v>1618</v>
      </c>
      <c r="H609" s="4" t="s">
        <v>1597</v>
      </c>
      <c r="I609" s="4" t="s">
        <v>1598</v>
      </c>
      <c r="J609" s="4" t="s">
        <v>971</v>
      </c>
      <c r="K609" s="4" t="s">
        <v>85</v>
      </c>
      <c r="L609" s="4" t="s">
        <v>86</v>
      </c>
      <c r="M609" s="4" t="s">
        <v>24</v>
      </c>
    </row>
    <row r="610" spans="1:13" ht="60" customHeight="1" x14ac:dyDescent="0.45">
      <c r="A610" s="5">
        <v>608</v>
      </c>
      <c r="B610" s="6" t="s">
        <v>25</v>
      </c>
      <c r="C610" s="4" t="s">
        <v>41</v>
      </c>
      <c r="D610" s="4" t="s">
        <v>27</v>
      </c>
      <c r="E610" s="4" t="s">
        <v>41</v>
      </c>
      <c r="F610" s="4" t="s">
        <v>1619</v>
      </c>
      <c r="G610" s="4" t="s">
        <v>1620</v>
      </c>
      <c r="H610" s="4" t="s">
        <v>1597</v>
      </c>
      <c r="I610" s="4" t="s">
        <v>1598</v>
      </c>
      <c r="J610" s="4" t="s">
        <v>971</v>
      </c>
      <c r="K610" s="4" t="s">
        <v>85</v>
      </c>
      <c r="L610" s="4" t="s">
        <v>86</v>
      </c>
      <c r="M610" s="4" t="s">
        <v>24</v>
      </c>
    </row>
    <row r="611" spans="1:13" ht="60" customHeight="1" x14ac:dyDescent="0.45">
      <c r="A611" s="7">
        <v>609</v>
      </c>
      <c r="B611" s="8" t="s">
        <v>31</v>
      </c>
      <c r="C611" s="4" t="s">
        <v>32</v>
      </c>
      <c r="D611" s="4" t="s">
        <v>33</v>
      </c>
      <c r="E611" s="4" t="s">
        <v>32</v>
      </c>
      <c r="F611" s="4" t="s">
        <v>1621</v>
      </c>
      <c r="G611" s="4" t="s">
        <v>1622</v>
      </c>
      <c r="H611" s="4" t="s">
        <v>1597</v>
      </c>
      <c r="I611" s="4" t="s">
        <v>1598</v>
      </c>
      <c r="J611" s="4" t="s">
        <v>971</v>
      </c>
      <c r="K611" s="4" t="s">
        <v>85</v>
      </c>
      <c r="L611" s="4" t="s">
        <v>86</v>
      </c>
      <c r="M611" s="4" t="s">
        <v>24</v>
      </c>
    </row>
    <row r="612" spans="1:13" ht="60" customHeight="1" x14ac:dyDescent="0.45">
      <c r="A612" s="7">
        <v>610</v>
      </c>
      <c r="B612" s="8" t="s">
        <v>31</v>
      </c>
      <c r="C612" s="4" t="s">
        <v>32</v>
      </c>
      <c r="D612" s="4" t="s">
        <v>33</v>
      </c>
      <c r="E612" s="4" t="s">
        <v>32</v>
      </c>
      <c r="F612" s="4" t="s">
        <v>1623</v>
      </c>
      <c r="G612" s="4" t="s">
        <v>1624</v>
      </c>
      <c r="H612" s="4" t="s">
        <v>1597</v>
      </c>
      <c r="I612" s="4" t="s">
        <v>1598</v>
      </c>
      <c r="J612" s="4" t="s">
        <v>971</v>
      </c>
      <c r="K612" s="4" t="s">
        <v>85</v>
      </c>
      <c r="L612" s="4" t="s">
        <v>86</v>
      </c>
      <c r="M612" s="4" t="s">
        <v>24</v>
      </c>
    </row>
    <row r="613" spans="1:13" ht="60" customHeight="1" x14ac:dyDescent="0.45">
      <c r="A613" s="5">
        <v>611</v>
      </c>
      <c r="B613" s="6" t="s">
        <v>25</v>
      </c>
      <c r="C613" s="4" t="s">
        <v>47</v>
      </c>
      <c r="D613" s="4" t="s">
        <v>27</v>
      </c>
      <c r="E613" s="4" t="s">
        <v>47</v>
      </c>
      <c r="F613" s="4" t="s">
        <v>1625</v>
      </c>
      <c r="G613" s="4" t="s">
        <v>1626</v>
      </c>
      <c r="H613" s="4" t="s">
        <v>1597</v>
      </c>
      <c r="I613" s="4" t="s">
        <v>1598</v>
      </c>
      <c r="J613" s="4" t="s">
        <v>971</v>
      </c>
      <c r="K613" s="4" t="s">
        <v>85</v>
      </c>
      <c r="L613" s="4" t="s">
        <v>86</v>
      </c>
      <c r="M613" s="4" t="s">
        <v>24</v>
      </c>
    </row>
    <row r="614" spans="1:13" ht="60" customHeight="1" x14ac:dyDescent="0.45">
      <c r="A614" s="5">
        <v>612</v>
      </c>
      <c r="B614" s="6" t="s">
        <v>25</v>
      </c>
      <c r="C614" s="4" t="s">
        <v>62</v>
      </c>
      <c r="D614" s="4" t="s">
        <v>27</v>
      </c>
      <c r="E614" s="4" t="s">
        <v>62</v>
      </c>
      <c r="F614" s="4" t="s">
        <v>1627</v>
      </c>
      <c r="G614" s="4" t="s">
        <v>1628</v>
      </c>
      <c r="H614" s="4" t="s">
        <v>1597</v>
      </c>
      <c r="I614" s="4" t="s">
        <v>1598</v>
      </c>
      <c r="J614" s="4" t="s">
        <v>971</v>
      </c>
      <c r="K614" s="4" t="s">
        <v>85</v>
      </c>
      <c r="L614" s="4" t="s">
        <v>86</v>
      </c>
      <c r="M614" s="4" t="s">
        <v>24</v>
      </c>
    </row>
    <row r="615" spans="1:13" ht="60" customHeight="1" x14ac:dyDescent="0.45">
      <c r="A615" s="7">
        <v>613</v>
      </c>
      <c r="B615" s="8" t="s">
        <v>31</v>
      </c>
      <c r="C615" s="4" t="s">
        <v>32</v>
      </c>
      <c r="D615" s="4" t="s">
        <v>33</v>
      </c>
      <c r="E615" s="4" t="s">
        <v>32</v>
      </c>
      <c r="F615" s="4" t="s">
        <v>1629</v>
      </c>
      <c r="G615" s="4" t="s">
        <v>1630</v>
      </c>
      <c r="H615" s="4" t="s">
        <v>1597</v>
      </c>
      <c r="I615" s="4" t="s">
        <v>1598</v>
      </c>
      <c r="J615" s="4" t="s">
        <v>971</v>
      </c>
      <c r="K615" s="4" t="s">
        <v>85</v>
      </c>
      <c r="L615" s="4" t="s">
        <v>86</v>
      </c>
      <c r="M615" s="4" t="s">
        <v>24</v>
      </c>
    </row>
  </sheetData>
  <mergeCells count="1">
    <mergeCell ref="A1:M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7"/>
  <sheetViews>
    <sheetView workbookViewId="0">
      <selection activeCell="B30" sqref="B30"/>
    </sheetView>
  </sheetViews>
  <sheetFormatPr defaultRowHeight="14.25" x14ac:dyDescent="0.45"/>
  <cols>
    <col min="1" max="1" width="12" customWidth="1"/>
    <col min="2" max="2" width="40" customWidth="1"/>
    <col min="3" max="3" width="12" customWidth="1"/>
    <col min="4" max="4" width="14" customWidth="1"/>
  </cols>
  <sheetData>
    <row r="1" spans="1:4" x14ac:dyDescent="0.45">
      <c r="A1" s="21" t="s">
        <v>1631</v>
      </c>
      <c r="B1" s="20"/>
      <c r="C1" s="20"/>
      <c r="D1" s="20"/>
    </row>
    <row r="2" spans="1:4" x14ac:dyDescent="0.45">
      <c r="A2" s="1" t="s">
        <v>2</v>
      </c>
      <c r="B2" s="1" t="s">
        <v>4</v>
      </c>
      <c r="C2" s="1" t="s">
        <v>1632</v>
      </c>
      <c r="D2" s="1" t="s">
        <v>1633</v>
      </c>
    </row>
    <row r="3" spans="1:4" x14ac:dyDescent="0.45">
      <c r="A3" s="9" t="s">
        <v>25</v>
      </c>
      <c r="B3" t="s">
        <v>27</v>
      </c>
      <c r="C3">
        <f>COUNTIFS('Coded Passages'!$B:$B,$A3)</f>
        <v>377</v>
      </c>
      <c r="D3" s="10">
        <f>C3/$C$7</f>
        <v>0.6150081566068516</v>
      </c>
    </row>
    <row r="4" spans="1:4" x14ac:dyDescent="0.45">
      <c r="A4" s="23" t="s">
        <v>14</v>
      </c>
      <c r="B4" t="s">
        <v>16</v>
      </c>
      <c r="C4">
        <f>COUNTIFS('Coded Passages'!$B:$B,$A4)</f>
        <v>66</v>
      </c>
      <c r="D4" s="10">
        <f>C4/$C$7</f>
        <v>0.10766721044045677</v>
      </c>
    </row>
    <row r="5" spans="1:4" x14ac:dyDescent="0.45">
      <c r="A5" s="12" t="s">
        <v>31</v>
      </c>
      <c r="B5" t="s">
        <v>33</v>
      </c>
      <c r="C5">
        <f>COUNTIFS('Coded Passages'!$B:$B,$A5)</f>
        <v>170</v>
      </c>
      <c r="D5" s="10">
        <f>C5/$C$7</f>
        <v>0.27732463295269166</v>
      </c>
    </row>
    <row r="6" spans="1:4" x14ac:dyDescent="0.45">
      <c r="A6" s="13" t="s">
        <v>1634</v>
      </c>
      <c r="B6" t="s">
        <v>1635</v>
      </c>
      <c r="C6">
        <f>COUNTIFS('Coded Passages'!$B:$B,$A6)</f>
        <v>0</v>
      </c>
      <c r="D6" s="10">
        <f>C6/$C$7</f>
        <v>0</v>
      </c>
    </row>
    <row r="7" spans="1:4" x14ac:dyDescent="0.45">
      <c r="A7" s="14" t="s">
        <v>1636</v>
      </c>
      <c r="B7" s="14" t="s">
        <v>1637</v>
      </c>
      <c r="C7" s="14">
        <f>SUM(C3:C6)</f>
        <v>613</v>
      </c>
      <c r="D7" s="15">
        <f>SUM(D3:D6)</f>
        <v>1</v>
      </c>
    </row>
  </sheetData>
  <mergeCells count="1">
    <mergeCell ref="A1:D1"/>
  </mergeCells>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P17"/>
  <sheetViews>
    <sheetView topLeftCell="A13" workbookViewId="0">
      <selection activeCell="E26" sqref="E26"/>
    </sheetView>
  </sheetViews>
  <sheetFormatPr defaultRowHeight="14.25" x14ac:dyDescent="0.45"/>
  <cols>
    <col min="1" max="1" width="7" customWidth="1"/>
    <col min="2" max="2" width="42" customWidth="1"/>
    <col min="3" max="171" width="20" customWidth="1"/>
    <col min="172" max="172" width="10" customWidth="1"/>
  </cols>
  <sheetData>
    <row r="1" spans="1:172" x14ac:dyDescent="0.45">
      <c r="A1" s="21" t="s">
        <v>1638</v>
      </c>
      <c r="B1" s="20"/>
      <c r="C1" s="20"/>
      <c r="D1" s="20"/>
      <c r="E1" s="20"/>
      <c r="F1" s="20"/>
      <c r="G1" s="20"/>
      <c r="H1" s="20"/>
      <c r="I1" s="20"/>
      <c r="J1" s="20"/>
      <c r="K1" s="20"/>
      <c r="L1" s="20"/>
    </row>
    <row r="2" spans="1:172" x14ac:dyDescent="0.45">
      <c r="A2" s="1" t="s">
        <v>1639</v>
      </c>
      <c r="B2" s="1" t="s">
        <v>1640</v>
      </c>
      <c r="C2" s="1" t="s">
        <v>19</v>
      </c>
      <c r="D2" s="1" t="s">
        <v>36</v>
      </c>
      <c r="E2" s="1" t="s">
        <v>54</v>
      </c>
      <c r="F2" s="1" t="s">
        <v>73</v>
      </c>
      <c r="G2" s="1" t="s">
        <v>82</v>
      </c>
      <c r="H2" s="1" t="s">
        <v>124</v>
      </c>
      <c r="I2" s="1" t="s">
        <v>140</v>
      </c>
      <c r="J2" s="1" t="s">
        <v>149</v>
      </c>
      <c r="K2" s="1" t="s">
        <v>156</v>
      </c>
      <c r="L2" s="1" t="s">
        <v>167</v>
      </c>
      <c r="M2" s="1" t="s">
        <v>173</v>
      </c>
      <c r="N2" s="1" t="s">
        <v>180</v>
      </c>
      <c r="O2" s="1" t="s">
        <v>189</v>
      </c>
      <c r="P2" s="1" t="s">
        <v>196</v>
      </c>
      <c r="Q2" s="1" t="s">
        <v>209</v>
      </c>
      <c r="R2" s="1" t="s">
        <v>220</v>
      </c>
      <c r="S2" s="1" t="s">
        <v>231</v>
      </c>
      <c r="T2" s="1" t="s">
        <v>247</v>
      </c>
      <c r="U2" s="1" t="s">
        <v>259</v>
      </c>
      <c r="V2" s="1" t="s">
        <v>272</v>
      </c>
      <c r="W2" s="1" t="s">
        <v>279</v>
      </c>
      <c r="X2" s="1" t="s">
        <v>295</v>
      </c>
      <c r="Y2" s="1" t="s">
        <v>304</v>
      </c>
      <c r="Z2" s="1" t="s">
        <v>312</v>
      </c>
      <c r="AA2" s="1" t="s">
        <v>320</v>
      </c>
      <c r="AB2" s="1" t="s">
        <v>328</v>
      </c>
      <c r="AC2" s="1" t="s">
        <v>334</v>
      </c>
      <c r="AD2" s="1" t="s">
        <v>345</v>
      </c>
      <c r="AE2" s="1" t="s">
        <v>353</v>
      </c>
      <c r="AF2" s="1" t="s">
        <v>360</v>
      </c>
      <c r="AG2" s="1" t="s">
        <v>365</v>
      </c>
      <c r="AH2" s="1" t="s">
        <v>371</v>
      </c>
      <c r="AI2" s="1" t="s">
        <v>386</v>
      </c>
      <c r="AJ2" s="1" t="s">
        <v>401</v>
      </c>
      <c r="AK2" s="1" t="s">
        <v>414</v>
      </c>
      <c r="AL2" s="1" t="s">
        <v>422</v>
      </c>
      <c r="AM2" s="1" t="s">
        <v>435</v>
      </c>
      <c r="AN2" s="1" t="s">
        <v>440</v>
      </c>
      <c r="AO2" s="1" t="s">
        <v>453</v>
      </c>
      <c r="AP2" s="1" t="s">
        <v>465</v>
      </c>
      <c r="AQ2" s="1" t="s">
        <v>469</v>
      </c>
      <c r="AR2" s="1" t="s">
        <v>479</v>
      </c>
      <c r="AS2" s="1" t="s">
        <v>498</v>
      </c>
      <c r="AT2" s="1" t="s">
        <v>509</v>
      </c>
      <c r="AU2" s="1" t="s">
        <v>526</v>
      </c>
      <c r="AV2" s="1" t="s">
        <v>539</v>
      </c>
      <c r="AW2" s="1" t="s">
        <v>553</v>
      </c>
      <c r="AX2" s="1" t="s">
        <v>561</v>
      </c>
      <c r="AY2" s="1" t="s">
        <v>585</v>
      </c>
      <c r="AZ2" s="1" t="s">
        <v>594</v>
      </c>
      <c r="BA2" s="1" t="s">
        <v>602</v>
      </c>
      <c r="BB2" s="1" t="s">
        <v>608</v>
      </c>
      <c r="BC2" s="1" t="s">
        <v>613</v>
      </c>
      <c r="BD2" s="1" t="s">
        <v>630</v>
      </c>
      <c r="BE2" s="1" t="s">
        <v>636</v>
      </c>
      <c r="BF2" s="1" t="s">
        <v>641</v>
      </c>
      <c r="BG2" s="1" t="s">
        <v>645</v>
      </c>
      <c r="BH2" s="1" t="s">
        <v>652</v>
      </c>
      <c r="BI2" s="1" t="s">
        <v>657</v>
      </c>
      <c r="BJ2" s="1" t="s">
        <v>669</v>
      </c>
      <c r="BK2" s="1" t="s">
        <v>678</v>
      </c>
      <c r="BL2" s="1" t="s">
        <v>694</v>
      </c>
      <c r="BM2" s="1" t="s">
        <v>705</v>
      </c>
      <c r="BN2" s="1" t="s">
        <v>727</v>
      </c>
      <c r="BO2" s="1" t="s">
        <v>738</v>
      </c>
      <c r="BP2" s="1" t="s">
        <v>747</v>
      </c>
      <c r="BQ2" s="1" t="s">
        <v>754</v>
      </c>
      <c r="BR2" s="1" t="s">
        <v>758</v>
      </c>
      <c r="BS2" s="1" t="s">
        <v>762</v>
      </c>
      <c r="BT2" s="1" t="s">
        <v>769</v>
      </c>
      <c r="BU2" s="1" t="s">
        <v>785</v>
      </c>
      <c r="BV2" s="1" t="s">
        <v>788</v>
      </c>
      <c r="BW2" s="1" t="s">
        <v>794</v>
      </c>
      <c r="BX2" s="1" t="s">
        <v>801</v>
      </c>
      <c r="BY2" s="1" t="s">
        <v>804</v>
      </c>
      <c r="BZ2" s="1" t="s">
        <v>811</v>
      </c>
      <c r="CA2" s="1" t="s">
        <v>821</v>
      </c>
      <c r="CB2" s="1" t="s">
        <v>827</v>
      </c>
      <c r="CC2" s="1" t="s">
        <v>832</v>
      </c>
      <c r="CD2" s="1" t="s">
        <v>836</v>
      </c>
      <c r="CE2" s="1" t="s">
        <v>841</v>
      </c>
      <c r="CF2" s="1" t="s">
        <v>847</v>
      </c>
      <c r="CG2" s="1" t="s">
        <v>853</v>
      </c>
      <c r="CH2" s="1" t="s">
        <v>857</v>
      </c>
      <c r="CI2" s="1" t="s">
        <v>862</v>
      </c>
      <c r="CJ2" s="1" t="s">
        <v>879</v>
      </c>
      <c r="CK2" s="1" t="s">
        <v>884</v>
      </c>
      <c r="CL2" s="1" t="s">
        <v>899</v>
      </c>
      <c r="CM2" s="1" t="s">
        <v>913</v>
      </c>
      <c r="CN2" s="1" t="s">
        <v>929</v>
      </c>
      <c r="CO2" s="1" t="s">
        <v>940</v>
      </c>
      <c r="CP2" s="1" t="s">
        <v>946</v>
      </c>
      <c r="CQ2" s="1" t="s">
        <v>953</v>
      </c>
      <c r="CR2" s="1" t="s">
        <v>957</v>
      </c>
      <c r="CS2" s="1" t="s">
        <v>963</v>
      </c>
      <c r="CT2" s="1" t="s">
        <v>969</v>
      </c>
      <c r="CU2" s="1" t="s">
        <v>978</v>
      </c>
      <c r="CV2" s="1" t="s">
        <v>986</v>
      </c>
      <c r="CW2" s="1" t="s">
        <v>992</v>
      </c>
      <c r="CX2" s="1" t="s">
        <v>996</v>
      </c>
      <c r="CY2" s="1" t="s">
        <v>1003</v>
      </c>
      <c r="CZ2" s="1" t="s">
        <v>1012</v>
      </c>
      <c r="DA2" s="1" t="s">
        <v>1032</v>
      </c>
      <c r="DB2" s="1" t="s">
        <v>1036</v>
      </c>
      <c r="DC2" s="1" t="s">
        <v>1041</v>
      </c>
      <c r="DD2" s="1" t="s">
        <v>1045</v>
      </c>
      <c r="DE2" s="1" t="s">
        <v>1049</v>
      </c>
      <c r="DF2" s="1" t="s">
        <v>1058</v>
      </c>
      <c r="DG2" s="1" t="s">
        <v>1067</v>
      </c>
      <c r="DH2" s="1" t="s">
        <v>1083</v>
      </c>
      <c r="DI2" s="1" t="s">
        <v>1093</v>
      </c>
      <c r="DJ2" s="1" t="s">
        <v>1103</v>
      </c>
      <c r="DK2" s="1" t="s">
        <v>1116</v>
      </c>
      <c r="DL2" s="1" t="s">
        <v>1133</v>
      </c>
      <c r="DM2" s="1" t="s">
        <v>1143</v>
      </c>
      <c r="DN2" s="1" t="s">
        <v>1153</v>
      </c>
      <c r="DO2" s="1" t="s">
        <v>1159</v>
      </c>
      <c r="DP2" s="1" t="s">
        <v>1167</v>
      </c>
      <c r="DQ2" s="1" t="s">
        <v>1173</v>
      </c>
      <c r="DR2" s="1" t="s">
        <v>1177</v>
      </c>
      <c r="DS2" s="1" t="s">
        <v>1183</v>
      </c>
      <c r="DT2" s="1" t="s">
        <v>1193</v>
      </c>
      <c r="DU2" s="1" t="s">
        <v>1200</v>
      </c>
      <c r="DV2" s="1" t="s">
        <v>1206</v>
      </c>
      <c r="DW2" s="1" t="s">
        <v>1210</v>
      </c>
      <c r="DX2" s="1" t="s">
        <v>1222</v>
      </c>
      <c r="DY2" s="1" t="s">
        <v>1225</v>
      </c>
      <c r="DZ2" s="1" t="s">
        <v>1229</v>
      </c>
      <c r="EA2" s="1" t="s">
        <v>1248</v>
      </c>
      <c r="EB2" s="1" t="s">
        <v>1255</v>
      </c>
      <c r="EC2" s="1" t="s">
        <v>1259</v>
      </c>
      <c r="ED2" s="1" t="s">
        <v>1272</v>
      </c>
      <c r="EE2" s="1" t="s">
        <v>1276</v>
      </c>
      <c r="EF2" s="1" t="s">
        <v>1282</v>
      </c>
      <c r="EG2" s="1" t="s">
        <v>1289</v>
      </c>
      <c r="EH2" s="1" t="s">
        <v>1297</v>
      </c>
      <c r="EI2" s="1" t="s">
        <v>1307</v>
      </c>
      <c r="EJ2" s="1" t="s">
        <v>1320</v>
      </c>
      <c r="EK2" s="1" t="s">
        <v>1326</v>
      </c>
      <c r="EL2" s="1" t="s">
        <v>1341</v>
      </c>
      <c r="EM2" s="1" t="s">
        <v>1347</v>
      </c>
      <c r="EN2" s="1" t="s">
        <v>1354</v>
      </c>
      <c r="EO2" s="1" t="s">
        <v>1366</v>
      </c>
      <c r="EP2" s="1" t="s">
        <v>1373</v>
      </c>
      <c r="EQ2" s="1" t="s">
        <v>1389</v>
      </c>
      <c r="ER2" s="1" t="s">
        <v>1393</v>
      </c>
      <c r="ES2" s="1" t="s">
        <v>1400</v>
      </c>
      <c r="ET2" s="1" t="s">
        <v>1404</v>
      </c>
      <c r="EU2" s="1" t="s">
        <v>1414</v>
      </c>
      <c r="EV2" s="1" t="s">
        <v>1420</v>
      </c>
      <c r="EW2" s="1" t="s">
        <v>1425</v>
      </c>
      <c r="EX2" s="1" t="s">
        <v>1444</v>
      </c>
      <c r="EY2" s="1" t="s">
        <v>1448</v>
      </c>
      <c r="EZ2" s="1" t="s">
        <v>1463</v>
      </c>
      <c r="FA2" s="1" t="s">
        <v>1468</v>
      </c>
      <c r="FB2" s="1" t="s">
        <v>1471</v>
      </c>
      <c r="FC2" s="1" t="s">
        <v>1526</v>
      </c>
      <c r="FD2" s="1" t="s">
        <v>1530</v>
      </c>
      <c r="FE2" s="1" t="s">
        <v>1534</v>
      </c>
      <c r="FF2" s="1" t="s">
        <v>1547</v>
      </c>
      <c r="FG2" s="1" t="s">
        <v>1550</v>
      </c>
      <c r="FH2" s="1" t="s">
        <v>1556</v>
      </c>
      <c r="FI2" s="1" t="s">
        <v>1561</v>
      </c>
      <c r="FJ2" s="1" t="s">
        <v>1566</v>
      </c>
      <c r="FK2" s="1" t="s">
        <v>1571</v>
      </c>
      <c r="FL2" s="1" t="s">
        <v>1580</v>
      </c>
      <c r="FM2" s="1" t="s">
        <v>1583</v>
      </c>
      <c r="FN2" s="1" t="s">
        <v>1591</v>
      </c>
      <c r="FO2" s="1" t="s">
        <v>1597</v>
      </c>
      <c r="FP2" s="1" t="s">
        <v>1636</v>
      </c>
    </row>
    <row r="3" spans="1:172" x14ac:dyDescent="0.45">
      <c r="A3" s="9" t="s">
        <v>25</v>
      </c>
      <c r="B3" s="16" t="s">
        <v>41</v>
      </c>
      <c r="C3">
        <f>COUNTIFS('Coded Passages'!$B:$B,$A3,'Coded Passages'!$E:$E,$B3,'Coded Passages'!$H:$H,C$2)</f>
        <v>0</v>
      </c>
      <c r="D3">
        <f>COUNTIFS('Coded Passages'!$B:$B,$A3,'Coded Passages'!$E:$E,$B3,'Coded Passages'!$H:$H,D$2)</f>
        <v>2</v>
      </c>
      <c r="E3">
        <f>COUNTIFS('Coded Passages'!$B:$B,$A3,'Coded Passages'!$E:$E,$B3,'Coded Passages'!$H:$H,E$2)</f>
        <v>2</v>
      </c>
      <c r="F3">
        <f>COUNTIFS('Coded Passages'!$B:$B,$A3,'Coded Passages'!$E:$E,$B3,'Coded Passages'!$H:$H,F$2)</f>
        <v>1</v>
      </c>
      <c r="G3">
        <f>COUNTIFS('Coded Passages'!$B:$B,$A3,'Coded Passages'!$E:$E,$B3,'Coded Passages'!$H:$H,G$2)</f>
        <v>2</v>
      </c>
      <c r="H3">
        <f>COUNTIFS('Coded Passages'!$B:$B,$A3,'Coded Passages'!$E:$E,$B3,'Coded Passages'!$H:$H,H$2)</f>
        <v>1</v>
      </c>
      <c r="I3">
        <f>COUNTIFS('Coded Passages'!$B:$B,$A3,'Coded Passages'!$E:$E,$B3,'Coded Passages'!$H:$H,I$2)</f>
        <v>1</v>
      </c>
      <c r="J3">
        <f>COUNTIFS('Coded Passages'!$B:$B,$A3,'Coded Passages'!$E:$E,$B3,'Coded Passages'!$H:$H,J$2)</f>
        <v>0</v>
      </c>
      <c r="K3">
        <f>COUNTIFS('Coded Passages'!$B:$B,$A3,'Coded Passages'!$E:$E,$B3,'Coded Passages'!$H:$H,K$2)</f>
        <v>1</v>
      </c>
      <c r="L3">
        <f>COUNTIFS('Coded Passages'!$B:$B,$A3,'Coded Passages'!$E:$E,$B3,'Coded Passages'!$H:$H,L$2)</f>
        <v>0</v>
      </c>
      <c r="M3">
        <f>COUNTIFS('Coded Passages'!$B:$B,$A3,'Coded Passages'!$E:$E,$B3,'Coded Passages'!$H:$H,M$2)</f>
        <v>0</v>
      </c>
      <c r="N3">
        <f>COUNTIFS('Coded Passages'!$B:$B,$A3,'Coded Passages'!$E:$E,$B3,'Coded Passages'!$H:$H,N$2)</f>
        <v>1</v>
      </c>
      <c r="O3">
        <f>COUNTIFS('Coded Passages'!$B:$B,$A3,'Coded Passages'!$E:$E,$B3,'Coded Passages'!$H:$H,O$2)</f>
        <v>1</v>
      </c>
      <c r="P3">
        <f>COUNTIFS('Coded Passages'!$B:$B,$A3,'Coded Passages'!$E:$E,$B3,'Coded Passages'!$H:$H,P$2)</f>
        <v>0</v>
      </c>
      <c r="Q3">
        <f>COUNTIFS('Coded Passages'!$B:$B,$A3,'Coded Passages'!$E:$E,$B3,'Coded Passages'!$H:$H,Q$2)</f>
        <v>1</v>
      </c>
      <c r="R3">
        <f>COUNTIFS('Coded Passages'!$B:$B,$A3,'Coded Passages'!$E:$E,$B3,'Coded Passages'!$H:$H,R$2)</f>
        <v>0</v>
      </c>
      <c r="S3">
        <f>COUNTIFS('Coded Passages'!$B:$B,$A3,'Coded Passages'!$E:$E,$B3,'Coded Passages'!$H:$H,S$2)</f>
        <v>1</v>
      </c>
      <c r="T3">
        <f>COUNTIFS('Coded Passages'!$B:$B,$A3,'Coded Passages'!$E:$E,$B3,'Coded Passages'!$H:$H,T$2)</f>
        <v>1</v>
      </c>
      <c r="U3">
        <f>COUNTIFS('Coded Passages'!$B:$B,$A3,'Coded Passages'!$E:$E,$B3,'Coded Passages'!$H:$H,U$2)</f>
        <v>0</v>
      </c>
      <c r="V3">
        <f>COUNTIFS('Coded Passages'!$B:$B,$A3,'Coded Passages'!$E:$E,$B3,'Coded Passages'!$H:$H,V$2)</f>
        <v>0</v>
      </c>
      <c r="W3">
        <f>COUNTIFS('Coded Passages'!$B:$B,$A3,'Coded Passages'!$E:$E,$B3,'Coded Passages'!$H:$H,W$2)</f>
        <v>0</v>
      </c>
      <c r="X3">
        <f>COUNTIFS('Coded Passages'!$B:$B,$A3,'Coded Passages'!$E:$E,$B3,'Coded Passages'!$H:$H,X$2)</f>
        <v>1</v>
      </c>
      <c r="Y3">
        <f>COUNTIFS('Coded Passages'!$B:$B,$A3,'Coded Passages'!$E:$E,$B3,'Coded Passages'!$H:$H,Y$2)</f>
        <v>1</v>
      </c>
      <c r="Z3">
        <f>COUNTIFS('Coded Passages'!$B:$B,$A3,'Coded Passages'!$E:$E,$B3,'Coded Passages'!$H:$H,Z$2)</f>
        <v>0</v>
      </c>
      <c r="AA3">
        <f>COUNTIFS('Coded Passages'!$B:$B,$A3,'Coded Passages'!$E:$E,$B3,'Coded Passages'!$H:$H,AA$2)</f>
        <v>1</v>
      </c>
      <c r="AB3">
        <f>COUNTIFS('Coded Passages'!$B:$B,$A3,'Coded Passages'!$E:$E,$B3,'Coded Passages'!$H:$H,AB$2)</f>
        <v>1</v>
      </c>
      <c r="AC3">
        <f>COUNTIFS('Coded Passages'!$B:$B,$A3,'Coded Passages'!$E:$E,$B3,'Coded Passages'!$H:$H,AC$2)</f>
        <v>1</v>
      </c>
      <c r="AD3">
        <f>COUNTIFS('Coded Passages'!$B:$B,$A3,'Coded Passages'!$E:$E,$B3,'Coded Passages'!$H:$H,AD$2)</f>
        <v>0</v>
      </c>
      <c r="AE3">
        <f>COUNTIFS('Coded Passages'!$B:$B,$A3,'Coded Passages'!$E:$E,$B3,'Coded Passages'!$H:$H,AE$2)</f>
        <v>1</v>
      </c>
      <c r="AF3">
        <f>COUNTIFS('Coded Passages'!$B:$B,$A3,'Coded Passages'!$E:$E,$B3,'Coded Passages'!$H:$H,AF$2)</f>
        <v>0</v>
      </c>
      <c r="AG3">
        <f>COUNTIFS('Coded Passages'!$B:$B,$A3,'Coded Passages'!$E:$E,$B3,'Coded Passages'!$H:$H,AG$2)</f>
        <v>0</v>
      </c>
      <c r="AH3">
        <f>COUNTIFS('Coded Passages'!$B:$B,$A3,'Coded Passages'!$E:$E,$B3,'Coded Passages'!$H:$H,AH$2)</f>
        <v>1</v>
      </c>
      <c r="AI3">
        <f>COUNTIFS('Coded Passages'!$B:$B,$A3,'Coded Passages'!$E:$E,$B3,'Coded Passages'!$H:$H,AI$2)</f>
        <v>2</v>
      </c>
      <c r="AJ3">
        <f>COUNTIFS('Coded Passages'!$B:$B,$A3,'Coded Passages'!$E:$E,$B3,'Coded Passages'!$H:$H,AJ$2)</f>
        <v>1</v>
      </c>
      <c r="AK3">
        <f>COUNTIFS('Coded Passages'!$B:$B,$A3,'Coded Passages'!$E:$E,$B3,'Coded Passages'!$H:$H,AK$2)</f>
        <v>0</v>
      </c>
      <c r="AL3">
        <f>COUNTIFS('Coded Passages'!$B:$B,$A3,'Coded Passages'!$E:$E,$B3,'Coded Passages'!$H:$H,AL$2)</f>
        <v>1</v>
      </c>
      <c r="AM3">
        <f>COUNTIFS('Coded Passages'!$B:$B,$A3,'Coded Passages'!$E:$E,$B3,'Coded Passages'!$H:$H,AM$2)</f>
        <v>0</v>
      </c>
      <c r="AN3">
        <f>COUNTIFS('Coded Passages'!$B:$B,$A3,'Coded Passages'!$E:$E,$B3,'Coded Passages'!$H:$H,AN$2)</f>
        <v>2</v>
      </c>
      <c r="AO3">
        <f>COUNTIFS('Coded Passages'!$B:$B,$A3,'Coded Passages'!$E:$E,$B3,'Coded Passages'!$H:$H,AO$2)</f>
        <v>1</v>
      </c>
      <c r="AP3">
        <f>COUNTIFS('Coded Passages'!$B:$B,$A3,'Coded Passages'!$E:$E,$B3,'Coded Passages'!$H:$H,AP$2)</f>
        <v>1</v>
      </c>
      <c r="AQ3">
        <f>COUNTIFS('Coded Passages'!$B:$B,$A3,'Coded Passages'!$E:$E,$B3,'Coded Passages'!$H:$H,AQ$2)</f>
        <v>2</v>
      </c>
      <c r="AR3">
        <f>COUNTIFS('Coded Passages'!$B:$B,$A3,'Coded Passages'!$E:$E,$B3,'Coded Passages'!$H:$H,AR$2)</f>
        <v>2</v>
      </c>
      <c r="AS3">
        <f>COUNTIFS('Coded Passages'!$B:$B,$A3,'Coded Passages'!$E:$E,$B3,'Coded Passages'!$H:$H,AS$2)</f>
        <v>1</v>
      </c>
      <c r="AT3">
        <f>COUNTIFS('Coded Passages'!$B:$B,$A3,'Coded Passages'!$E:$E,$B3,'Coded Passages'!$H:$H,AT$2)</f>
        <v>1</v>
      </c>
      <c r="AU3">
        <f>COUNTIFS('Coded Passages'!$B:$B,$A3,'Coded Passages'!$E:$E,$B3,'Coded Passages'!$H:$H,AU$2)</f>
        <v>1</v>
      </c>
      <c r="AV3">
        <f>COUNTIFS('Coded Passages'!$B:$B,$A3,'Coded Passages'!$E:$E,$B3,'Coded Passages'!$H:$H,AV$2)</f>
        <v>1</v>
      </c>
      <c r="AW3">
        <f>COUNTIFS('Coded Passages'!$B:$B,$A3,'Coded Passages'!$E:$E,$B3,'Coded Passages'!$H:$H,AW$2)</f>
        <v>0</v>
      </c>
      <c r="AX3">
        <f>COUNTIFS('Coded Passages'!$B:$B,$A3,'Coded Passages'!$E:$E,$B3,'Coded Passages'!$H:$H,AX$2)</f>
        <v>0</v>
      </c>
      <c r="AY3">
        <f>COUNTIFS('Coded Passages'!$B:$B,$A3,'Coded Passages'!$E:$E,$B3,'Coded Passages'!$H:$H,AY$2)</f>
        <v>0</v>
      </c>
      <c r="AZ3">
        <f>COUNTIFS('Coded Passages'!$B:$B,$A3,'Coded Passages'!$E:$E,$B3,'Coded Passages'!$H:$H,AZ$2)</f>
        <v>1</v>
      </c>
      <c r="BA3">
        <f>COUNTIFS('Coded Passages'!$B:$B,$A3,'Coded Passages'!$E:$E,$B3,'Coded Passages'!$H:$H,BA$2)</f>
        <v>0</v>
      </c>
      <c r="BB3">
        <f>COUNTIFS('Coded Passages'!$B:$B,$A3,'Coded Passages'!$E:$E,$B3,'Coded Passages'!$H:$H,BB$2)</f>
        <v>0</v>
      </c>
      <c r="BC3">
        <f>COUNTIFS('Coded Passages'!$B:$B,$A3,'Coded Passages'!$E:$E,$B3,'Coded Passages'!$H:$H,BC$2)</f>
        <v>0</v>
      </c>
      <c r="BD3">
        <f>COUNTIFS('Coded Passages'!$B:$B,$A3,'Coded Passages'!$E:$E,$B3,'Coded Passages'!$H:$H,BD$2)</f>
        <v>0</v>
      </c>
      <c r="BE3">
        <f>COUNTIFS('Coded Passages'!$B:$B,$A3,'Coded Passages'!$E:$E,$B3,'Coded Passages'!$H:$H,BE$2)</f>
        <v>0</v>
      </c>
      <c r="BF3">
        <f>COUNTIFS('Coded Passages'!$B:$B,$A3,'Coded Passages'!$E:$E,$B3,'Coded Passages'!$H:$H,BF$2)</f>
        <v>0</v>
      </c>
      <c r="BG3">
        <f>COUNTIFS('Coded Passages'!$B:$B,$A3,'Coded Passages'!$E:$E,$B3,'Coded Passages'!$H:$H,BG$2)</f>
        <v>0</v>
      </c>
      <c r="BH3">
        <f>COUNTIFS('Coded Passages'!$B:$B,$A3,'Coded Passages'!$E:$E,$B3,'Coded Passages'!$H:$H,BH$2)</f>
        <v>0</v>
      </c>
      <c r="BI3">
        <f>COUNTIFS('Coded Passages'!$B:$B,$A3,'Coded Passages'!$E:$E,$B3,'Coded Passages'!$H:$H,BI$2)</f>
        <v>1</v>
      </c>
      <c r="BJ3">
        <f>COUNTIFS('Coded Passages'!$B:$B,$A3,'Coded Passages'!$E:$E,$B3,'Coded Passages'!$H:$H,BJ$2)</f>
        <v>1</v>
      </c>
      <c r="BK3">
        <f>COUNTIFS('Coded Passages'!$B:$B,$A3,'Coded Passages'!$E:$E,$B3,'Coded Passages'!$H:$H,BK$2)</f>
        <v>1</v>
      </c>
      <c r="BL3">
        <f>COUNTIFS('Coded Passages'!$B:$B,$A3,'Coded Passages'!$E:$E,$B3,'Coded Passages'!$H:$H,BL$2)</f>
        <v>1</v>
      </c>
      <c r="BM3">
        <f>COUNTIFS('Coded Passages'!$B:$B,$A3,'Coded Passages'!$E:$E,$B3,'Coded Passages'!$H:$H,BM$2)</f>
        <v>3</v>
      </c>
      <c r="BN3">
        <f>COUNTIFS('Coded Passages'!$B:$B,$A3,'Coded Passages'!$E:$E,$B3,'Coded Passages'!$H:$H,BN$2)</f>
        <v>0</v>
      </c>
      <c r="BO3">
        <f>COUNTIFS('Coded Passages'!$B:$B,$A3,'Coded Passages'!$E:$E,$B3,'Coded Passages'!$H:$H,BO$2)</f>
        <v>0</v>
      </c>
      <c r="BP3">
        <f>COUNTIFS('Coded Passages'!$B:$B,$A3,'Coded Passages'!$E:$E,$B3,'Coded Passages'!$H:$H,BP$2)</f>
        <v>0</v>
      </c>
      <c r="BQ3">
        <f>COUNTIFS('Coded Passages'!$B:$B,$A3,'Coded Passages'!$E:$E,$B3,'Coded Passages'!$H:$H,BQ$2)</f>
        <v>1</v>
      </c>
      <c r="BR3">
        <f>COUNTIFS('Coded Passages'!$B:$B,$A3,'Coded Passages'!$E:$E,$B3,'Coded Passages'!$H:$H,BR$2)</f>
        <v>0</v>
      </c>
      <c r="BS3">
        <f>COUNTIFS('Coded Passages'!$B:$B,$A3,'Coded Passages'!$E:$E,$B3,'Coded Passages'!$H:$H,BS$2)</f>
        <v>0</v>
      </c>
      <c r="BT3">
        <f>COUNTIFS('Coded Passages'!$B:$B,$A3,'Coded Passages'!$E:$E,$B3,'Coded Passages'!$H:$H,BT$2)</f>
        <v>2</v>
      </c>
      <c r="BU3">
        <f>COUNTIFS('Coded Passages'!$B:$B,$A3,'Coded Passages'!$E:$E,$B3,'Coded Passages'!$H:$H,BU$2)</f>
        <v>0</v>
      </c>
      <c r="BV3">
        <f>COUNTIFS('Coded Passages'!$B:$B,$A3,'Coded Passages'!$E:$E,$B3,'Coded Passages'!$H:$H,BV$2)</f>
        <v>1</v>
      </c>
      <c r="BW3">
        <f>COUNTIFS('Coded Passages'!$B:$B,$A3,'Coded Passages'!$E:$E,$B3,'Coded Passages'!$H:$H,BW$2)</f>
        <v>0</v>
      </c>
      <c r="BX3">
        <f>COUNTIFS('Coded Passages'!$B:$B,$A3,'Coded Passages'!$E:$E,$B3,'Coded Passages'!$H:$H,BX$2)</f>
        <v>1</v>
      </c>
      <c r="BY3">
        <f>COUNTIFS('Coded Passages'!$B:$B,$A3,'Coded Passages'!$E:$E,$B3,'Coded Passages'!$H:$H,BY$2)</f>
        <v>0</v>
      </c>
      <c r="BZ3">
        <f>COUNTIFS('Coded Passages'!$B:$B,$A3,'Coded Passages'!$E:$E,$B3,'Coded Passages'!$H:$H,BZ$2)</f>
        <v>1</v>
      </c>
      <c r="CA3">
        <f>COUNTIFS('Coded Passages'!$B:$B,$A3,'Coded Passages'!$E:$E,$B3,'Coded Passages'!$H:$H,CA$2)</f>
        <v>0</v>
      </c>
      <c r="CB3">
        <f>COUNTIFS('Coded Passages'!$B:$B,$A3,'Coded Passages'!$E:$E,$B3,'Coded Passages'!$H:$H,CB$2)</f>
        <v>1</v>
      </c>
      <c r="CC3">
        <f>COUNTIFS('Coded Passages'!$B:$B,$A3,'Coded Passages'!$E:$E,$B3,'Coded Passages'!$H:$H,CC$2)</f>
        <v>0</v>
      </c>
      <c r="CD3">
        <f>COUNTIFS('Coded Passages'!$B:$B,$A3,'Coded Passages'!$E:$E,$B3,'Coded Passages'!$H:$H,CD$2)</f>
        <v>0</v>
      </c>
      <c r="CE3">
        <f>COUNTIFS('Coded Passages'!$B:$B,$A3,'Coded Passages'!$E:$E,$B3,'Coded Passages'!$H:$H,CE$2)</f>
        <v>0</v>
      </c>
      <c r="CF3">
        <f>COUNTIFS('Coded Passages'!$B:$B,$A3,'Coded Passages'!$E:$E,$B3,'Coded Passages'!$H:$H,CF$2)</f>
        <v>0</v>
      </c>
      <c r="CG3">
        <f>COUNTIFS('Coded Passages'!$B:$B,$A3,'Coded Passages'!$E:$E,$B3,'Coded Passages'!$H:$H,CG$2)</f>
        <v>0</v>
      </c>
      <c r="CH3">
        <f>COUNTIFS('Coded Passages'!$B:$B,$A3,'Coded Passages'!$E:$E,$B3,'Coded Passages'!$H:$H,CH$2)</f>
        <v>0</v>
      </c>
      <c r="CI3">
        <f>COUNTIFS('Coded Passages'!$B:$B,$A3,'Coded Passages'!$E:$E,$B3,'Coded Passages'!$H:$H,CI$2)</f>
        <v>0</v>
      </c>
      <c r="CJ3">
        <f>COUNTIFS('Coded Passages'!$B:$B,$A3,'Coded Passages'!$E:$E,$B3,'Coded Passages'!$H:$H,CJ$2)</f>
        <v>0</v>
      </c>
      <c r="CK3">
        <f>COUNTIFS('Coded Passages'!$B:$B,$A3,'Coded Passages'!$E:$E,$B3,'Coded Passages'!$H:$H,CK$2)</f>
        <v>0</v>
      </c>
      <c r="CL3">
        <f>COUNTIFS('Coded Passages'!$B:$B,$A3,'Coded Passages'!$E:$E,$B3,'Coded Passages'!$H:$H,CL$2)</f>
        <v>1</v>
      </c>
      <c r="CM3">
        <f>COUNTIFS('Coded Passages'!$B:$B,$A3,'Coded Passages'!$E:$E,$B3,'Coded Passages'!$H:$H,CM$2)</f>
        <v>1</v>
      </c>
      <c r="CN3">
        <f>COUNTIFS('Coded Passages'!$B:$B,$A3,'Coded Passages'!$E:$E,$B3,'Coded Passages'!$H:$H,CN$2)</f>
        <v>1</v>
      </c>
      <c r="CO3">
        <f>COUNTIFS('Coded Passages'!$B:$B,$A3,'Coded Passages'!$E:$E,$B3,'Coded Passages'!$H:$H,CO$2)</f>
        <v>1</v>
      </c>
      <c r="CP3">
        <f>COUNTIFS('Coded Passages'!$B:$B,$A3,'Coded Passages'!$E:$E,$B3,'Coded Passages'!$H:$H,CP$2)</f>
        <v>0</v>
      </c>
      <c r="CQ3">
        <f>COUNTIFS('Coded Passages'!$B:$B,$A3,'Coded Passages'!$E:$E,$B3,'Coded Passages'!$H:$H,CQ$2)</f>
        <v>0</v>
      </c>
      <c r="CR3">
        <f>COUNTIFS('Coded Passages'!$B:$B,$A3,'Coded Passages'!$E:$E,$B3,'Coded Passages'!$H:$H,CR$2)</f>
        <v>0</v>
      </c>
      <c r="CS3">
        <f>COUNTIFS('Coded Passages'!$B:$B,$A3,'Coded Passages'!$E:$E,$B3,'Coded Passages'!$H:$H,CS$2)</f>
        <v>0</v>
      </c>
      <c r="CT3">
        <f>COUNTIFS('Coded Passages'!$B:$B,$A3,'Coded Passages'!$E:$E,$B3,'Coded Passages'!$H:$H,CT$2)</f>
        <v>2</v>
      </c>
      <c r="CU3">
        <f>COUNTIFS('Coded Passages'!$B:$B,$A3,'Coded Passages'!$E:$E,$B3,'Coded Passages'!$H:$H,CU$2)</f>
        <v>1</v>
      </c>
      <c r="CV3">
        <f>COUNTIFS('Coded Passages'!$B:$B,$A3,'Coded Passages'!$E:$E,$B3,'Coded Passages'!$H:$H,CV$2)</f>
        <v>1</v>
      </c>
      <c r="CW3">
        <f>COUNTIFS('Coded Passages'!$B:$B,$A3,'Coded Passages'!$E:$E,$B3,'Coded Passages'!$H:$H,CW$2)</f>
        <v>0</v>
      </c>
      <c r="CX3">
        <f>COUNTIFS('Coded Passages'!$B:$B,$A3,'Coded Passages'!$E:$E,$B3,'Coded Passages'!$H:$H,CX$2)</f>
        <v>0</v>
      </c>
      <c r="CY3">
        <f>COUNTIFS('Coded Passages'!$B:$B,$A3,'Coded Passages'!$E:$E,$B3,'Coded Passages'!$H:$H,CY$2)</f>
        <v>1</v>
      </c>
      <c r="CZ3">
        <f>COUNTIFS('Coded Passages'!$B:$B,$A3,'Coded Passages'!$E:$E,$B3,'Coded Passages'!$H:$H,CZ$2)</f>
        <v>2</v>
      </c>
      <c r="DA3">
        <f>COUNTIFS('Coded Passages'!$B:$B,$A3,'Coded Passages'!$E:$E,$B3,'Coded Passages'!$H:$H,DA$2)</f>
        <v>0</v>
      </c>
      <c r="DB3">
        <f>COUNTIFS('Coded Passages'!$B:$B,$A3,'Coded Passages'!$E:$E,$B3,'Coded Passages'!$H:$H,DB$2)</f>
        <v>0</v>
      </c>
      <c r="DC3">
        <f>COUNTIFS('Coded Passages'!$B:$B,$A3,'Coded Passages'!$E:$E,$B3,'Coded Passages'!$H:$H,DC$2)</f>
        <v>0</v>
      </c>
      <c r="DD3">
        <f>COUNTIFS('Coded Passages'!$B:$B,$A3,'Coded Passages'!$E:$E,$B3,'Coded Passages'!$H:$H,DD$2)</f>
        <v>1</v>
      </c>
      <c r="DE3">
        <f>COUNTIFS('Coded Passages'!$B:$B,$A3,'Coded Passages'!$E:$E,$B3,'Coded Passages'!$H:$H,DE$2)</f>
        <v>2</v>
      </c>
      <c r="DF3">
        <f>COUNTIFS('Coded Passages'!$B:$B,$A3,'Coded Passages'!$E:$E,$B3,'Coded Passages'!$H:$H,DF$2)</f>
        <v>0</v>
      </c>
      <c r="DG3">
        <f>COUNTIFS('Coded Passages'!$B:$B,$A3,'Coded Passages'!$E:$E,$B3,'Coded Passages'!$H:$H,DG$2)</f>
        <v>2</v>
      </c>
      <c r="DH3">
        <f>COUNTIFS('Coded Passages'!$B:$B,$A3,'Coded Passages'!$E:$E,$B3,'Coded Passages'!$H:$H,DH$2)</f>
        <v>1</v>
      </c>
      <c r="DI3">
        <f>COUNTIFS('Coded Passages'!$B:$B,$A3,'Coded Passages'!$E:$E,$B3,'Coded Passages'!$H:$H,DI$2)</f>
        <v>2</v>
      </c>
      <c r="DJ3">
        <f>COUNTIFS('Coded Passages'!$B:$B,$A3,'Coded Passages'!$E:$E,$B3,'Coded Passages'!$H:$H,DJ$2)</f>
        <v>1</v>
      </c>
      <c r="DK3">
        <f>COUNTIFS('Coded Passages'!$B:$B,$A3,'Coded Passages'!$E:$E,$B3,'Coded Passages'!$H:$H,DK$2)</f>
        <v>1</v>
      </c>
      <c r="DL3">
        <f>COUNTIFS('Coded Passages'!$B:$B,$A3,'Coded Passages'!$E:$E,$B3,'Coded Passages'!$H:$H,DL$2)</f>
        <v>2</v>
      </c>
      <c r="DM3">
        <f>COUNTIFS('Coded Passages'!$B:$B,$A3,'Coded Passages'!$E:$E,$B3,'Coded Passages'!$H:$H,DM$2)</f>
        <v>2</v>
      </c>
      <c r="DN3">
        <f>COUNTIFS('Coded Passages'!$B:$B,$A3,'Coded Passages'!$E:$E,$B3,'Coded Passages'!$H:$H,DN$2)</f>
        <v>2</v>
      </c>
      <c r="DO3">
        <f>COUNTIFS('Coded Passages'!$B:$B,$A3,'Coded Passages'!$E:$E,$B3,'Coded Passages'!$H:$H,DO$2)</f>
        <v>1</v>
      </c>
      <c r="DP3">
        <f>COUNTIFS('Coded Passages'!$B:$B,$A3,'Coded Passages'!$E:$E,$B3,'Coded Passages'!$H:$H,DP$2)</f>
        <v>2</v>
      </c>
      <c r="DQ3">
        <f>COUNTIFS('Coded Passages'!$B:$B,$A3,'Coded Passages'!$E:$E,$B3,'Coded Passages'!$H:$H,DQ$2)</f>
        <v>1</v>
      </c>
      <c r="DR3">
        <f>COUNTIFS('Coded Passages'!$B:$B,$A3,'Coded Passages'!$E:$E,$B3,'Coded Passages'!$H:$H,DR$2)</f>
        <v>1</v>
      </c>
      <c r="DS3">
        <f>COUNTIFS('Coded Passages'!$B:$B,$A3,'Coded Passages'!$E:$E,$B3,'Coded Passages'!$H:$H,DS$2)</f>
        <v>2</v>
      </c>
      <c r="DT3">
        <f>COUNTIFS('Coded Passages'!$B:$B,$A3,'Coded Passages'!$E:$E,$B3,'Coded Passages'!$H:$H,DT$2)</f>
        <v>1</v>
      </c>
      <c r="DU3">
        <f>COUNTIFS('Coded Passages'!$B:$B,$A3,'Coded Passages'!$E:$E,$B3,'Coded Passages'!$H:$H,DU$2)</f>
        <v>0</v>
      </c>
      <c r="DV3">
        <f>COUNTIFS('Coded Passages'!$B:$B,$A3,'Coded Passages'!$E:$E,$B3,'Coded Passages'!$H:$H,DV$2)</f>
        <v>0</v>
      </c>
      <c r="DW3">
        <f>COUNTIFS('Coded Passages'!$B:$B,$A3,'Coded Passages'!$E:$E,$B3,'Coded Passages'!$H:$H,DW$2)</f>
        <v>1</v>
      </c>
      <c r="DX3">
        <f>COUNTIFS('Coded Passages'!$B:$B,$A3,'Coded Passages'!$E:$E,$B3,'Coded Passages'!$H:$H,DX$2)</f>
        <v>0</v>
      </c>
      <c r="DY3">
        <f>COUNTIFS('Coded Passages'!$B:$B,$A3,'Coded Passages'!$E:$E,$B3,'Coded Passages'!$H:$H,DY$2)</f>
        <v>2</v>
      </c>
      <c r="DZ3">
        <f>COUNTIFS('Coded Passages'!$B:$B,$A3,'Coded Passages'!$E:$E,$B3,'Coded Passages'!$H:$H,DZ$2)</f>
        <v>0</v>
      </c>
      <c r="EA3">
        <f>COUNTIFS('Coded Passages'!$B:$B,$A3,'Coded Passages'!$E:$E,$B3,'Coded Passages'!$H:$H,EA$2)</f>
        <v>2</v>
      </c>
      <c r="EB3">
        <f>COUNTIFS('Coded Passages'!$B:$B,$A3,'Coded Passages'!$E:$E,$B3,'Coded Passages'!$H:$H,EB$2)</f>
        <v>0</v>
      </c>
      <c r="EC3">
        <f>COUNTIFS('Coded Passages'!$B:$B,$A3,'Coded Passages'!$E:$E,$B3,'Coded Passages'!$H:$H,EC$2)</f>
        <v>2</v>
      </c>
      <c r="ED3">
        <f>COUNTIFS('Coded Passages'!$B:$B,$A3,'Coded Passages'!$E:$E,$B3,'Coded Passages'!$H:$H,ED$2)</f>
        <v>0</v>
      </c>
      <c r="EE3">
        <f>COUNTIFS('Coded Passages'!$B:$B,$A3,'Coded Passages'!$E:$E,$B3,'Coded Passages'!$H:$H,EE$2)</f>
        <v>1</v>
      </c>
      <c r="EF3">
        <f>COUNTIFS('Coded Passages'!$B:$B,$A3,'Coded Passages'!$E:$E,$B3,'Coded Passages'!$H:$H,EF$2)</f>
        <v>0</v>
      </c>
      <c r="EG3">
        <f>COUNTIFS('Coded Passages'!$B:$B,$A3,'Coded Passages'!$E:$E,$B3,'Coded Passages'!$H:$H,EG$2)</f>
        <v>0</v>
      </c>
      <c r="EH3">
        <f>COUNTIFS('Coded Passages'!$B:$B,$A3,'Coded Passages'!$E:$E,$B3,'Coded Passages'!$H:$H,EH$2)</f>
        <v>0</v>
      </c>
      <c r="EI3">
        <f>COUNTIFS('Coded Passages'!$B:$B,$A3,'Coded Passages'!$E:$E,$B3,'Coded Passages'!$H:$H,EI$2)</f>
        <v>0</v>
      </c>
      <c r="EJ3">
        <f>COUNTIFS('Coded Passages'!$B:$B,$A3,'Coded Passages'!$E:$E,$B3,'Coded Passages'!$H:$H,EJ$2)</f>
        <v>0</v>
      </c>
      <c r="EK3">
        <f>COUNTIFS('Coded Passages'!$B:$B,$A3,'Coded Passages'!$E:$E,$B3,'Coded Passages'!$H:$H,EK$2)</f>
        <v>1</v>
      </c>
      <c r="EL3">
        <f>COUNTIFS('Coded Passages'!$B:$B,$A3,'Coded Passages'!$E:$E,$B3,'Coded Passages'!$H:$H,EL$2)</f>
        <v>1</v>
      </c>
      <c r="EM3">
        <f>COUNTIFS('Coded Passages'!$B:$B,$A3,'Coded Passages'!$E:$E,$B3,'Coded Passages'!$H:$H,EM$2)</f>
        <v>1</v>
      </c>
      <c r="EN3">
        <f>COUNTIFS('Coded Passages'!$B:$B,$A3,'Coded Passages'!$E:$E,$B3,'Coded Passages'!$H:$H,EN$2)</f>
        <v>1</v>
      </c>
      <c r="EO3">
        <f>COUNTIFS('Coded Passages'!$B:$B,$A3,'Coded Passages'!$E:$E,$B3,'Coded Passages'!$H:$H,EO$2)</f>
        <v>1</v>
      </c>
      <c r="EP3">
        <f>COUNTIFS('Coded Passages'!$B:$B,$A3,'Coded Passages'!$E:$E,$B3,'Coded Passages'!$H:$H,EP$2)</f>
        <v>0</v>
      </c>
      <c r="EQ3">
        <f>COUNTIFS('Coded Passages'!$B:$B,$A3,'Coded Passages'!$E:$E,$B3,'Coded Passages'!$H:$H,EQ$2)</f>
        <v>1</v>
      </c>
      <c r="ER3">
        <f>COUNTIFS('Coded Passages'!$B:$B,$A3,'Coded Passages'!$E:$E,$B3,'Coded Passages'!$H:$H,ER$2)</f>
        <v>0</v>
      </c>
      <c r="ES3">
        <f>COUNTIFS('Coded Passages'!$B:$B,$A3,'Coded Passages'!$E:$E,$B3,'Coded Passages'!$H:$H,ES$2)</f>
        <v>0</v>
      </c>
      <c r="ET3">
        <f>COUNTIFS('Coded Passages'!$B:$B,$A3,'Coded Passages'!$E:$E,$B3,'Coded Passages'!$H:$H,ET$2)</f>
        <v>0</v>
      </c>
      <c r="EU3">
        <f>COUNTIFS('Coded Passages'!$B:$B,$A3,'Coded Passages'!$E:$E,$B3,'Coded Passages'!$H:$H,EU$2)</f>
        <v>0</v>
      </c>
      <c r="EV3">
        <f>COUNTIFS('Coded Passages'!$B:$B,$A3,'Coded Passages'!$E:$E,$B3,'Coded Passages'!$H:$H,EV$2)</f>
        <v>1</v>
      </c>
      <c r="EW3">
        <f>COUNTIFS('Coded Passages'!$B:$B,$A3,'Coded Passages'!$E:$E,$B3,'Coded Passages'!$H:$H,EW$2)</f>
        <v>1</v>
      </c>
      <c r="EX3">
        <f>COUNTIFS('Coded Passages'!$B:$B,$A3,'Coded Passages'!$E:$E,$B3,'Coded Passages'!$H:$H,EX$2)</f>
        <v>0</v>
      </c>
      <c r="EY3">
        <f>COUNTIFS('Coded Passages'!$B:$B,$A3,'Coded Passages'!$E:$E,$B3,'Coded Passages'!$H:$H,EY$2)</f>
        <v>2</v>
      </c>
      <c r="EZ3">
        <f>COUNTIFS('Coded Passages'!$B:$B,$A3,'Coded Passages'!$E:$E,$B3,'Coded Passages'!$H:$H,EZ$2)</f>
        <v>2</v>
      </c>
      <c r="FA3">
        <f>COUNTIFS('Coded Passages'!$B:$B,$A3,'Coded Passages'!$E:$E,$B3,'Coded Passages'!$H:$H,FA$2)</f>
        <v>0</v>
      </c>
      <c r="FB3">
        <f>COUNTIFS('Coded Passages'!$B:$B,$A3,'Coded Passages'!$E:$E,$B3,'Coded Passages'!$H:$H,FB$2)</f>
        <v>4</v>
      </c>
      <c r="FC3">
        <f>COUNTIFS('Coded Passages'!$B:$B,$A3,'Coded Passages'!$E:$E,$B3,'Coded Passages'!$H:$H,FC$2)</f>
        <v>0</v>
      </c>
      <c r="FD3">
        <f>COUNTIFS('Coded Passages'!$B:$B,$A3,'Coded Passages'!$E:$E,$B3,'Coded Passages'!$H:$H,FD$2)</f>
        <v>0</v>
      </c>
      <c r="FE3">
        <f>COUNTIFS('Coded Passages'!$B:$B,$A3,'Coded Passages'!$E:$E,$B3,'Coded Passages'!$H:$H,FE$2)</f>
        <v>0</v>
      </c>
      <c r="FF3">
        <f>COUNTIFS('Coded Passages'!$B:$B,$A3,'Coded Passages'!$E:$E,$B3,'Coded Passages'!$H:$H,FF$2)</f>
        <v>0</v>
      </c>
      <c r="FG3">
        <f>COUNTIFS('Coded Passages'!$B:$B,$A3,'Coded Passages'!$E:$E,$B3,'Coded Passages'!$H:$H,FG$2)</f>
        <v>1</v>
      </c>
      <c r="FH3">
        <f>COUNTIFS('Coded Passages'!$B:$B,$A3,'Coded Passages'!$E:$E,$B3,'Coded Passages'!$H:$H,FH$2)</f>
        <v>1</v>
      </c>
      <c r="FI3">
        <f>COUNTIFS('Coded Passages'!$B:$B,$A3,'Coded Passages'!$E:$E,$B3,'Coded Passages'!$H:$H,FI$2)</f>
        <v>0</v>
      </c>
      <c r="FJ3">
        <f>COUNTIFS('Coded Passages'!$B:$B,$A3,'Coded Passages'!$E:$E,$B3,'Coded Passages'!$H:$H,FJ$2)</f>
        <v>0</v>
      </c>
      <c r="FK3">
        <f>COUNTIFS('Coded Passages'!$B:$B,$A3,'Coded Passages'!$E:$E,$B3,'Coded Passages'!$H:$H,FK$2)</f>
        <v>1</v>
      </c>
      <c r="FL3">
        <f>COUNTIFS('Coded Passages'!$B:$B,$A3,'Coded Passages'!$E:$E,$B3,'Coded Passages'!$H:$H,FL$2)</f>
        <v>0</v>
      </c>
      <c r="FM3">
        <f>COUNTIFS('Coded Passages'!$B:$B,$A3,'Coded Passages'!$E:$E,$B3,'Coded Passages'!$H:$H,FM$2)</f>
        <v>0</v>
      </c>
      <c r="FN3">
        <f>COUNTIFS('Coded Passages'!$B:$B,$A3,'Coded Passages'!$E:$E,$B3,'Coded Passages'!$H:$H,FN$2)</f>
        <v>0</v>
      </c>
      <c r="FO3">
        <f>COUNTIFS('Coded Passages'!$B:$B,$A3,'Coded Passages'!$E:$E,$B3,'Coded Passages'!$H:$H,FO$2)</f>
        <v>1</v>
      </c>
      <c r="FP3">
        <f t="shared" ref="FP3:FP16" si="0">SUM(C3:FO3)</f>
        <v>116</v>
      </c>
    </row>
    <row r="4" spans="1:172" x14ac:dyDescent="0.45">
      <c r="A4" s="12" t="s">
        <v>31</v>
      </c>
      <c r="B4" s="16" t="s">
        <v>32</v>
      </c>
      <c r="C4">
        <f>COUNTIFS('Coded Passages'!$B:$B,$A4,'Coded Passages'!$E:$E,$B4,'Coded Passages'!$H:$H,C$2)</f>
        <v>0</v>
      </c>
      <c r="D4">
        <f>COUNTIFS('Coded Passages'!$B:$B,$A4,'Coded Passages'!$E:$E,$B4,'Coded Passages'!$H:$H,D$2)</f>
        <v>1</v>
      </c>
      <c r="E4">
        <f>COUNTIFS('Coded Passages'!$B:$B,$A4,'Coded Passages'!$E:$E,$B4,'Coded Passages'!$H:$H,E$2)</f>
        <v>1</v>
      </c>
      <c r="F4">
        <f>COUNTIFS('Coded Passages'!$B:$B,$A4,'Coded Passages'!$E:$E,$B4,'Coded Passages'!$H:$H,F$2)</f>
        <v>1</v>
      </c>
      <c r="G4">
        <f>COUNTIFS('Coded Passages'!$B:$B,$A4,'Coded Passages'!$E:$E,$B4,'Coded Passages'!$H:$H,G$2)</f>
        <v>0</v>
      </c>
      <c r="H4">
        <f>COUNTIFS('Coded Passages'!$B:$B,$A4,'Coded Passages'!$E:$E,$B4,'Coded Passages'!$H:$H,H$2)</f>
        <v>1</v>
      </c>
      <c r="I4">
        <f>COUNTIFS('Coded Passages'!$B:$B,$A4,'Coded Passages'!$E:$E,$B4,'Coded Passages'!$H:$H,I$2)</f>
        <v>0</v>
      </c>
      <c r="J4">
        <f>COUNTIFS('Coded Passages'!$B:$B,$A4,'Coded Passages'!$E:$E,$B4,'Coded Passages'!$H:$H,J$2)</f>
        <v>0</v>
      </c>
      <c r="K4">
        <f>COUNTIFS('Coded Passages'!$B:$B,$A4,'Coded Passages'!$E:$E,$B4,'Coded Passages'!$H:$H,K$2)</f>
        <v>0</v>
      </c>
      <c r="L4">
        <f>COUNTIFS('Coded Passages'!$B:$B,$A4,'Coded Passages'!$E:$E,$B4,'Coded Passages'!$H:$H,L$2)</f>
        <v>0</v>
      </c>
      <c r="M4">
        <f>COUNTIFS('Coded Passages'!$B:$B,$A4,'Coded Passages'!$E:$E,$B4,'Coded Passages'!$H:$H,M$2)</f>
        <v>0</v>
      </c>
      <c r="N4">
        <f>COUNTIFS('Coded Passages'!$B:$B,$A4,'Coded Passages'!$E:$E,$B4,'Coded Passages'!$H:$H,N$2)</f>
        <v>1</v>
      </c>
      <c r="O4">
        <f>COUNTIFS('Coded Passages'!$B:$B,$A4,'Coded Passages'!$E:$E,$B4,'Coded Passages'!$H:$H,O$2)</f>
        <v>0</v>
      </c>
      <c r="P4">
        <f>COUNTIFS('Coded Passages'!$B:$B,$A4,'Coded Passages'!$E:$E,$B4,'Coded Passages'!$H:$H,P$2)</f>
        <v>1</v>
      </c>
      <c r="Q4">
        <f>COUNTIFS('Coded Passages'!$B:$B,$A4,'Coded Passages'!$E:$E,$B4,'Coded Passages'!$H:$H,Q$2)</f>
        <v>1</v>
      </c>
      <c r="R4">
        <f>COUNTIFS('Coded Passages'!$B:$B,$A4,'Coded Passages'!$E:$E,$B4,'Coded Passages'!$H:$H,R$2)</f>
        <v>1</v>
      </c>
      <c r="S4">
        <f>COUNTIFS('Coded Passages'!$B:$B,$A4,'Coded Passages'!$E:$E,$B4,'Coded Passages'!$H:$H,S$2)</f>
        <v>1</v>
      </c>
      <c r="T4">
        <f>COUNTIFS('Coded Passages'!$B:$B,$A4,'Coded Passages'!$E:$E,$B4,'Coded Passages'!$H:$H,T$2)</f>
        <v>0</v>
      </c>
      <c r="U4">
        <f>COUNTIFS('Coded Passages'!$B:$B,$A4,'Coded Passages'!$E:$E,$B4,'Coded Passages'!$H:$H,U$2)</f>
        <v>2</v>
      </c>
      <c r="V4">
        <f>COUNTIFS('Coded Passages'!$B:$B,$A4,'Coded Passages'!$E:$E,$B4,'Coded Passages'!$H:$H,V$2)</f>
        <v>1</v>
      </c>
      <c r="W4">
        <f>COUNTIFS('Coded Passages'!$B:$B,$A4,'Coded Passages'!$E:$E,$B4,'Coded Passages'!$H:$H,W$2)</f>
        <v>1</v>
      </c>
      <c r="X4">
        <f>COUNTIFS('Coded Passages'!$B:$B,$A4,'Coded Passages'!$E:$E,$B4,'Coded Passages'!$H:$H,X$2)</f>
        <v>0</v>
      </c>
      <c r="Y4">
        <f>COUNTIFS('Coded Passages'!$B:$B,$A4,'Coded Passages'!$E:$E,$B4,'Coded Passages'!$H:$H,Y$2)</f>
        <v>0</v>
      </c>
      <c r="Z4">
        <f>COUNTIFS('Coded Passages'!$B:$B,$A4,'Coded Passages'!$E:$E,$B4,'Coded Passages'!$H:$H,Z$2)</f>
        <v>1</v>
      </c>
      <c r="AA4">
        <f>COUNTIFS('Coded Passages'!$B:$B,$A4,'Coded Passages'!$E:$E,$B4,'Coded Passages'!$H:$H,AA$2)</f>
        <v>1</v>
      </c>
      <c r="AB4">
        <f>COUNTIFS('Coded Passages'!$B:$B,$A4,'Coded Passages'!$E:$E,$B4,'Coded Passages'!$H:$H,AB$2)</f>
        <v>0</v>
      </c>
      <c r="AC4">
        <f>COUNTIFS('Coded Passages'!$B:$B,$A4,'Coded Passages'!$E:$E,$B4,'Coded Passages'!$H:$H,AC$2)</f>
        <v>1</v>
      </c>
      <c r="AD4">
        <f>COUNTIFS('Coded Passages'!$B:$B,$A4,'Coded Passages'!$E:$E,$B4,'Coded Passages'!$H:$H,AD$2)</f>
        <v>1</v>
      </c>
      <c r="AE4">
        <f>COUNTIFS('Coded Passages'!$B:$B,$A4,'Coded Passages'!$E:$E,$B4,'Coded Passages'!$H:$H,AE$2)</f>
        <v>0</v>
      </c>
      <c r="AF4">
        <f>COUNTIFS('Coded Passages'!$B:$B,$A4,'Coded Passages'!$E:$E,$B4,'Coded Passages'!$H:$H,AF$2)</f>
        <v>1</v>
      </c>
      <c r="AG4">
        <f>COUNTIFS('Coded Passages'!$B:$B,$A4,'Coded Passages'!$E:$E,$B4,'Coded Passages'!$H:$H,AG$2)</f>
        <v>1</v>
      </c>
      <c r="AH4">
        <f>COUNTIFS('Coded Passages'!$B:$B,$A4,'Coded Passages'!$E:$E,$B4,'Coded Passages'!$H:$H,AH$2)</f>
        <v>2</v>
      </c>
      <c r="AI4">
        <f>COUNTIFS('Coded Passages'!$B:$B,$A4,'Coded Passages'!$E:$E,$B4,'Coded Passages'!$H:$H,AI$2)</f>
        <v>0</v>
      </c>
      <c r="AJ4">
        <f>COUNTIFS('Coded Passages'!$B:$B,$A4,'Coded Passages'!$E:$E,$B4,'Coded Passages'!$H:$H,AJ$2)</f>
        <v>0</v>
      </c>
      <c r="AK4">
        <f>COUNTIFS('Coded Passages'!$B:$B,$A4,'Coded Passages'!$E:$E,$B4,'Coded Passages'!$H:$H,AK$2)</f>
        <v>1</v>
      </c>
      <c r="AL4">
        <f>COUNTIFS('Coded Passages'!$B:$B,$A4,'Coded Passages'!$E:$E,$B4,'Coded Passages'!$H:$H,AL$2)</f>
        <v>1</v>
      </c>
      <c r="AM4">
        <f>COUNTIFS('Coded Passages'!$B:$B,$A4,'Coded Passages'!$E:$E,$B4,'Coded Passages'!$H:$H,AM$2)</f>
        <v>0</v>
      </c>
      <c r="AN4">
        <f>COUNTIFS('Coded Passages'!$B:$B,$A4,'Coded Passages'!$E:$E,$B4,'Coded Passages'!$H:$H,AN$2)</f>
        <v>0</v>
      </c>
      <c r="AO4">
        <f>COUNTIFS('Coded Passages'!$B:$B,$A4,'Coded Passages'!$E:$E,$B4,'Coded Passages'!$H:$H,AO$2)</f>
        <v>2</v>
      </c>
      <c r="AP4">
        <f>COUNTIFS('Coded Passages'!$B:$B,$A4,'Coded Passages'!$E:$E,$B4,'Coded Passages'!$H:$H,AP$2)</f>
        <v>0</v>
      </c>
      <c r="AQ4">
        <f>COUNTIFS('Coded Passages'!$B:$B,$A4,'Coded Passages'!$E:$E,$B4,'Coded Passages'!$H:$H,AQ$2)</f>
        <v>1</v>
      </c>
      <c r="AR4">
        <f>COUNTIFS('Coded Passages'!$B:$B,$A4,'Coded Passages'!$E:$E,$B4,'Coded Passages'!$H:$H,AR$2)</f>
        <v>1</v>
      </c>
      <c r="AS4">
        <f>COUNTIFS('Coded Passages'!$B:$B,$A4,'Coded Passages'!$E:$E,$B4,'Coded Passages'!$H:$H,AS$2)</f>
        <v>0</v>
      </c>
      <c r="AT4">
        <f>COUNTIFS('Coded Passages'!$B:$B,$A4,'Coded Passages'!$E:$E,$B4,'Coded Passages'!$H:$H,AT$2)</f>
        <v>1</v>
      </c>
      <c r="AU4">
        <f>COUNTIFS('Coded Passages'!$B:$B,$A4,'Coded Passages'!$E:$E,$B4,'Coded Passages'!$H:$H,AU$2)</f>
        <v>1</v>
      </c>
      <c r="AV4">
        <f>COUNTIFS('Coded Passages'!$B:$B,$A4,'Coded Passages'!$E:$E,$B4,'Coded Passages'!$H:$H,AV$2)</f>
        <v>1</v>
      </c>
      <c r="AW4">
        <f>COUNTIFS('Coded Passages'!$B:$B,$A4,'Coded Passages'!$E:$E,$B4,'Coded Passages'!$H:$H,AW$2)</f>
        <v>0</v>
      </c>
      <c r="AX4">
        <f>COUNTIFS('Coded Passages'!$B:$B,$A4,'Coded Passages'!$E:$E,$B4,'Coded Passages'!$H:$H,AX$2)</f>
        <v>0</v>
      </c>
      <c r="AY4">
        <f>COUNTIFS('Coded Passages'!$B:$B,$A4,'Coded Passages'!$E:$E,$B4,'Coded Passages'!$H:$H,AY$2)</f>
        <v>1</v>
      </c>
      <c r="AZ4">
        <f>COUNTIFS('Coded Passages'!$B:$B,$A4,'Coded Passages'!$E:$E,$B4,'Coded Passages'!$H:$H,AZ$2)</f>
        <v>1</v>
      </c>
      <c r="BA4">
        <f>COUNTIFS('Coded Passages'!$B:$B,$A4,'Coded Passages'!$E:$E,$B4,'Coded Passages'!$H:$H,BA$2)</f>
        <v>1</v>
      </c>
      <c r="BB4">
        <f>COUNTIFS('Coded Passages'!$B:$B,$A4,'Coded Passages'!$E:$E,$B4,'Coded Passages'!$H:$H,BB$2)</f>
        <v>0</v>
      </c>
      <c r="BC4">
        <f>COUNTIFS('Coded Passages'!$B:$B,$A4,'Coded Passages'!$E:$E,$B4,'Coded Passages'!$H:$H,BC$2)</f>
        <v>2</v>
      </c>
      <c r="BD4">
        <f>COUNTIFS('Coded Passages'!$B:$B,$A4,'Coded Passages'!$E:$E,$B4,'Coded Passages'!$H:$H,BD$2)</f>
        <v>1</v>
      </c>
      <c r="BE4">
        <f>COUNTIFS('Coded Passages'!$B:$B,$A4,'Coded Passages'!$E:$E,$B4,'Coded Passages'!$H:$H,BE$2)</f>
        <v>0</v>
      </c>
      <c r="BF4">
        <f>COUNTIFS('Coded Passages'!$B:$B,$A4,'Coded Passages'!$E:$E,$B4,'Coded Passages'!$H:$H,BF$2)</f>
        <v>1</v>
      </c>
      <c r="BG4">
        <f>COUNTIFS('Coded Passages'!$B:$B,$A4,'Coded Passages'!$E:$E,$B4,'Coded Passages'!$H:$H,BG$2)</f>
        <v>1</v>
      </c>
      <c r="BH4">
        <f>COUNTIFS('Coded Passages'!$B:$B,$A4,'Coded Passages'!$E:$E,$B4,'Coded Passages'!$H:$H,BH$2)</f>
        <v>0</v>
      </c>
      <c r="BI4">
        <f>COUNTIFS('Coded Passages'!$B:$B,$A4,'Coded Passages'!$E:$E,$B4,'Coded Passages'!$H:$H,BI$2)</f>
        <v>2</v>
      </c>
      <c r="BJ4">
        <f>COUNTIFS('Coded Passages'!$B:$B,$A4,'Coded Passages'!$E:$E,$B4,'Coded Passages'!$H:$H,BJ$2)</f>
        <v>0</v>
      </c>
      <c r="BK4">
        <f>COUNTIFS('Coded Passages'!$B:$B,$A4,'Coded Passages'!$E:$E,$B4,'Coded Passages'!$H:$H,BK$2)</f>
        <v>1</v>
      </c>
      <c r="BL4">
        <f>COUNTIFS('Coded Passages'!$B:$B,$A4,'Coded Passages'!$E:$E,$B4,'Coded Passages'!$H:$H,BL$2)</f>
        <v>1</v>
      </c>
      <c r="BM4">
        <f>COUNTIFS('Coded Passages'!$B:$B,$A4,'Coded Passages'!$E:$E,$B4,'Coded Passages'!$H:$H,BM$2)</f>
        <v>4</v>
      </c>
      <c r="BN4">
        <f>COUNTIFS('Coded Passages'!$B:$B,$A4,'Coded Passages'!$E:$E,$B4,'Coded Passages'!$H:$H,BN$2)</f>
        <v>0</v>
      </c>
      <c r="BO4">
        <f>COUNTIFS('Coded Passages'!$B:$B,$A4,'Coded Passages'!$E:$E,$B4,'Coded Passages'!$H:$H,BO$2)</f>
        <v>0</v>
      </c>
      <c r="BP4">
        <f>COUNTIFS('Coded Passages'!$B:$B,$A4,'Coded Passages'!$E:$E,$B4,'Coded Passages'!$H:$H,BP$2)</f>
        <v>0</v>
      </c>
      <c r="BQ4">
        <f>COUNTIFS('Coded Passages'!$B:$B,$A4,'Coded Passages'!$E:$E,$B4,'Coded Passages'!$H:$H,BQ$2)</f>
        <v>0</v>
      </c>
      <c r="BR4">
        <f>COUNTIFS('Coded Passages'!$B:$B,$A4,'Coded Passages'!$E:$E,$B4,'Coded Passages'!$H:$H,BR$2)</f>
        <v>0</v>
      </c>
      <c r="BS4">
        <f>COUNTIFS('Coded Passages'!$B:$B,$A4,'Coded Passages'!$E:$E,$B4,'Coded Passages'!$H:$H,BS$2)</f>
        <v>0</v>
      </c>
      <c r="BT4">
        <f>COUNTIFS('Coded Passages'!$B:$B,$A4,'Coded Passages'!$E:$E,$B4,'Coded Passages'!$H:$H,BT$2)</f>
        <v>0</v>
      </c>
      <c r="BU4">
        <f>COUNTIFS('Coded Passages'!$B:$B,$A4,'Coded Passages'!$E:$E,$B4,'Coded Passages'!$H:$H,BU$2)</f>
        <v>0</v>
      </c>
      <c r="BV4">
        <f>COUNTIFS('Coded Passages'!$B:$B,$A4,'Coded Passages'!$E:$E,$B4,'Coded Passages'!$H:$H,BV$2)</f>
        <v>0</v>
      </c>
      <c r="BW4">
        <f>COUNTIFS('Coded Passages'!$B:$B,$A4,'Coded Passages'!$E:$E,$B4,'Coded Passages'!$H:$H,BW$2)</f>
        <v>0</v>
      </c>
      <c r="BX4">
        <f>COUNTIFS('Coded Passages'!$B:$B,$A4,'Coded Passages'!$E:$E,$B4,'Coded Passages'!$H:$H,BX$2)</f>
        <v>0</v>
      </c>
      <c r="BY4">
        <f>COUNTIFS('Coded Passages'!$B:$B,$A4,'Coded Passages'!$E:$E,$B4,'Coded Passages'!$H:$H,BY$2)</f>
        <v>1</v>
      </c>
      <c r="BZ4">
        <f>COUNTIFS('Coded Passages'!$B:$B,$A4,'Coded Passages'!$E:$E,$B4,'Coded Passages'!$H:$H,BZ$2)</f>
        <v>0</v>
      </c>
      <c r="CA4">
        <f>COUNTIFS('Coded Passages'!$B:$B,$A4,'Coded Passages'!$E:$E,$B4,'Coded Passages'!$H:$H,CA$2)</f>
        <v>0</v>
      </c>
      <c r="CB4">
        <f>COUNTIFS('Coded Passages'!$B:$B,$A4,'Coded Passages'!$E:$E,$B4,'Coded Passages'!$H:$H,CB$2)</f>
        <v>0</v>
      </c>
      <c r="CC4">
        <f>COUNTIFS('Coded Passages'!$B:$B,$A4,'Coded Passages'!$E:$E,$B4,'Coded Passages'!$H:$H,CC$2)</f>
        <v>0</v>
      </c>
      <c r="CD4">
        <f>COUNTIFS('Coded Passages'!$B:$B,$A4,'Coded Passages'!$E:$E,$B4,'Coded Passages'!$H:$H,CD$2)</f>
        <v>1</v>
      </c>
      <c r="CE4">
        <f>COUNTIFS('Coded Passages'!$B:$B,$A4,'Coded Passages'!$E:$E,$B4,'Coded Passages'!$H:$H,CE$2)</f>
        <v>0</v>
      </c>
      <c r="CF4">
        <f>COUNTIFS('Coded Passages'!$B:$B,$A4,'Coded Passages'!$E:$E,$B4,'Coded Passages'!$H:$H,CF$2)</f>
        <v>1</v>
      </c>
      <c r="CG4">
        <f>COUNTIFS('Coded Passages'!$B:$B,$A4,'Coded Passages'!$E:$E,$B4,'Coded Passages'!$H:$H,CG$2)</f>
        <v>0</v>
      </c>
      <c r="CH4">
        <f>COUNTIFS('Coded Passages'!$B:$B,$A4,'Coded Passages'!$E:$E,$B4,'Coded Passages'!$H:$H,CH$2)</f>
        <v>0</v>
      </c>
      <c r="CI4">
        <f>COUNTIFS('Coded Passages'!$B:$B,$A4,'Coded Passages'!$E:$E,$B4,'Coded Passages'!$H:$H,CI$2)</f>
        <v>0</v>
      </c>
      <c r="CJ4">
        <f>COUNTIFS('Coded Passages'!$B:$B,$A4,'Coded Passages'!$E:$E,$B4,'Coded Passages'!$H:$H,CJ$2)</f>
        <v>1</v>
      </c>
      <c r="CK4">
        <f>COUNTIFS('Coded Passages'!$B:$B,$A4,'Coded Passages'!$E:$E,$B4,'Coded Passages'!$H:$H,CK$2)</f>
        <v>1</v>
      </c>
      <c r="CL4">
        <f>COUNTIFS('Coded Passages'!$B:$B,$A4,'Coded Passages'!$E:$E,$B4,'Coded Passages'!$H:$H,CL$2)</f>
        <v>0</v>
      </c>
      <c r="CM4">
        <f>COUNTIFS('Coded Passages'!$B:$B,$A4,'Coded Passages'!$E:$E,$B4,'Coded Passages'!$H:$H,CM$2)</f>
        <v>0</v>
      </c>
      <c r="CN4">
        <f>COUNTIFS('Coded Passages'!$B:$B,$A4,'Coded Passages'!$E:$E,$B4,'Coded Passages'!$H:$H,CN$2)</f>
        <v>1</v>
      </c>
      <c r="CO4">
        <f>COUNTIFS('Coded Passages'!$B:$B,$A4,'Coded Passages'!$E:$E,$B4,'Coded Passages'!$H:$H,CO$2)</f>
        <v>0</v>
      </c>
      <c r="CP4">
        <f>COUNTIFS('Coded Passages'!$B:$B,$A4,'Coded Passages'!$E:$E,$B4,'Coded Passages'!$H:$H,CP$2)</f>
        <v>1</v>
      </c>
      <c r="CQ4">
        <f>COUNTIFS('Coded Passages'!$B:$B,$A4,'Coded Passages'!$E:$E,$B4,'Coded Passages'!$H:$H,CQ$2)</f>
        <v>0</v>
      </c>
      <c r="CR4">
        <f>COUNTIFS('Coded Passages'!$B:$B,$A4,'Coded Passages'!$E:$E,$B4,'Coded Passages'!$H:$H,CR$2)</f>
        <v>1</v>
      </c>
      <c r="CS4">
        <f>COUNTIFS('Coded Passages'!$B:$B,$A4,'Coded Passages'!$E:$E,$B4,'Coded Passages'!$H:$H,CS$2)</f>
        <v>1</v>
      </c>
      <c r="CT4">
        <f>COUNTIFS('Coded Passages'!$B:$B,$A4,'Coded Passages'!$E:$E,$B4,'Coded Passages'!$H:$H,CT$2)</f>
        <v>1</v>
      </c>
      <c r="CU4">
        <f>COUNTIFS('Coded Passages'!$B:$B,$A4,'Coded Passages'!$E:$E,$B4,'Coded Passages'!$H:$H,CU$2)</f>
        <v>1</v>
      </c>
      <c r="CV4">
        <f>COUNTIFS('Coded Passages'!$B:$B,$A4,'Coded Passages'!$E:$E,$B4,'Coded Passages'!$H:$H,CV$2)</f>
        <v>0</v>
      </c>
      <c r="CW4">
        <f>COUNTIFS('Coded Passages'!$B:$B,$A4,'Coded Passages'!$E:$E,$B4,'Coded Passages'!$H:$H,CW$2)</f>
        <v>0</v>
      </c>
      <c r="CX4">
        <f>COUNTIFS('Coded Passages'!$B:$B,$A4,'Coded Passages'!$E:$E,$B4,'Coded Passages'!$H:$H,CX$2)</f>
        <v>1</v>
      </c>
      <c r="CY4">
        <f>COUNTIFS('Coded Passages'!$B:$B,$A4,'Coded Passages'!$E:$E,$B4,'Coded Passages'!$H:$H,CY$2)</f>
        <v>0</v>
      </c>
      <c r="CZ4">
        <f>COUNTIFS('Coded Passages'!$B:$B,$A4,'Coded Passages'!$E:$E,$B4,'Coded Passages'!$H:$H,CZ$2)</f>
        <v>0</v>
      </c>
      <c r="DA4">
        <f>COUNTIFS('Coded Passages'!$B:$B,$A4,'Coded Passages'!$E:$E,$B4,'Coded Passages'!$H:$H,DA$2)</f>
        <v>0</v>
      </c>
      <c r="DB4">
        <f>COUNTIFS('Coded Passages'!$B:$B,$A4,'Coded Passages'!$E:$E,$B4,'Coded Passages'!$H:$H,DB$2)</f>
        <v>0</v>
      </c>
      <c r="DC4">
        <f>COUNTIFS('Coded Passages'!$B:$B,$A4,'Coded Passages'!$E:$E,$B4,'Coded Passages'!$H:$H,DC$2)</f>
        <v>0</v>
      </c>
      <c r="DD4">
        <f>COUNTIFS('Coded Passages'!$B:$B,$A4,'Coded Passages'!$E:$E,$B4,'Coded Passages'!$H:$H,DD$2)</f>
        <v>0</v>
      </c>
      <c r="DE4">
        <f>COUNTIFS('Coded Passages'!$B:$B,$A4,'Coded Passages'!$E:$E,$B4,'Coded Passages'!$H:$H,DE$2)</f>
        <v>0</v>
      </c>
      <c r="DF4">
        <f>COUNTIFS('Coded Passages'!$B:$B,$A4,'Coded Passages'!$E:$E,$B4,'Coded Passages'!$H:$H,DF$2)</f>
        <v>0</v>
      </c>
      <c r="DG4">
        <f>COUNTIFS('Coded Passages'!$B:$B,$A4,'Coded Passages'!$E:$E,$B4,'Coded Passages'!$H:$H,DG$2)</f>
        <v>1</v>
      </c>
      <c r="DH4">
        <f>COUNTIFS('Coded Passages'!$B:$B,$A4,'Coded Passages'!$E:$E,$B4,'Coded Passages'!$H:$H,DH$2)</f>
        <v>1</v>
      </c>
      <c r="DI4">
        <f>COUNTIFS('Coded Passages'!$B:$B,$A4,'Coded Passages'!$E:$E,$B4,'Coded Passages'!$H:$H,DI$2)</f>
        <v>0</v>
      </c>
      <c r="DJ4">
        <f>COUNTIFS('Coded Passages'!$B:$B,$A4,'Coded Passages'!$E:$E,$B4,'Coded Passages'!$H:$H,DJ$2)</f>
        <v>0</v>
      </c>
      <c r="DK4">
        <f>COUNTIFS('Coded Passages'!$B:$B,$A4,'Coded Passages'!$E:$E,$B4,'Coded Passages'!$H:$H,DK$2)</f>
        <v>2</v>
      </c>
      <c r="DL4">
        <f>COUNTIFS('Coded Passages'!$B:$B,$A4,'Coded Passages'!$E:$E,$B4,'Coded Passages'!$H:$H,DL$2)</f>
        <v>1</v>
      </c>
      <c r="DM4">
        <f>COUNTIFS('Coded Passages'!$B:$B,$A4,'Coded Passages'!$E:$E,$B4,'Coded Passages'!$H:$H,DM$2)</f>
        <v>2</v>
      </c>
      <c r="DN4">
        <f>COUNTIFS('Coded Passages'!$B:$B,$A4,'Coded Passages'!$E:$E,$B4,'Coded Passages'!$H:$H,DN$2)</f>
        <v>0</v>
      </c>
      <c r="DO4">
        <f>COUNTIFS('Coded Passages'!$B:$B,$A4,'Coded Passages'!$E:$E,$B4,'Coded Passages'!$H:$H,DO$2)</f>
        <v>1</v>
      </c>
      <c r="DP4">
        <f>COUNTIFS('Coded Passages'!$B:$B,$A4,'Coded Passages'!$E:$E,$B4,'Coded Passages'!$H:$H,DP$2)</f>
        <v>0</v>
      </c>
      <c r="DQ4">
        <f>COUNTIFS('Coded Passages'!$B:$B,$A4,'Coded Passages'!$E:$E,$B4,'Coded Passages'!$H:$H,DQ$2)</f>
        <v>0</v>
      </c>
      <c r="DR4">
        <f>COUNTIFS('Coded Passages'!$B:$B,$A4,'Coded Passages'!$E:$E,$B4,'Coded Passages'!$H:$H,DR$2)</f>
        <v>0</v>
      </c>
      <c r="DS4">
        <f>COUNTIFS('Coded Passages'!$B:$B,$A4,'Coded Passages'!$E:$E,$B4,'Coded Passages'!$H:$H,DS$2)</f>
        <v>0</v>
      </c>
      <c r="DT4">
        <f>COUNTIFS('Coded Passages'!$B:$B,$A4,'Coded Passages'!$E:$E,$B4,'Coded Passages'!$H:$H,DT$2)</f>
        <v>0</v>
      </c>
      <c r="DU4">
        <f>COUNTIFS('Coded Passages'!$B:$B,$A4,'Coded Passages'!$E:$E,$B4,'Coded Passages'!$H:$H,DU$2)</f>
        <v>1</v>
      </c>
      <c r="DV4">
        <f>COUNTIFS('Coded Passages'!$B:$B,$A4,'Coded Passages'!$E:$E,$B4,'Coded Passages'!$H:$H,DV$2)</f>
        <v>1</v>
      </c>
      <c r="DW4">
        <f>COUNTIFS('Coded Passages'!$B:$B,$A4,'Coded Passages'!$E:$E,$B4,'Coded Passages'!$H:$H,DW$2)</f>
        <v>2</v>
      </c>
      <c r="DX4">
        <f>COUNTIFS('Coded Passages'!$B:$B,$A4,'Coded Passages'!$E:$E,$B4,'Coded Passages'!$H:$H,DX$2)</f>
        <v>0</v>
      </c>
      <c r="DY4">
        <f>COUNTIFS('Coded Passages'!$B:$B,$A4,'Coded Passages'!$E:$E,$B4,'Coded Passages'!$H:$H,DY$2)</f>
        <v>1</v>
      </c>
      <c r="DZ4">
        <f>COUNTIFS('Coded Passages'!$B:$B,$A4,'Coded Passages'!$E:$E,$B4,'Coded Passages'!$H:$H,DZ$2)</f>
        <v>0</v>
      </c>
      <c r="EA4">
        <f>COUNTIFS('Coded Passages'!$B:$B,$A4,'Coded Passages'!$E:$E,$B4,'Coded Passages'!$H:$H,EA$2)</f>
        <v>1</v>
      </c>
      <c r="EB4">
        <f>COUNTIFS('Coded Passages'!$B:$B,$A4,'Coded Passages'!$E:$E,$B4,'Coded Passages'!$H:$H,EB$2)</f>
        <v>0</v>
      </c>
      <c r="EC4">
        <f>COUNTIFS('Coded Passages'!$B:$B,$A4,'Coded Passages'!$E:$E,$B4,'Coded Passages'!$H:$H,EC$2)</f>
        <v>0</v>
      </c>
      <c r="ED4">
        <f>COUNTIFS('Coded Passages'!$B:$B,$A4,'Coded Passages'!$E:$E,$B4,'Coded Passages'!$H:$H,ED$2)</f>
        <v>0</v>
      </c>
      <c r="EE4">
        <f>COUNTIFS('Coded Passages'!$B:$B,$A4,'Coded Passages'!$E:$E,$B4,'Coded Passages'!$H:$H,EE$2)</f>
        <v>0</v>
      </c>
      <c r="EF4">
        <f>COUNTIFS('Coded Passages'!$B:$B,$A4,'Coded Passages'!$E:$E,$B4,'Coded Passages'!$H:$H,EF$2)</f>
        <v>0</v>
      </c>
      <c r="EG4">
        <f>COUNTIFS('Coded Passages'!$B:$B,$A4,'Coded Passages'!$E:$E,$B4,'Coded Passages'!$H:$H,EG$2)</f>
        <v>0</v>
      </c>
      <c r="EH4">
        <f>COUNTIFS('Coded Passages'!$B:$B,$A4,'Coded Passages'!$E:$E,$B4,'Coded Passages'!$H:$H,EH$2)</f>
        <v>1</v>
      </c>
      <c r="EI4">
        <f>COUNTIFS('Coded Passages'!$B:$B,$A4,'Coded Passages'!$E:$E,$B4,'Coded Passages'!$H:$H,EI$2)</f>
        <v>2</v>
      </c>
      <c r="EJ4">
        <f>COUNTIFS('Coded Passages'!$B:$B,$A4,'Coded Passages'!$E:$E,$B4,'Coded Passages'!$H:$H,EJ$2)</f>
        <v>2</v>
      </c>
      <c r="EK4">
        <f>COUNTIFS('Coded Passages'!$B:$B,$A4,'Coded Passages'!$E:$E,$B4,'Coded Passages'!$H:$H,EK$2)</f>
        <v>0</v>
      </c>
      <c r="EL4">
        <f>COUNTIFS('Coded Passages'!$B:$B,$A4,'Coded Passages'!$E:$E,$B4,'Coded Passages'!$H:$H,EL$2)</f>
        <v>1</v>
      </c>
      <c r="EM4">
        <f>COUNTIFS('Coded Passages'!$B:$B,$A4,'Coded Passages'!$E:$E,$B4,'Coded Passages'!$H:$H,EM$2)</f>
        <v>0</v>
      </c>
      <c r="EN4">
        <f>COUNTIFS('Coded Passages'!$B:$B,$A4,'Coded Passages'!$E:$E,$B4,'Coded Passages'!$H:$H,EN$2)</f>
        <v>1</v>
      </c>
      <c r="EO4">
        <f>COUNTIFS('Coded Passages'!$B:$B,$A4,'Coded Passages'!$E:$E,$B4,'Coded Passages'!$H:$H,EO$2)</f>
        <v>1</v>
      </c>
      <c r="EP4">
        <f>COUNTIFS('Coded Passages'!$B:$B,$A4,'Coded Passages'!$E:$E,$B4,'Coded Passages'!$H:$H,EP$2)</f>
        <v>1</v>
      </c>
      <c r="EQ4">
        <f>COUNTIFS('Coded Passages'!$B:$B,$A4,'Coded Passages'!$E:$E,$B4,'Coded Passages'!$H:$H,EQ$2)</f>
        <v>0</v>
      </c>
      <c r="ER4">
        <f>COUNTIFS('Coded Passages'!$B:$B,$A4,'Coded Passages'!$E:$E,$B4,'Coded Passages'!$H:$H,ER$2)</f>
        <v>0</v>
      </c>
      <c r="ES4">
        <f>COUNTIFS('Coded Passages'!$B:$B,$A4,'Coded Passages'!$E:$E,$B4,'Coded Passages'!$H:$H,ES$2)</f>
        <v>0</v>
      </c>
      <c r="ET4">
        <f>COUNTIFS('Coded Passages'!$B:$B,$A4,'Coded Passages'!$E:$E,$B4,'Coded Passages'!$H:$H,ET$2)</f>
        <v>0</v>
      </c>
      <c r="EU4">
        <f>COUNTIFS('Coded Passages'!$B:$B,$A4,'Coded Passages'!$E:$E,$B4,'Coded Passages'!$H:$H,EU$2)</f>
        <v>1</v>
      </c>
      <c r="EV4">
        <f>COUNTIFS('Coded Passages'!$B:$B,$A4,'Coded Passages'!$E:$E,$B4,'Coded Passages'!$H:$H,EV$2)</f>
        <v>0</v>
      </c>
      <c r="EW4">
        <f>COUNTIFS('Coded Passages'!$B:$B,$A4,'Coded Passages'!$E:$E,$B4,'Coded Passages'!$H:$H,EW$2)</f>
        <v>2</v>
      </c>
      <c r="EX4">
        <f>COUNTIFS('Coded Passages'!$B:$B,$A4,'Coded Passages'!$E:$E,$B4,'Coded Passages'!$H:$H,EX$2)</f>
        <v>0</v>
      </c>
      <c r="EY4">
        <f>COUNTIFS('Coded Passages'!$B:$B,$A4,'Coded Passages'!$E:$E,$B4,'Coded Passages'!$H:$H,EY$2)</f>
        <v>0</v>
      </c>
      <c r="EZ4">
        <f>COUNTIFS('Coded Passages'!$B:$B,$A4,'Coded Passages'!$E:$E,$B4,'Coded Passages'!$H:$H,EZ$2)</f>
        <v>0</v>
      </c>
      <c r="FA4">
        <f>COUNTIFS('Coded Passages'!$B:$B,$A4,'Coded Passages'!$E:$E,$B4,'Coded Passages'!$H:$H,FA$2)</f>
        <v>1</v>
      </c>
      <c r="FB4">
        <f>COUNTIFS('Coded Passages'!$B:$B,$A4,'Coded Passages'!$E:$E,$B4,'Coded Passages'!$H:$H,FB$2)</f>
        <v>4</v>
      </c>
      <c r="FC4">
        <f>COUNTIFS('Coded Passages'!$B:$B,$A4,'Coded Passages'!$E:$E,$B4,'Coded Passages'!$H:$H,FC$2)</f>
        <v>1</v>
      </c>
      <c r="FD4">
        <f>COUNTIFS('Coded Passages'!$B:$B,$A4,'Coded Passages'!$E:$E,$B4,'Coded Passages'!$H:$H,FD$2)</f>
        <v>0</v>
      </c>
      <c r="FE4">
        <f>COUNTIFS('Coded Passages'!$B:$B,$A4,'Coded Passages'!$E:$E,$B4,'Coded Passages'!$H:$H,FE$2)</f>
        <v>1</v>
      </c>
      <c r="FF4">
        <f>COUNTIFS('Coded Passages'!$B:$B,$A4,'Coded Passages'!$E:$E,$B4,'Coded Passages'!$H:$H,FF$2)</f>
        <v>0</v>
      </c>
      <c r="FG4">
        <f>COUNTIFS('Coded Passages'!$B:$B,$A4,'Coded Passages'!$E:$E,$B4,'Coded Passages'!$H:$H,FG$2)</f>
        <v>0</v>
      </c>
      <c r="FH4">
        <f>COUNTIFS('Coded Passages'!$B:$B,$A4,'Coded Passages'!$E:$E,$B4,'Coded Passages'!$H:$H,FH$2)</f>
        <v>0</v>
      </c>
      <c r="FI4">
        <f>COUNTIFS('Coded Passages'!$B:$B,$A4,'Coded Passages'!$E:$E,$B4,'Coded Passages'!$H:$H,FI$2)</f>
        <v>0</v>
      </c>
      <c r="FJ4">
        <f>COUNTIFS('Coded Passages'!$B:$B,$A4,'Coded Passages'!$E:$E,$B4,'Coded Passages'!$H:$H,FJ$2)</f>
        <v>1</v>
      </c>
      <c r="FK4">
        <f>COUNTIFS('Coded Passages'!$B:$B,$A4,'Coded Passages'!$E:$E,$B4,'Coded Passages'!$H:$H,FK$2)</f>
        <v>1</v>
      </c>
      <c r="FL4">
        <f>COUNTIFS('Coded Passages'!$B:$B,$A4,'Coded Passages'!$E:$E,$B4,'Coded Passages'!$H:$H,FL$2)</f>
        <v>0</v>
      </c>
      <c r="FM4">
        <f>COUNTIFS('Coded Passages'!$B:$B,$A4,'Coded Passages'!$E:$E,$B4,'Coded Passages'!$H:$H,FM$2)</f>
        <v>1</v>
      </c>
      <c r="FN4">
        <f>COUNTIFS('Coded Passages'!$B:$B,$A4,'Coded Passages'!$E:$E,$B4,'Coded Passages'!$H:$H,FN$2)</f>
        <v>1</v>
      </c>
      <c r="FO4">
        <f>COUNTIFS('Coded Passages'!$B:$B,$A4,'Coded Passages'!$E:$E,$B4,'Coded Passages'!$H:$H,FO$2)</f>
        <v>7</v>
      </c>
      <c r="FP4">
        <f t="shared" si="0"/>
        <v>102</v>
      </c>
    </row>
    <row r="5" spans="1:172" x14ac:dyDescent="0.45">
      <c r="A5" s="9" t="s">
        <v>25</v>
      </c>
      <c r="B5" s="16" t="s">
        <v>47</v>
      </c>
      <c r="C5">
        <f>COUNTIFS('Coded Passages'!$B:$B,$A5,'Coded Passages'!$E:$E,$B5,'Coded Passages'!$H:$H,C$2)</f>
        <v>0</v>
      </c>
      <c r="D5">
        <f>COUNTIFS('Coded Passages'!$B:$B,$A5,'Coded Passages'!$E:$E,$B5,'Coded Passages'!$H:$H,D$2)</f>
        <v>1</v>
      </c>
      <c r="E5">
        <f>COUNTIFS('Coded Passages'!$B:$B,$A5,'Coded Passages'!$E:$E,$B5,'Coded Passages'!$H:$H,E$2)</f>
        <v>2</v>
      </c>
      <c r="F5">
        <f>COUNTIFS('Coded Passages'!$B:$B,$A5,'Coded Passages'!$E:$E,$B5,'Coded Passages'!$H:$H,F$2)</f>
        <v>1</v>
      </c>
      <c r="G5">
        <f>COUNTIFS('Coded Passages'!$B:$B,$A5,'Coded Passages'!$E:$E,$B5,'Coded Passages'!$H:$H,G$2)</f>
        <v>1</v>
      </c>
      <c r="H5">
        <f>COUNTIFS('Coded Passages'!$B:$B,$A5,'Coded Passages'!$E:$E,$B5,'Coded Passages'!$H:$H,H$2)</f>
        <v>0</v>
      </c>
      <c r="I5">
        <f>COUNTIFS('Coded Passages'!$B:$B,$A5,'Coded Passages'!$E:$E,$B5,'Coded Passages'!$H:$H,I$2)</f>
        <v>0</v>
      </c>
      <c r="J5">
        <f>COUNTIFS('Coded Passages'!$B:$B,$A5,'Coded Passages'!$E:$E,$B5,'Coded Passages'!$H:$H,J$2)</f>
        <v>1</v>
      </c>
      <c r="K5">
        <f>COUNTIFS('Coded Passages'!$B:$B,$A5,'Coded Passages'!$E:$E,$B5,'Coded Passages'!$H:$H,K$2)</f>
        <v>1</v>
      </c>
      <c r="L5">
        <f>COUNTIFS('Coded Passages'!$B:$B,$A5,'Coded Passages'!$E:$E,$B5,'Coded Passages'!$H:$H,L$2)</f>
        <v>1</v>
      </c>
      <c r="M5">
        <f>COUNTIFS('Coded Passages'!$B:$B,$A5,'Coded Passages'!$E:$E,$B5,'Coded Passages'!$H:$H,M$2)</f>
        <v>0</v>
      </c>
      <c r="N5">
        <f>COUNTIFS('Coded Passages'!$B:$B,$A5,'Coded Passages'!$E:$E,$B5,'Coded Passages'!$H:$H,N$2)</f>
        <v>0</v>
      </c>
      <c r="O5">
        <f>COUNTIFS('Coded Passages'!$B:$B,$A5,'Coded Passages'!$E:$E,$B5,'Coded Passages'!$H:$H,O$2)</f>
        <v>1</v>
      </c>
      <c r="P5">
        <f>COUNTIFS('Coded Passages'!$B:$B,$A5,'Coded Passages'!$E:$E,$B5,'Coded Passages'!$H:$H,P$2)</f>
        <v>1</v>
      </c>
      <c r="Q5">
        <f>COUNTIFS('Coded Passages'!$B:$B,$A5,'Coded Passages'!$E:$E,$B5,'Coded Passages'!$H:$H,Q$2)</f>
        <v>1</v>
      </c>
      <c r="R5">
        <f>COUNTIFS('Coded Passages'!$B:$B,$A5,'Coded Passages'!$E:$E,$B5,'Coded Passages'!$H:$H,R$2)</f>
        <v>0</v>
      </c>
      <c r="S5">
        <f>COUNTIFS('Coded Passages'!$B:$B,$A5,'Coded Passages'!$E:$E,$B5,'Coded Passages'!$H:$H,S$2)</f>
        <v>1</v>
      </c>
      <c r="T5">
        <f>COUNTIFS('Coded Passages'!$B:$B,$A5,'Coded Passages'!$E:$E,$B5,'Coded Passages'!$H:$H,T$2)</f>
        <v>1</v>
      </c>
      <c r="U5">
        <f>COUNTIFS('Coded Passages'!$B:$B,$A5,'Coded Passages'!$E:$E,$B5,'Coded Passages'!$H:$H,U$2)</f>
        <v>1</v>
      </c>
      <c r="V5">
        <f>COUNTIFS('Coded Passages'!$B:$B,$A5,'Coded Passages'!$E:$E,$B5,'Coded Passages'!$H:$H,V$2)</f>
        <v>1</v>
      </c>
      <c r="W5">
        <f>COUNTIFS('Coded Passages'!$B:$B,$A5,'Coded Passages'!$E:$E,$B5,'Coded Passages'!$H:$H,W$2)</f>
        <v>1</v>
      </c>
      <c r="X5">
        <f>COUNTIFS('Coded Passages'!$B:$B,$A5,'Coded Passages'!$E:$E,$B5,'Coded Passages'!$H:$H,X$2)</f>
        <v>0</v>
      </c>
      <c r="Y5">
        <f>COUNTIFS('Coded Passages'!$B:$B,$A5,'Coded Passages'!$E:$E,$B5,'Coded Passages'!$H:$H,Y$2)</f>
        <v>0</v>
      </c>
      <c r="Z5">
        <f>COUNTIFS('Coded Passages'!$B:$B,$A5,'Coded Passages'!$E:$E,$B5,'Coded Passages'!$H:$H,Z$2)</f>
        <v>1</v>
      </c>
      <c r="AA5">
        <f>COUNTIFS('Coded Passages'!$B:$B,$A5,'Coded Passages'!$E:$E,$B5,'Coded Passages'!$H:$H,AA$2)</f>
        <v>1</v>
      </c>
      <c r="AB5">
        <f>COUNTIFS('Coded Passages'!$B:$B,$A5,'Coded Passages'!$E:$E,$B5,'Coded Passages'!$H:$H,AB$2)</f>
        <v>1</v>
      </c>
      <c r="AC5">
        <f>COUNTIFS('Coded Passages'!$B:$B,$A5,'Coded Passages'!$E:$E,$B5,'Coded Passages'!$H:$H,AC$2)</f>
        <v>1</v>
      </c>
      <c r="AD5">
        <f>COUNTIFS('Coded Passages'!$B:$B,$A5,'Coded Passages'!$E:$E,$B5,'Coded Passages'!$H:$H,AD$2)</f>
        <v>0</v>
      </c>
      <c r="AE5">
        <f>COUNTIFS('Coded Passages'!$B:$B,$A5,'Coded Passages'!$E:$E,$B5,'Coded Passages'!$H:$H,AE$2)</f>
        <v>0</v>
      </c>
      <c r="AF5">
        <f>COUNTIFS('Coded Passages'!$B:$B,$A5,'Coded Passages'!$E:$E,$B5,'Coded Passages'!$H:$H,AF$2)</f>
        <v>0</v>
      </c>
      <c r="AG5">
        <f>COUNTIFS('Coded Passages'!$B:$B,$A5,'Coded Passages'!$E:$E,$B5,'Coded Passages'!$H:$H,AG$2)</f>
        <v>0</v>
      </c>
      <c r="AH5">
        <f>COUNTIFS('Coded Passages'!$B:$B,$A5,'Coded Passages'!$E:$E,$B5,'Coded Passages'!$H:$H,AH$2)</f>
        <v>0</v>
      </c>
      <c r="AI5">
        <f>COUNTIFS('Coded Passages'!$B:$B,$A5,'Coded Passages'!$E:$E,$B5,'Coded Passages'!$H:$H,AI$2)</f>
        <v>0</v>
      </c>
      <c r="AJ5">
        <f>COUNTIFS('Coded Passages'!$B:$B,$A5,'Coded Passages'!$E:$E,$B5,'Coded Passages'!$H:$H,AJ$2)</f>
        <v>1</v>
      </c>
      <c r="AK5">
        <f>COUNTIFS('Coded Passages'!$B:$B,$A5,'Coded Passages'!$E:$E,$B5,'Coded Passages'!$H:$H,AK$2)</f>
        <v>1</v>
      </c>
      <c r="AL5">
        <f>COUNTIFS('Coded Passages'!$B:$B,$A5,'Coded Passages'!$E:$E,$B5,'Coded Passages'!$H:$H,AL$2)</f>
        <v>0</v>
      </c>
      <c r="AM5">
        <f>COUNTIFS('Coded Passages'!$B:$B,$A5,'Coded Passages'!$E:$E,$B5,'Coded Passages'!$H:$H,AM$2)</f>
        <v>1</v>
      </c>
      <c r="AN5">
        <f>COUNTIFS('Coded Passages'!$B:$B,$A5,'Coded Passages'!$E:$E,$B5,'Coded Passages'!$H:$H,AN$2)</f>
        <v>1</v>
      </c>
      <c r="AO5">
        <f>COUNTIFS('Coded Passages'!$B:$B,$A5,'Coded Passages'!$E:$E,$B5,'Coded Passages'!$H:$H,AO$2)</f>
        <v>0</v>
      </c>
      <c r="AP5">
        <f>COUNTIFS('Coded Passages'!$B:$B,$A5,'Coded Passages'!$E:$E,$B5,'Coded Passages'!$H:$H,AP$2)</f>
        <v>0</v>
      </c>
      <c r="AQ5">
        <f>COUNTIFS('Coded Passages'!$B:$B,$A5,'Coded Passages'!$E:$E,$B5,'Coded Passages'!$H:$H,AQ$2)</f>
        <v>0</v>
      </c>
      <c r="AR5">
        <f>COUNTIFS('Coded Passages'!$B:$B,$A5,'Coded Passages'!$E:$E,$B5,'Coded Passages'!$H:$H,AR$2)</f>
        <v>2</v>
      </c>
      <c r="AS5">
        <f>COUNTIFS('Coded Passages'!$B:$B,$A5,'Coded Passages'!$E:$E,$B5,'Coded Passages'!$H:$H,AS$2)</f>
        <v>1</v>
      </c>
      <c r="AT5">
        <f>COUNTIFS('Coded Passages'!$B:$B,$A5,'Coded Passages'!$E:$E,$B5,'Coded Passages'!$H:$H,AT$2)</f>
        <v>0</v>
      </c>
      <c r="AU5">
        <f>COUNTIFS('Coded Passages'!$B:$B,$A5,'Coded Passages'!$E:$E,$B5,'Coded Passages'!$H:$H,AU$2)</f>
        <v>1</v>
      </c>
      <c r="AV5">
        <f>COUNTIFS('Coded Passages'!$B:$B,$A5,'Coded Passages'!$E:$E,$B5,'Coded Passages'!$H:$H,AV$2)</f>
        <v>2</v>
      </c>
      <c r="AW5">
        <f>COUNTIFS('Coded Passages'!$B:$B,$A5,'Coded Passages'!$E:$E,$B5,'Coded Passages'!$H:$H,AW$2)</f>
        <v>0</v>
      </c>
      <c r="AX5">
        <f>COUNTIFS('Coded Passages'!$B:$B,$A5,'Coded Passages'!$E:$E,$B5,'Coded Passages'!$H:$H,AX$2)</f>
        <v>0</v>
      </c>
      <c r="AY5">
        <f>COUNTIFS('Coded Passages'!$B:$B,$A5,'Coded Passages'!$E:$E,$B5,'Coded Passages'!$H:$H,AY$2)</f>
        <v>0</v>
      </c>
      <c r="AZ5">
        <f>COUNTIFS('Coded Passages'!$B:$B,$A5,'Coded Passages'!$E:$E,$B5,'Coded Passages'!$H:$H,AZ$2)</f>
        <v>0</v>
      </c>
      <c r="BA5">
        <f>COUNTIFS('Coded Passages'!$B:$B,$A5,'Coded Passages'!$E:$E,$B5,'Coded Passages'!$H:$H,BA$2)</f>
        <v>0</v>
      </c>
      <c r="BB5">
        <f>COUNTIFS('Coded Passages'!$B:$B,$A5,'Coded Passages'!$E:$E,$B5,'Coded Passages'!$H:$H,BB$2)</f>
        <v>1</v>
      </c>
      <c r="BC5">
        <f>COUNTIFS('Coded Passages'!$B:$B,$A5,'Coded Passages'!$E:$E,$B5,'Coded Passages'!$H:$H,BC$2)</f>
        <v>0</v>
      </c>
      <c r="BD5">
        <f>COUNTIFS('Coded Passages'!$B:$B,$A5,'Coded Passages'!$E:$E,$B5,'Coded Passages'!$H:$H,BD$2)</f>
        <v>1</v>
      </c>
      <c r="BE5">
        <f>COUNTIFS('Coded Passages'!$B:$B,$A5,'Coded Passages'!$E:$E,$B5,'Coded Passages'!$H:$H,BE$2)</f>
        <v>1</v>
      </c>
      <c r="BF5">
        <f>COUNTIFS('Coded Passages'!$B:$B,$A5,'Coded Passages'!$E:$E,$B5,'Coded Passages'!$H:$H,BF$2)</f>
        <v>0</v>
      </c>
      <c r="BG5">
        <f>COUNTIFS('Coded Passages'!$B:$B,$A5,'Coded Passages'!$E:$E,$B5,'Coded Passages'!$H:$H,BG$2)</f>
        <v>1</v>
      </c>
      <c r="BH5">
        <f>COUNTIFS('Coded Passages'!$B:$B,$A5,'Coded Passages'!$E:$E,$B5,'Coded Passages'!$H:$H,BH$2)</f>
        <v>1</v>
      </c>
      <c r="BI5">
        <f>COUNTIFS('Coded Passages'!$B:$B,$A5,'Coded Passages'!$E:$E,$B5,'Coded Passages'!$H:$H,BI$2)</f>
        <v>0</v>
      </c>
      <c r="BJ5">
        <f>COUNTIFS('Coded Passages'!$B:$B,$A5,'Coded Passages'!$E:$E,$B5,'Coded Passages'!$H:$H,BJ$2)</f>
        <v>2</v>
      </c>
      <c r="BK5">
        <f>COUNTIFS('Coded Passages'!$B:$B,$A5,'Coded Passages'!$E:$E,$B5,'Coded Passages'!$H:$H,BK$2)</f>
        <v>1</v>
      </c>
      <c r="BL5">
        <f>COUNTIFS('Coded Passages'!$B:$B,$A5,'Coded Passages'!$E:$E,$B5,'Coded Passages'!$H:$H,BL$2)</f>
        <v>0</v>
      </c>
      <c r="BM5">
        <f>COUNTIFS('Coded Passages'!$B:$B,$A5,'Coded Passages'!$E:$E,$B5,'Coded Passages'!$H:$H,BM$2)</f>
        <v>0</v>
      </c>
      <c r="BN5">
        <f>COUNTIFS('Coded Passages'!$B:$B,$A5,'Coded Passages'!$E:$E,$B5,'Coded Passages'!$H:$H,BN$2)</f>
        <v>2</v>
      </c>
      <c r="BO5">
        <f>COUNTIFS('Coded Passages'!$B:$B,$A5,'Coded Passages'!$E:$E,$B5,'Coded Passages'!$H:$H,BO$2)</f>
        <v>0</v>
      </c>
      <c r="BP5">
        <f>COUNTIFS('Coded Passages'!$B:$B,$A5,'Coded Passages'!$E:$E,$B5,'Coded Passages'!$H:$H,BP$2)</f>
        <v>0</v>
      </c>
      <c r="BQ5">
        <f>COUNTIFS('Coded Passages'!$B:$B,$A5,'Coded Passages'!$E:$E,$B5,'Coded Passages'!$H:$H,BQ$2)</f>
        <v>0</v>
      </c>
      <c r="BR5">
        <f>COUNTIFS('Coded Passages'!$B:$B,$A5,'Coded Passages'!$E:$E,$B5,'Coded Passages'!$H:$H,BR$2)</f>
        <v>0</v>
      </c>
      <c r="BS5">
        <f>COUNTIFS('Coded Passages'!$B:$B,$A5,'Coded Passages'!$E:$E,$B5,'Coded Passages'!$H:$H,BS$2)</f>
        <v>0</v>
      </c>
      <c r="BT5">
        <f>COUNTIFS('Coded Passages'!$B:$B,$A5,'Coded Passages'!$E:$E,$B5,'Coded Passages'!$H:$H,BT$2)</f>
        <v>1</v>
      </c>
      <c r="BU5">
        <f>COUNTIFS('Coded Passages'!$B:$B,$A5,'Coded Passages'!$E:$E,$B5,'Coded Passages'!$H:$H,BU$2)</f>
        <v>0</v>
      </c>
      <c r="BV5">
        <f>COUNTIFS('Coded Passages'!$B:$B,$A5,'Coded Passages'!$E:$E,$B5,'Coded Passages'!$H:$H,BV$2)</f>
        <v>1</v>
      </c>
      <c r="BW5">
        <f>COUNTIFS('Coded Passages'!$B:$B,$A5,'Coded Passages'!$E:$E,$B5,'Coded Passages'!$H:$H,BW$2)</f>
        <v>0</v>
      </c>
      <c r="BX5">
        <f>COUNTIFS('Coded Passages'!$B:$B,$A5,'Coded Passages'!$E:$E,$B5,'Coded Passages'!$H:$H,BX$2)</f>
        <v>0</v>
      </c>
      <c r="BY5">
        <f>COUNTIFS('Coded Passages'!$B:$B,$A5,'Coded Passages'!$E:$E,$B5,'Coded Passages'!$H:$H,BY$2)</f>
        <v>1</v>
      </c>
      <c r="BZ5">
        <f>COUNTIFS('Coded Passages'!$B:$B,$A5,'Coded Passages'!$E:$E,$B5,'Coded Passages'!$H:$H,BZ$2)</f>
        <v>1</v>
      </c>
      <c r="CA5">
        <f>COUNTIFS('Coded Passages'!$B:$B,$A5,'Coded Passages'!$E:$E,$B5,'Coded Passages'!$H:$H,CA$2)</f>
        <v>1</v>
      </c>
      <c r="CB5">
        <f>COUNTIFS('Coded Passages'!$B:$B,$A5,'Coded Passages'!$E:$E,$B5,'Coded Passages'!$H:$H,CB$2)</f>
        <v>0</v>
      </c>
      <c r="CC5">
        <f>COUNTIFS('Coded Passages'!$B:$B,$A5,'Coded Passages'!$E:$E,$B5,'Coded Passages'!$H:$H,CC$2)</f>
        <v>0</v>
      </c>
      <c r="CD5">
        <f>COUNTIFS('Coded Passages'!$B:$B,$A5,'Coded Passages'!$E:$E,$B5,'Coded Passages'!$H:$H,CD$2)</f>
        <v>0</v>
      </c>
      <c r="CE5">
        <f>COUNTIFS('Coded Passages'!$B:$B,$A5,'Coded Passages'!$E:$E,$B5,'Coded Passages'!$H:$H,CE$2)</f>
        <v>0</v>
      </c>
      <c r="CF5">
        <f>COUNTIFS('Coded Passages'!$B:$B,$A5,'Coded Passages'!$E:$E,$B5,'Coded Passages'!$H:$H,CF$2)</f>
        <v>1</v>
      </c>
      <c r="CG5">
        <f>COUNTIFS('Coded Passages'!$B:$B,$A5,'Coded Passages'!$E:$E,$B5,'Coded Passages'!$H:$H,CG$2)</f>
        <v>0</v>
      </c>
      <c r="CH5">
        <f>COUNTIFS('Coded Passages'!$B:$B,$A5,'Coded Passages'!$E:$E,$B5,'Coded Passages'!$H:$H,CH$2)</f>
        <v>0</v>
      </c>
      <c r="CI5">
        <f>COUNTIFS('Coded Passages'!$B:$B,$A5,'Coded Passages'!$E:$E,$B5,'Coded Passages'!$H:$H,CI$2)</f>
        <v>0</v>
      </c>
      <c r="CJ5">
        <f>COUNTIFS('Coded Passages'!$B:$B,$A5,'Coded Passages'!$E:$E,$B5,'Coded Passages'!$H:$H,CJ$2)</f>
        <v>0</v>
      </c>
      <c r="CK5">
        <f>COUNTIFS('Coded Passages'!$B:$B,$A5,'Coded Passages'!$E:$E,$B5,'Coded Passages'!$H:$H,CK$2)</f>
        <v>2</v>
      </c>
      <c r="CL5">
        <f>COUNTIFS('Coded Passages'!$B:$B,$A5,'Coded Passages'!$E:$E,$B5,'Coded Passages'!$H:$H,CL$2)</f>
        <v>1</v>
      </c>
      <c r="CM5">
        <f>COUNTIFS('Coded Passages'!$B:$B,$A5,'Coded Passages'!$E:$E,$B5,'Coded Passages'!$H:$H,CM$2)</f>
        <v>0</v>
      </c>
      <c r="CN5">
        <f>COUNTIFS('Coded Passages'!$B:$B,$A5,'Coded Passages'!$E:$E,$B5,'Coded Passages'!$H:$H,CN$2)</f>
        <v>1</v>
      </c>
      <c r="CO5">
        <f>COUNTIFS('Coded Passages'!$B:$B,$A5,'Coded Passages'!$E:$E,$B5,'Coded Passages'!$H:$H,CO$2)</f>
        <v>1</v>
      </c>
      <c r="CP5">
        <f>COUNTIFS('Coded Passages'!$B:$B,$A5,'Coded Passages'!$E:$E,$B5,'Coded Passages'!$H:$H,CP$2)</f>
        <v>1</v>
      </c>
      <c r="CQ5">
        <f>COUNTIFS('Coded Passages'!$B:$B,$A5,'Coded Passages'!$E:$E,$B5,'Coded Passages'!$H:$H,CQ$2)</f>
        <v>0</v>
      </c>
      <c r="CR5">
        <f>COUNTIFS('Coded Passages'!$B:$B,$A5,'Coded Passages'!$E:$E,$B5,'Coded Passages'!$H:$H,CR$2)</f>
        <v>0</v>
      </c>
      <c r="CS5">
        <f>COUNTIFS('Coded Passages'!$B:$B,$A5,'Coded Passages'!$E:$E,$B5,'Coded Passages'!$H:$H,CS$2)</f>
        <v>0</v>
      </c>
      <c r="CT5">
        <f>COUNTIFS('Coded Passages'!$B:$B,$A5,'Coded Passages'!$E:$E,$B5,'Coded Passages'!$H:$H,CT$2)</f>
        <v>0</v>
      </c>
      <c r="CU5">
        <f>COUNTIFS('Coded Passages'!$B:$B,$A5,'Coded Passages'!$E:$E,$B5,'Coded Passages'!$H:$H,CU$2)</f>
        <v>1</v>
      </c>
      <c r="CV5">
        <f>COUNTIFS('Coded Passages'!$B:$B,$A5,'Coded Passages'!$E:$E,$B5,'Coded Passages'!$H:$H,CV$2)</f>
        <v>1</v>
      </c>
      <c r="CW5">
        <f>COUNTIFS('Coded Passages'!$B:$B,$A5,'Coded Passages'!$E:$E,$B5,'Coded Passages'!$H:$H,CW$2)</f>
        <v>0</v>
      </c>
      <c r="CX5">
        <f>COUNTIFS('Coded Passages'!$B:$B,$A5,'Coded Passages'!$E:$E,$B5,'Coded Passages'!$H:$H,CX$2)</f>
        <v>0</v>
      </c>
      <c r="CY5">
        <f>COUNTIFS('Coded Passages'!$B:$B,$A5,'Coded Passages'!$E:$E,$B5,'Coded Passages'!$H:$H,CY$2)</f>
        <v>0</v>
      </c>
      <c r="CZ5">
        <f>COUNTIFS('Coded Passages'!$B:$B,$A5,'Coded Passages'!$E:$E,$B5,'Coded Passages'!$H:$H,CZ$2)</f>
        <v>2</v>
      </c>
      <c r="DA5">
        <f>COUNTIFS('Coded Passages'!$B:$B,$A5,'Coded Passages'!$E:$E,$B5,'Coded Passages'!$H:$H,DA$2)</f>
        <v>0</v>
      </c>
      <c r="DB5">
        <f>COUNTIFS('Coded Passages'!$B:$B,$A5,'Coded Passages'!$E:$E,$B5,'Coded Passages'!$H:$H,DB$2)</f>
        <v>1</v>
      </c>
      <c r="DC5">
        <f>COUNTIFS('Coded Passages'!$B:$B,$A5,'Coded Passages'!$E:$E,$B5,'Coded Passages'!$H:$H,DC$2)</f>
        <v>0</v>
      </c>
      <c r="DD5">
        <f>COUNTIFS('Coded Passages'!$B:$B,$A5,'Coded Passages'!$E:$E,$B5,'Coded Passages'!$H:$H,DD$2)</f>
        <v>0</v>
      </c>
      <c r="DE5">
        <f>COUNTIFS('Coded Passages'!$B:$B,$A5,'Coded Passages'!$E:$E,$B5,'Coded Passages'!$H:$H,DE$2)</f>
        <v>0</v>
      </c>
      <c r="DF5">
        <f>COUNTIFS('Coded Passages'!$B:$B,$A5,'Coded Passages'!$E:$E,$B5,'Coded Passages'!$H:$H,DF$2)</f>
        <v>1</v>
      </c>
      <c r="DG5">
        <f>COUNTIFS('Coded Passages'!$B:$B,$A5,'Coded Passages'!$E:$E,$B5,'Coded Passages'!$H:$H,DG$2)</f>
        <v>1</v>
      </c>
      <c r="DH5">
        <f>COUNTIFS('Coded Passages'!$B:$B,$A5,'Coded Passages'!$E:$E,$B5,'Coded Passages'!$H:$H,DH$2)</f>
        <v>1</v>
      </c>
      <c r="DI5">
        <f>COUNTIFS('Coded Passages'!$B:$B,$A5,'Coded Passages'!$E:$E,$B5,'Coded Passages'!$H:$H,DI$2)</f>
        <v>0</v>
      </c>
      <c r="DJ5">
        <f>COUNTIFS('Coded Passages'!$B:$B,$A5,'Coded Passages'!$E:$E,$B5,'Coded Passages'!$H:$H,DJ$2)</f>
        <v>1</v>
      </c>
      <c r="DK5">
        <f>COUNTIFS('Coded Passages'!$B:$B,$A5,'Coded Passages'!$E:$E,$B5,'Coded Passages'!$H:$H,DK$2)</f>
        <v>1</v>
      </c>
      <c r="DL5">
        <f>COUNTIFS('Coded Passages'!$B:$B,$A5,'Coded Passages'!$E:$E,$B5,'Coded Passages'!$H:$H,DL$2)</f>
        <v>1</v>
      </c>
      <c r="DM5">
        <f>COUNTIFS('Coded Passages'!$B:$B,$A5,'Coded Passages'!$E:$E,$B5,'Coded Passages'!$H:$H,DM$2)</f>
        <v>0</v>
      </c>
      <c r="DN5">
        <f>COUNTIFS('Coded Passages'!$B:$B,$A5,'Coded Passages'!$E:$E,$B5,'Coded Passages'!$H:$H,DN$2)</f>
        <v>0</v>
      </c>
      <c r="DO5">
        <f>COUNTIFS('Coded Passages'!$B:$B,$A5,'Coded Passages'!$E:$E,$B5,'Coded Passages'!$H:$H,DO$2)</f>
        <v>0</v>
      </c>
      <c r="DP5">
        <f>COUNTIFS('Coded Passages'!$B:$B,$A5,'Coded Passages'!$E:$E,$B5,'Coded Passages'!$H:$H,DP$2)</f>
        <v>0</v>
      </c>
      <c r="DQ5">
        <f>COUNTIFS('Coded Passages'!$B:$B,$A5,'Coded Passages'!$E:$E,$B5,'Coded Passages'!$H:$H,DQ$2)</f>
        <v>0</v>
      </c>
      <c r="DR5">
        <f>COUNTIFS('Coded Passages'!$B:$B,$A5,'Coded Passages'!$E:$E,$B5,'Coded Passages'!$H:$H,DR$2)</f>
        <v>1</v>
      </c>
      <c r="DS5">
        <f>COUNTIFS('Coded Passages'!$B:$B,$A5,'Coded Passages'!$E:$E,$B5,'Coded Passages'!$H:$H,DS$2)</f>
        <v>2</v>
      </c>
      <c r="DT5">
        <f>COUNTIFS('Coded Passages'!$B:$B,$A5,'Coded Passages'!$E:$E,$B5,'Coded Passages'!$H:$H,DT$2)</f>
        <v>1</v>
      </c>
      <c r="DU5">
        <f>COUNTIFS('Coded Passages'!$B:$B,$A5,'Coded Passages'!$E:$E,$B5,'Coded Passages'!$H:$H,DU$2)</f>
        <v>0</v>
      </c>
      <c r="DV5">
        <f>COUNTIFS('Coded Passages'!$B:$B,$A5,'Coded Passages'!$E:$E,$B5,'Coded Passages'!$H:$H,DV$2)</f>
        <v>0</v>
      </c>
      <c r="DW5">
        <f>COUNTIFS('Coded Passages'!$B:$B,$A5,'Coded Passages'!$E:$E,$B5,'Coded Passages'!$H:$H,DW$2)</f>
        <v>1</v>
      </c>
      <c r="DX5">
        <f>COUNTIFS('Coded Passages'!$B:$B,$A5,'Coded Passages'!$E:$E,$B5,'Coded Passages'!$H:$H,DX$2)</f>
        <v>1</v>
      </c>
      <c r="DY5">
        <f>COUNTIFS('Coded Passages'!$B:$B,$A5,'Coded Passages'!$E:$E,$B5,'Coded Passages'!$H:$H,DY$2)</f>
        <v>0</v>
      </c>
      <c r="DZ5">
        <f>COUNTIFS('Coded Passages'!$B:$B,$A5,'Coded Passages'!$E:$E,$B5,'Coded Passages'!$H:$H,DZ$2)</f>
        <v>3</v>
      </c>
      <c r="EA5">
        <f>COUNTIFS('Coded Passages'!$B:$B,$A5,'Coded Passages'!$E:$E,$B5,'Coded Passages'!$H:$H,EA$2)</f>
        <v>0</v>
      </c>
      <c r="EB5">
        <f>COUNTIFS('Coded Passages'!$B:$B,$A5,'Coded Passages'!$E:$E,$B5,'Coded Passages'!$H:$H,EB$2)</f>
        <v>0</v>
      </c>
      <c r="EC5">
        <f>COUNTIFS('Coded Passages'!$B:$B,$A5,'Coded Passages'!$E:$E,$B5,'Coded Passages'!$H:$H,EC$2)</f>
        <v>0</v>
      </c>
      <c r="ED5">
        <f>COUNTIFS('Coded Passages'!$B:$B,$A5,'Coded Passages'!$E:$E,$B5,'Coded Passages'!$H:$H,ED$2)</f>
        <v>0</v>
      </c>
      <c r="EE5">
        <f>COUNTIFS('Coded Passages'!$B:$B,$A5,'Coded Passages'!$E:$E,$B5,'Coded Passages'!$H:$H,EE$2)</f>
        <v>1</v>
      </c>
      <c r="EF5">
        <f>COUNTIFS('Coded Passages'!$B:$B,$A5,'Coded Passages'!$E:$E,$B5,'Coded Passages'!$H:$H,EF$2)</f>
        <v>1</v>
      </c>
      <c r="EG5">
        <f>COUNTIFS('Coded Passages'!$B:$B,$A5,'Coded Passages'!$E:$E,$B5,'Coded Passages'!$H:$H,EG$2)</f>
        <v>0</v>
      </c>
      <c r="EH5">
        <f>COUNTIFS('Coded Passages'!$B:$B,$A5,'Coded Passages'!$E:$E,$B5,'Coded Passages'!$H:$H,EH$2)</f>
        <v>1</v>
      </c>
      <c r="EI5">
        <f>COUNTIFS('Coded Passages'!$B:$B,$A5,'Coded Passages'!$E:$E,$B5,'Coded Passages'!$H:$H,EI$2)</f>
        <v>1</v>
      </c>
      <c r="EJ5">
        <f>COUNTIFS('Coded Passages'!$B:$B,$A5,'Coded Passages'!$E:$E,$B5,'Coded Passages'!$H:$H,EJ$2)</f>
        <v>0</v>
      </c>
      <c r="EK5">
        <f>COUNTIFS('Coded Passages'!$B:$B,$A5,'Coded Passages'!$E:$E,$B5,'Coded Passages'!$H:$H,EK$2)</f>
        <v>0</v>
      </c>
      <c r="EL5">
        <f>COUNTIFS('Coded Passages'!$B:$B,$A5,'Coded Passages'!$E:$E,$B5,'Coded Passages'!$H:$H,EL$2)</f>
        <v>0</v>
      </c>
      <c r="EM5">
        <f>COUNTIFS('Coded Passages'!$B:$B,$A5,'Coded Passages'!$E:$E,$B5,'Coded Passages'!$H:$H,EM$2)</f>
        <v>1</v>
      </c>
      <c r="EN5">
        <f>COUNTIFS('Coded Passages'!$B:$B,$A5,'Coded Passages'!$E:$E,$B5,'Coded Passages'!$H:$H,EN$2)</f>
        <v>0</v>
      </c>
      <c r="EO5">
        <f>COUNTIFS('Coded Passages'!$B:$B,$A5,'Coded Passages'!$E:$E,$B5,'Coded Passages'!$H:$H,EO$2)</f>
        <v>0</v>
      </c>
      <c r="EP5">
        <f>COUNTIFS('Coded Passages'!$B:$B,$A5,'Coded Passages'!$E:$E,$B5,'Coded Passages'!$H:$H,EP$2)</f>
        <v>3</v>
      </c>
      <c r="EQ5">
        <f>COUNTIFS('Coded Passages'!$B:$B,$A5,'Coded Passages'!$E:$E,$B5,'Coded Passages'!$H:$H,EQ$2)</f>
        <v>0</v>
      </c>
      <c r="ER5">
        <f>COUNTIFS('Coded Passages'!$B:$B,$A5,'Coded Passages'!$E:$E,$B5,'Coded Passages'!$H:$H,ER$2)</f>
        <v>1</v>
      </c>
      <c r="ES5">
        <f>COUNTIFS('Coded Passages'!$B:$B,$A5,'Coded Passages'!$E:$E,$B5,'Coded Passages'!$H:$H,ES$2)</f>
        <v>0</v>
      </c>
      <c r="ET5">
        <f>COUNTIFS('Coded Passages'!$B:$B,$A5,'Coded Passages'!$E:$E,$B5,'Coded Passages'!$H:$H,ET$2)</f>
        <v>1</v>
      </c>
      <c r="EU5">
        <f>COUNTIFS('Coded Passages'!$B:$B,$A5,'Coded Passages'!$E:$E,$B5,'Coded Passages'!$H:$H,EU$2)</f>
        <v>1</v>
      </c>
      <c r="EV5">
        <f>COUNTIFS('Coded Passages'!$B:$B,$A5,'Coded Passages'!$E:$E,$B5,'Coded Passages'!$H:$H,EV$2)</f>
        <v>0</v>
      </c>
      <c r="EW5">
        <f>COUNTIFS('Coded Passages'!$B:$B,$A5,'Coded Passages'!$E:$E,$B5,'Coded Passages'!$H:$H,EW$2)</f>
        <v>1</v>
      </c>
      <c r="EX5">
        <f>COUNTIFS('Coded Passages'!$B:$B,$A5,'Coded Passages'!$E:$E,$B5,'Coded Passages'!$H:$H,EX$2)</f>
        <v>1</v>
      </c>
      <c r="EY5">
        <f>COUNTIFS('Coded Passages'!$B:$B,$A5,'Coded Passages'!$E:$E,$B5,'Coded Passages'!$H:$H,EY$2)</f>
        <v>2</v>
      </c>
      <c r="EZ5">
        <f>COUNTIFS('Coded Passages'!$B:$B,$A5,'Coded Passages'!$E:$E,$B5,'Coded Passages'!$H:$H,EZ$2)</f>
        <v>0</v>
      </c>
      <c r="FA5">
        <f>COUNTIFS('Coded Passages'!$B:$B,$A5,'Coded Passages'!$E:$E,$B5,'Coded Passages'!$H:$H,FA$2)</f>
        <v>0</v>
      </c>
      <c r="FB5">
        <f>COUNTIFS('Coded Passages'!$B:$B,$A5,'Coded Passages'!$E:$E,$B5,'Coded Passages'!$H:$H,FB$2)</f>
        <v>3</v>
      </c>
      <c r="FC5">
        <f>COUNTIFS('Coded Passages'!$B:$B,$A5,'Coded Passages'!$E:$E,$B5,'Coded Passages'!$H:$H,FC$2)</f>
        <v>0</v>
      </c>
      <c r="FD5">
        <f>COUNTIFS('Coded Passages'!$B:$B,$A5,'Coded Passages'!$E:$E,$B5,'Coded Passages'!$H:$H,FD$2)</f>
        <v>0</v>
      </c>
      <c r="FE5">
        <f>COUNTIFS('Coded Passages'!$B:$B,$A5,'Coded Passages'!$E:$E,$B5,'Coded Passages'!$H:$H,FE$2)</f>
        <v>0</v>
      </c>
      <c r="FF5">
        <f>COUNTIFS('Coded Passages'!$B:$B,$A5,'Coded Passages'!$E:$E,$B5,'Coded Passages'!$H:$H,FF$2)</f>
        <v>0</v>
      </c>
      <c r="FG5">
        <f>COUNTIFS('Coded Passages'!$B:$B,$A5,'Coded Passages'!$E:$E,$B5,'Coded Passages'!$H:$H,FG$2)</f>
        <v>0</v>
      </c>
      <c r="FH5">
        <f>COUNTIFS('Coded Passages'!$B:$B,$A5,'Coded Passages'!$E:$E,$B5,'Coded Passages'!$H:$H,FH$2)</f>
        <v>1</v>
      </c>
      <c r="FI5">
        <f>COUNTIFS('Coded Passages'!$B:$B,$A5,'Coded Passages'!$E:$E,$B5,'Coded Passages'!$H:$H,FI$2)</f>
        <v>0</v>
      </c>
      <c r="FJ5">
        <f>COUNTIFS('Coded Passages'!$B:$B,$A5,'Coded Passages'!$E:$E,$B5,'Coded Passages'!$H:$H,FJ$2)</f>
        <v>0</v>
      </c>
      <c r="FK5">
        <f>COUNTIFS('Coded Passages'!$B:$B,$A5,'Coded Passages'!$E:$E,$B5,'Coded Passages'!$H:$H,FK$2)</f>
        <v>0</v>
      </c>
      <c r="FL5">
        <f>COUNTIFS('Coded Passages'!$B:$B,$A5,'Coded Passages'!$E:$E,$B5,'Coded Passages'!$H:$H,FL$2)</f>
        <v>0</v>
      </c>
      <c r="FM5">
        <f>COUNTIFS('Coded Passages'!$B:$B,$A5,'Coded Passages'!$E:$E,$B5,'Coded Passages'!$H:$H,FM$2)</f>
        <v>0</v>
      </c>
      <c r="FN5">
        <f>COUNTIFS('Coded Passages'!$B:$B,$A5,'Coded Passages'!$E:$E,$B5,'Coded Passages'!$H:$H,FN$2)</f>
        <v>0</v>
      </c>
      <c r="FO5">
        <f>COUNTIFS('Coded Passages'!$B:$B,$A5,'Coded Passages'!$E:$E,$B5,'Coded Passages'!$H:$H,FO$2)</f>
        <v>2</v>
      </c>
      <c r="FP5">
        <f t="shared" si="0"/>
        <v>93</v>
      </c>
    </row>
    <row r="6" spans="1:172" x14ac:dyDescent="0.45">
      <c r="A6" s="9" t="s">
        <v>25</v>
      </c>
      <c r="B6" s="16" t="s">
        <v>62</v>
      </c>
      <c r="C6">
        <f>COUNTIFS('Coded Passages'!$B:$B,$A6,'Coded Passages'!$E:$E,$B6,'Coded Passages'!$H:$H,C$2)</f>
        <v>0</v>
      </c>
      <c r="D6">
        <f>COUNTIFS('Coded Passages'!$B:$B,$A6,'Coded Passages'!$E:$E,$B6,'Coded Passages'!$H:$H,D$2)</f>
        <v>0</v>
      </c>
      <c r="E6">
        <f>COUNTIFS('Coded Passages'!$B:$B,$A6,'Coded Passages'!$E:$E,$B6,'Coded Passages'!$H:$H,E$2)</f>
        <v>2</v>
      </c>
      <c r="F6">
        <f>COUNTIFS('Coded Passages'!$B:$B,$A6,'Coded Passages'!$E:$E,$B6,'Coded Passages'!$H:$H,F$2)</f>
        <v>0</v>
      </c>
      <c r="G6">
        <f>COUNTIFS('Coded Passages'!$B:$B,$A6,'Coded Passages'!$E:$E,$B6,'Coded Passages'!$H:$H,G$2)</f>
        <v>6</v>
      </c>
      <c r="H6">
        <f>COUNTIFS('Coded Passages'!$B:$B,$A6,'Coded Passages'!$E:$E,$B6,'Coded Passages'!$H:$H,H$2)</f>
        <v>1</v>
      </c>
      <c r="I6">
        <f>COUNTIFS('Coded Passages'!$B:$B,$A6,'Coded Passages'!$E:$E,$B6,'Coded Passages'!$H:$H,I$2)</f>
        <v>1</v>
      </c>
      <c r="J6">
        <f>COUNTIFS('Coded Passages'!$B:$B,$A6,'Coded Passages'!$E:$E,$B6,'Coded Passages'!$H:$H,J$2)</f>
        <v>0</v>
      </c>
      <c r="K6">
        <f>COUNTIFS('Coded Passages'!$B:$B,$A6,'Coded Passages'!$E:$E,$B6,'Coded Passages'!$H:$H,K$2)</f>
        <v>1</v>
      </c>
      <c r="L6">
        <f>COUNTIFS('Coded Passages'!$B:$B,$A6,'Coded Passages'!$E:$E,$B6,'Coded Passages'!$H:$H,L$2)</f>
        <v>0</v>
      </c>
      <c r="M6">
        <f>COUNTIFS('Coded Passages'!$B:$B,$A6,'Coded Passages'!$E:$E,$B6,'Coded Passages'!$H:$H,M$2)</f>
        <v>0</v>
      </c>
      <c r="N6">
        <f>COUNTIFS('Coded Passages'!$B:$B,$A6,'Coded Passages'!$E:$E,$B6,'Coded Passages'!$H:$H,N$2)</f>
        <v>0</v>
      </c>
      <c r="O6">
        <f>COUNTIFS('Coded Passages'!$B:$B,$A6,'Coded Passages'!$E:$E,$B6,'Coded Passages'!$H:$H,O$2)</f>
        <v>0</v>
      </c>
      <c r="P6">
        <f>COUNTIFS('Coded Passages'!$B:$B,$A6,'Coded Passages'!$E:$E,$B6,'Coded Passages'!$H:$H,P$2)</f>
        <v>1</v>
      </c>
      <c r="Q6">
        <f>COUNTIFS('Coded Passages'!$B:$B,$A6,'Coded Passages'!$E:$E,$B6,'Coded Passages'!$H:$H,Q$2)</f>
        <v>0</v>
      </c>
      <c r="R6">
        <f>COUNTIFS('Coded Passages'!$B:$B,$A6,'Coded Passages'!$E:$E,$B6,'Coded Passages'!$H:$H,R$2)</f>
        <v>0</v>
      </c>
      <c r="S6">
        <f>COUNTIFS('Coded Passages'!$B:$B,$A6,'Coded Passages'!$E:$E,$B6,'Coded Passages'!$H:$H,S$2)</f>
        <v>0</v>
      </c>
      <c r="T6">
        <f>COUNTIFS('Coded Passages'!$B:$B,$A6,'Coded Passages'!$E:$E,$B6,'Coded Passages'!$H:$H,T$2)</f>
        <v>1</v>
      </c>
      <c r="U6">
        <f>COUNTIFS('Coded Passages'!$B:$B,$A6,'Coded Passages'!$E:$E,$B6,'Coded Passages'!$H:$H,U$2)</f>
        <v>0</v>
      </c>
      <c r="V6">
        <f>COUNTIFS('Coded Passages'!$B:$B,$A6,'Coded Passages'!$E:$E,$B6,'Coded Passages'!$H:$H,V$2)</f>
        <v>0</v>
      </c>
      <c r="W6">
        <f>COUNTIFS('Coded Passages'!$B:$B,$A6,'Coded Passages'!$E:$E,$B6,'Coded Passages'!$H:$H,W$2)</f>
        <v>2</v>
      </c>
      <c r="X6">
        <f>COUNTIFS('Coded Passages'!$B:$B,$A6,'Coded Passages'!$E:$E,$B6,'Coded Passages'!$H:$H,X$2)</f>
        <v>1</v>
      </c>
      <c r="Y6">
        <f>COUNTIFS('Coded Passages'!$B:$B,$A6,'Coded Passages'!$E:$E,$B6,'Coded Passages'!$H:$H,Y$2)</f>
        <v>1</v>
      </c>
      <c r="Z6">
        <f>COUNTIFS('Coded Passages'!$B:$B,$A6,'Coded Passages'!$E:$E,$B6,'Coded Passages'!$H:$H,Z$2)</f>
        <v>1</v>
      </c>
      <c r="AA6">
        <f>COUNTIFS('Coded Passages'!$B:$B,$A6,'Coded Passages'!$E:$E,$B6,'Coded Passages'!$H:$H,AA$2)</f>
        <v>0</v>
      </c>
      <c r="AB6">
        <f>COUNTIFS('Coded Passages'!$B:$B,$A6,'Coded Passages'!$E:$E,$B6,'Coded Passages'!$H:$H,AB$2)</f>
        <v>0</v>
      </c>
      <c r="AC6">
        <f>COUNTIFS('Coded Passages'!$B:$B,$A6,'Coded Passages'!$E:$E,$B6,'Coded Passages'!$H:$H,AC$2)</f>
        <v>0</v>
      </c>
      <c r="AD6">
        <f>COUNTIFS('Coded Passages'!$B:$B,$A6,'Coded Passages'!$E:$E,$B6,'Coded Passages'!$H:$H,AD$2)</f>
        <v>1</v>
      </c>
      <c r="AE6">
        <f>COUNTIFS('Coded Passages'!$B:$B,$A6,'Coded Passages'!$E:$E,$B6,'Coded Passages'!$H:$H,AE$2)</f>
        <v>0</v>
      </c>
      <c r="AF6">
        <f>COUNTIFS('Coded Passages'!$B:$B,$A6,'Coded Passages'!$E:$E,$B6,'Coded Passages'!$H:$H,AF$2)</f>
        <v>0</v>
      </c>
      <c r="AG6">
        <f>COUNTIFS('Coded Passages'!$B:$B,$A6,'Coded Passages'!$E:$E,$B6,'Coded Passages'!$H:$H,AG$2)</f>
        <v>0</v>
      </c>
      <c r="AH6">
        <f>COUNTIFS('Coded Passages'!$B:$B,$A6,'Coded Passages'!$E:$E,$B6,'Coded Passages'!$H:$H,AH$2)</f>
        <v>1</v>
      </c>
      <c r="AI6">
        <f>COUNTIFS('Coded Passages'!$B:$B,$A6,'Coded Passages'!$E:$E,$B6,'Coded Passages'!$H:$H,AI$2)</f>
        <v>1</v>
      </c>
      <c r="AJ6">
        <f>COUNTIFS('Coded Passages'!$B:$B,$A6,'Coded Passages'!$E:$E,$B6,'Coded Passages'!$H:$H,AJ$2)</f>
        <v>1</v>
      </c>
      <c r="AK6">
        <f>COUNTIFS('Coded Passages'!$B:$B,$A6,'Coded Passages'!$E:$E,$B6,'Coded Passages'!$H:$H,AK$2)</f>
        <v>0</v>
      </c>
      <c r="AL6">
        <f>COUNTIFS('Coded Passages'!$B:$B,$A6,'Coded Passages'!$E:$E,$B6,'Coded Passages'!$H:$H,AL$2)</f>
        <v>1</v>
      </c>
      <c r="AM6">
        <f>COUNTIFS('Coded Passages'!$B:$B,$A6,'Coded Passages'!$E:$E,$B6,'Coded Passages'!$H:$H,AM$2)</f>
        <v>0</v>
      </c>
      <c r="AN6">
        <f>COUNTIFS('Coded Passages'!$B:$B,$A6,'Coded Passages'!$E:$E,$B6,'Coded Passages'!$H:$H,AN$2)</f>
        <v>0</v>
      </c>
      <c r="AO6">
        <f>COUNTIFS('Coded Passages'!$B:$B,$A6,'Coded Passages'!$E:$E,$B6,'Coded Passages'!$H:$H,AO$2)</f>
        <v>0</v>
      </c>
      <c r="AP6">
        <f>COUNTIFS('Coded Passages'!$B:$B,$A6,'Coded Passages'!$E:$E,$B6,'Coded Passages'!$H:$H,AP$2)</f>
        <v>0</v>
      </c>
      <c r="AQ6">
        <f>COUNTIFS('Coded Passages'!$B:$B,$A6,'Coded Passages'!$E:$E,$B6,'Coded Passages'!$H:$H,AQ$2)</f>
        <v>1</v>
      </c>
      <c r="AR6">
        <f>COUNTIFS('Coded Passages'!$B:$B,$A6,'Coded Passages'!$E:$E,$B6,'Coded Passages'!$H:$H,AR$2)</f>
        <v>2</v>
      </c>
      <c r="AS6">
        <f>COUNTIFS('Coded Passages'!$B:$B,$A6,'Coded Passages'!$E:$E,$B6,'Coded Passages'!$H:$H,AS$2)</f>
        <v>1</v>
      </c>
      <c r="AT6">
        <f>COUNTIFS('Coded Passages'!$B:$B,$A6,'Coded Passages'!$E:$E,$B6,'Coded Passages'!$H:$H,AT$2)</f>
        <v>0</v>
      </c>
      <c r="AU6">
        <f>COUNTIFS('Coded Passages'!$B:$B,$A6,'Coded Passages'!$E:$E,$B6,'Coded Passages'!$H:$H,AU$2)</f>
        <v>0</v>
      </c>
      <c r="AV6">
        <f>COUNTIFS('Coded Passages'!$B:$B,$A6,'Coded Passages'!$E:$E,$B6,'Coded Passages'!$H:$H,AV$2)</f>
        <v>1</v>
      </c>
      <c r="AW6">
        <f>COUNTIFS('Coded Passages'!$B:$B,$A6,'Coded Passages'!$E:$E,$B6,'Coded Passages'!$H:$H,AW$2)</f>
        <v>0</v>
      </c>
      <c r="AX6">
        <f>COUNTIFS('Coded Passages'!$B:$B,$A6,'Coded Passages'!$E:$E,$B6,'Coded Passages'!$H:$H,AX$2)</f>
        <v>0</v>
      </c>
      <c r="AY6">
        <f>COUNTIFS('Coded Passages'!$B:$B,$A6,'Coded Passages'!$E:$E,$B6,'Coded Passages'!$H:$H,AY$2)</f>
        <v>1</v>
      </c>
      <c r="AZ6">
        <f>COUNTIFS('Coded Passages'!$B:$B,$A6,'Coded Passages'!$E:$E,$B6,'Coded Passages'!$H:$H,AZ$2)</f>
        <v>0</v>
      </c>
      <c r="BA6">
        <f>COUNTIFS('Coded Passages'!$B:$B,$A6,'Coded Passages'!$E:$E,$B6,'Coded Passages'!$H:$H,BA$2)</f>
        <v>0</v>
      </c>
      <c r="BB6">
        <f>COUNTIFS('Coded Passages'!$B:$B,$A6,'Coded Passages'!$E:$E,$B6,'Coded Passages'!$H:$H,BB$2)</f>
        <v>0</v>
      </c>
      <c r="BC6">
        <f>COUNTIFS('Coded Passages'!$B:$B,$A6,'Coded Passages'!$E:$E,$B6,'Coded Passages'!$H:$H,BC$2)</f>
        <v>1</v>
      </c>
      <c r="BD6">
        <f>COUNTIFS('Coded Passages'!$B:$B,$A6,'Coded Passages'!$E:$E,$B6,'Coded Passages'!$H:$H,BD$2)</f>
        <v>0</v>
      </c>
      <c r="BE6">
        <f>COUNTIFS('Coded Passages'!$B:$B,$A6,'Coded Passages'!$E:$E,$B6,'Coded Passages'!$H:$H,BE$2)</f>
        <v>0</v>
      </c>
      <c r="BF6">
        <f>COUNTIFS('Coded Passages'!$B:$B,$A6,'Coded Passages'!$E:$E,$B6,'Coded Passages'!$H:$H,BF$2)</f>
        <v>0</v>
      </c>
      <c r="BG6">
        <f>COUNTIFS('Coded Passages'!$B:$B,$A6,'Coded Passages'!$E:$E,$B6,'Coded Passages'!$H:$H,BG$2)</f>
        <v>0</v>
      </c>
      <c r="BH6">
        <f>COUNTIFS('Coded Passages'!$B:$B,$A6,'Coded Passages'!$E:$E,$B6,'Coded Passages'!$H:$H,BH$2)</f>
        <v>0</v>
      </c>
      <c r="BI6">
        <f>COUNTIFS('Coded Passages'!$B:$B,$A6,'Coded Passages'!$E:$E,$B6,'Coded Passages'!$H:$H,BI$2)</f>
        <v>1</v>
      </c>
      <c r="BJ6">
        <f>COUNTIFS('Coded Passages'!$B:$B,$A6,'Coded Passages'!$E:$E,$B6,'Coded Passages'!$H:$H,BJ$2)</f>
        <v>0</v>
      </c>
      <c r="BK6">
        <f>COUNTIFS('Coded Passages'!$B:$B,$A6,'Coded Passages'!$E:$E,$B6,'Coded Passages'!$H:$H,BK$2)</f>
        <v>1</v>
      </c>
      <c r="BL6">
        <f>COUNTIFS('Coded Passages'!$B:$B,$A6,'Coded Passages'!$E:$E,$B6,'Coded Passages'!$H:$H,BL$2)</f>
        <v>0</v>
      </c>
      <c r="BM6">
        <f>COUNTIFS('Coded Passages'!$B:$B,$A6,'Coded Passages'!$E:$E,$B6,'Coded Passages'!$H:$H,BM$2)</f>
        <v>0</v>
      </c>
      <c r="BN6">
        <f>COUNTIFS('Coded Passages'!$B:$B,$A6,'Coded Passages'!$E:$E,$B6,'Coded Passages'!$H:$H,BN$2)</f>
        <v>0</v>
      </c>
      <c r="BO6">
        <f>COUNTIFS('Coded Passages'!$B:$B,$A6,'Coded Passages'!$E:$E,$B6,'Coded Passages'!$H:$H,BO$2)</f>
        <v>1</v>
      </c>
      <c r="BP6">
        <f>COUNTIFS('Coded Passages'!$B:$B,$A6,'Coded Passages'!$E:$E,$B6,'Coded Passages'!$H:$H,BP$2)</f>
        <v>1</v>
      </c>
      <c r="BQ6">
        <f>COUNTIFS('Coded Passages'!$B:$B,$A6,'Coded Passages'!$E:$E,$B6,'Coded Passages'!$H:$H,BQ$2)</f>
        <v>0</v>
      </c>
      <c r="BR6">
        <f>COUNTIFS('Coded Passages'!$B:$B,$A6,'Coded Passages'!$E:$E,$B6,'Coded Passages'!$H:$H,BR$2)</f>
        <v>0</v>
      </c>
      <c r="BS6">
        <f>COUNTIFS('Coded Passages'!$B:$B,$A6,'Coded Passages'!$E:$E,$B6,'Coded Passages'!$H:$H,BS$2)</f>
        <v>1</v>
      </c>
      <c r="BT6">
        <f>COUNTIFS('Coded Passages'!$B:$B,$A6,'Coded Passages'!$E:$E,$B6,'Coded Passages'!$H:$H,BT$2)</f>
        <v>1</v>
      </c>
      <c r="BU6">
        <f>COUNTIFS('Coded Passages'!$B:$B,$A6,'Coded Passages'!$E:$E,$B6,'Coded Passages'!$H:$H,BU$2)</f>
        <v>0</v>
      </c>
      <c r="BV6">
        <f>COUNTIFS('Coded Passages'!$B:$B,$A6,'Coded Passages'!$E:$E,$B6,'Coded Passages'!$H:$H,BV$2)</f>
        <v>1</v>
      </c>
      <c r="BW6">
        <f>COUNTIFS('Coded Passages'!$B:$B,$A6,'Coded Passages'!$E:$E,$B6,'Coded Passages'!$H:$H,BW$2)</f>
        <v>1</v>
      </c>
      <c r="BX6">
        <f>COUNTIFS('Coded Passages'!$B:$B,$A6,'Coded Passages'!$E:$E,$B6,'Coded Passages'!$H:$H,BX$2)</f>
        <v>0</v>
      </c>
      <c r="BY6">
        <f>COUNTIFS('Coded Passages'!$B:$B,$A6,'Coded Passages'!$E:$E,$B6,'Coded Passages'!$H:$H,BY$2)</f>
        <v>0</v>
      </c>
      <c r="BZ6">
        <f>COUNTIFS('Coded Passages'!$B:$B,$A6,'Coded Passages'!$E:$E,$B6,'Coded Passages'!$H:$H,BZ$2)</f>
        <v>1</v>
      </c>
      <c r="CA6">
        <f>COUNTIFS('Coded Passages'!$B:$B,$A6,'Coded Passages'!$E:$E,$B6,'Coded Passages'!$H:$H,CA$2)</f>
        <v>0</v>
      </c>
      <c r="CB6">
        <f>COUNTIFS('Coded Passages'!$B:$B,$A6,'Coded Passages'!$E:$E,$B6,'Coded Passages'!$H:$H,CB$2)</f>
        <v>0</v>
      </c>
      <c r="CC6">
        <f>COUNTIFS('Coded Passages'!$B:$B,$A6,'Coded Passages'!$E:$E,$B6,'Coded Passages'!$H:$H,CC$2)</f>
        <v>0</v>
      </c>
      <c r="CD6">
        <f>COUNTIFS('Coded Passages'!$B:$B,$A6,'Coded Passages'!$E:$E,$B6,'Coded Passages'!$H:$H,CD$2)</f>
        <v>0</v>
      </c>
      <c r="CE6">
        <f>COUNTIFS('Coded Passages'!$B:$B,$A6,'Coded Passages'!$E:$E,$B6,'Coded Passages'!$H:$H,CE$2)</f>
        <v>1</v>
      </c>
      <c r="CF6">
        <f>COUNTIFS('Coded Passages'!$B:$B,$A6,'Coded Passages'!$E:$E,$B6,'Coded Passages'!$H:$H,CF$2)</f>
        <v>0</v>
      </c>
      <c r="CG6">
        <f>COUNTIFS('Coded Passages'!$B:$B,$A6,'Coded Passages'!$E:$E,$B6,'Coded Passages'!$H:$H,CG$2)</f>
        <v>1</v>
      </c>
      <c r="CH6">
        <f>COUNTIFS('Coded Passages'!$B:$B,$A6,'Coded Passages'!$E:$E,$B6,'Coded Passages'!$H:$H,CH$2)</f>
        <v>2</v>
      </c>
      <c r="CI6">
        <f>COUNTIFS('Coded Passages'!$B:$B,$A6,'Coded Passages'!$E:$E,$B6,'Coded Passages'!$H:$H,CI$2)</f>
        <v>1</v>
      </c>
      <c r="CJ6">
        <f>COUNTIFS('Coded Passages'!$B:$B,$A6,'Coded Passages'!$E:$E,$B6,'Coded Passages'!$H:$H,CJ$2)</f>
        <v>0</v>
      </c>
      <c r="CK6">
        <f>COUNTIFS('Coded Passages'!$B:$B,$A6,'Coded Passages'!$E:$E,$B6,'Coded Passages'!$H:$H,CK$2)</f>
        <v>2</v>
      </c>
      <c r="CL6">
        <f>COUNTIFS('Coded Passages'!$B:$B,$A6,'Coded Passages'!$E:$E,$B6,'Coded Passages'!$H:$H,CL$2)</f>
        <v>0</v>
      </c>
      <c r="CM6">
        <f>COUNTIFS('Coded Passages'!$B:$B,$A6,'Coded Passages'!$E:$E,$B6,'Coded Passages'!$H:$H,CM$2)</f>
        <v>2</v>
      </c>
      <c r="CN6">
        <f>COUNTIFS('Coded Passages'!$B:$B,$A6,'Coded Passages'!$E:$E,$B6,'Coded Passages'!$H:$H,CN$2)</f>
        <v>1</v>
      </c>
      <c r="CO6">
        <f>COUNTIFS('Coded Passages'!$B:$B,$A6,'Coded Passages'!$E:$E,$B6,'Coded Passages'!$H:$H,CO$2)</f>
        <v>0</v>
      </c>
      <c r="CP6">
        <f>COUNTIFS('Coded Passages'!$B:$B,$A6,'Coded Passages'!$E:$E,$B6,'Coded Passages'!$H:$H,CP$2)</f>
        <v>0</v>
      </c>
      <c r="CQ6">
        <f>COUNTIFS('Coded Passages'!$B:$B,$A6,'Coded Passages'!$E:$E,$B6,'Coded Passages'!$H:$H,CQ$2)</f>
        <v>1</v>
      </c>
      <c r="CR6">
        <f>COUNTIFS('Coded Passages'!$B:$B,$A6,'Coded Passages'!$E:$E,$B6,'Coded Passages'!$H:$H,CR$2)</f>
        <v>0</v>
      </c>
      <c r="CS6">
        <f>COUNTIFS('Coded Passages'!$B:$B,$A6,'Coded Passages'!$E:$E,$B6,'Coded Passages'!$H:$H,CS$2)</f>
        <v>0</v>
      </c>
      <c r="CT6">
        <f>COUNTIFS('Coded Passages'!$B:$B,$A6,'Coded Passages'!$E:$E,$B6,'Coded Passages'!$H:$H,CT$2)</f>
        <v>0</v>
      </c>
      <c r="CU6">
        <f>COUNTIFS('Coded Passages'!$B:$B,$A6,'Coded Passages'!$E:$E,$B6,'Coded Passages'!$H:$H,CU$2)</f>
        <v>0</v>
      </c>
      <c r="CV6">
        <f>COUNTIFS('Coded Passages'!$B:$B,$A6,'Coded Passages'!$E:$E,$B6,'Coded Passages'!$H:$H,CV$2)</f>
        <v>0</v>
      </c>
      <c r="CW6">
        <f>COUNTIFS('Coded Passages'!$B:$B,$A6,'Coded Passages'!$E:$E,$B6,'Coded Passages'!$H:$H,CW$2)</f>
        <v>0</v>
      </c>
      <c r="CX6">
        <f>COUNTIFS('Coded Passages'!$B:$B,$A6,'Coded Passages'!$E:$E,$B6,'Coded Passages'!$H:$H,CX$2)</f>
        <v>0</v>
      </c>
      <c r="CY6">
        <f>COUNTIFS('Coded Passages'!$B:$B,$A6,'Coded Passages'!$E:$E,$B6,'Coded Passages'!$H:$H,CY$2)</f>
        <v>0</v>
      </c>
      <c r="CZ6">
        <f>COUNTIFS('Coded Passages'!$B:$B,$A6,'Coded Passages'!$E:$E,$B6,'Coded Passages'!$H:$H,CZ$2)</f>
        <v>4</v>
      </c>
      <c r="DA6">
        <f>COUNTIFS('Coded Passages'!$B:$B,$A6,'Coded Passages'!$E:$E,$B6,'Coded Passages'!$H:$H,DA$2)</f>
        <v>0</v>
      </c>
      <c r="DB6">
        <f>COUNTIFS('Coded Passages'!$B:$B,$A6,'Coded Passages'!$E:$E,$B6,'Coded Passages'!$H:$H,DB$2)</f>
        <v>0</v>
      </c>
      <c r="DC6">
        <f>COUNTIFS('Coded Passages'!$B:$B,$A6,'Coded Passages'!$E:$E,$B6,'Coded Passages'!$H:$H,DC$2)</f>
        <v>0</v>
      </c>
      <c r="DD6">
        <f>COUNTIFS('Coded Passages'!$B:$B,$A6,'Coded Passages'!$E:$E,$B6,'Coded Passages'!$H:$H,DD$2)</f>
        <v>0</v>
      </c>
      <c r="DE6">
        <f>COUNTIFS('Coded Passages'!$B:$B,$A6,'Coded Passages'!$E:$E,$B6,'Coded Passages'!$H:$H,DE$2)</f>
        <v>0</v>
      </c>
      <c r="DF6">
        <f>COUNTIFS('Coded Passages'!$B:$B,$A6,'Coded Passages'!$E:$E,$B6,'Coded Passages'!$H:$H,DF$2)</f>
        <v>1</v>
      </c>
      <c r="DG6">
        <f>COUNTIFS('Coded Passages'!$B:$B,$A6,'Coded Passages'!$E:$E,$B6,'Coded Passages'!$H:$H,DG$2)</f>
        <v>0</v>
      </c>
      <c r="DH6">
        <f>COUNTIFS('Coded Passages'!$B:$B,$A6,'Coded Passages'!$E:$E,$B6,'Coded Passages'!$H:$H,DH$2)</f>
        <v>1</v>
      </c>
      <c r="DI6">
        <f>COUNTIFS('Coded Passages'!$B:$B,$A6,'Coded Passages'!$E:$E,$B6,'Coded Passages'!$H:$H,DI$2)</f>
        <v>0</v>
      </c>
      <c r="DJ6">
        <f>COUNTIFS('Coded Passages'!$B:$B,$A6,'Coded Passages'!$E:$E,$B6,'Coded Passages'!$H:$H,DJ$2)</f>
        <v>0</v>
      </c>
      <c r="DK6">
        <f>COUNTIFS('Coded Passages'!$B:$B,$A6,'Coded Passages'!$E:$E,$B6,'Coded Passages'!$H:$H,DK$2)</f>
        <v>1</v>
      </c>
      <c r="DL6">
        <f>COUNTIFS('Coded Passages'!$B:$B,$A6,'Coded Passages'!$E:$E,$B6,'Coded Passages'!$H:$H,DL$2)</f>
        <v>0</v>
      </c>
      <c r="DM6">
        <f>COUNTIFS('Coded Passages'!$B:$B,$A6,'Coded Passages'!$E:$E,$B6,'Coded Passages'!$H:$H,DM$2)</f>
        <v>0</v>
      </c>
      <c r="DN6">
        <f>COUNTIFS('Coded Passages'!$B:$B,$A6,'Coded Passages'!$E:$E,$B6,'Coded Passages'!$H:$H,DN$2)</f>
        <v>0</v>
      </c>
      <c r="DO6">
        <f>COUNTIFS('Coded Passages'!$B:$B,$A6,'Coded Passages'!$E:$E,$B6,'Coded Passages'!$H:$H,DO$2)</f>
        <v>1</v>
      </c>
      <c r="DP6">
        <f>COUNTIFS('Coded Passages'!$B:$B,$A6,'Coded Passages'!$E:$E,$B6,'Coded Passages'!$H:$H,DP$2)</f>
        <v>0</v>
      </c>
      <c r="DQ6">
        <f>COUNTIFS('Coded Passages'!$B:$B,$A6,'Coded Passages'!$E:$E,$B6,'Coded Passages'!$H:$H,DQ$2)</f>
        <v>0</v>
      </c>
      <c r="DR6">
        <f>COUNTIFS('Coded Passages'!$B:$B,$A6,'Coded Passages'!$E:$E,$B6,'Coded Passages'!$H:$H,DR$2)</f>
        <v>0</v>
      </c>
      <c r="DS6">
        <f>COUNTIFS('Coded Passages'!$B:$B,$A6,'Coded Passages'!$E:$E,$B6,'Coded Passages'!$H:$H,DS$2)</f>
        <v>0</v>
      </c>
      <c r="DT6">
        <f>COUNTIFS('Coded Passages'!$B:$B,$A6,'Coded Passages'!$E:$E,$B6,'Coded Passages'!$H:$H,DT$2)</f>
        <v>0</v>
      </c>
      <c r="DU6">
        <f>COUNTIFS('Coded Passages'!$B:$B,$A6,'Coded Passages'!$E:$E,$B6,'Coded Passages'!$H:$H,DU$2)</f>
        <v>0</v>
      </c>
      <c r="DV6">
        <f>COUNTIFS('Coded Passages'!$B:$B,$A6,'Coded Passages'!$E:$E,$B6,'Coded Passages'!$H:$H,DV$2)</f>
        <v>0</v>
      </c>
      <c r="DW6">
        <f>COUNTIFS('Coded Passages'!$B:$B,$A6,'Coded Passages'!$E:$E,$B6,'Coded Passages'!$H:$H,DW$2)</f>
        <v>0</v>
      </c>
      <c r="DX6">
        <f>COUNTIFS('Coded Passages'!$B:$B,$A6,'Coded Passages'!$E:$E,$B6,'Coded Passages'!$H:$H,DX$2)</f>
        <v>0</v>
      </c>
      <c r="DY6">
        <f>COUNTIFS('Coded Passages'!$B:$B,$A6,'Coded Passages'!$E:$E,$B6,'Coded Passages'!$H:$H,DY$2)</f>
        <v>1</v>
      </c>
      <c r="DZ6">
        <f>COUNTIFS('Coded Passages'!$B:$B,$A6,'Coded Passages'!$E:$E,$B6,'Coded Passages'!$H:$H,DZ$2)</f>
        <v>1</v>
      </c>
      <c r="EA6">
        <f>COUNTIFS('Coded Passages'!$B:$B,$A6,'Coded Passages'!$E:$E,$B6,'Coded Passages'!$H:$H,EA$2)</f>
        <v>0</v>
      </c>
      <c r="EB6">
        <f>COUNTIFS('Coded Passages'!$B:$B,$A6,'Coded Passages'!$E:$E,$B6,'Coded Passages'!$H:$H,EB$2)</f>
        <v>1</v>
      </c>
      <c r="EC6">
        <f>COUNTIFS('Coded Passages'!$B:$B,$A6,'Coded Passages'!$E:$E,$B6,'Coded Passages'!$H:$H,EC$2)</f>
        <v>2</v>
      </c>
      <c r="ED6">
        <f>COUNTIFS('Coded Passages'!$B:$B,$A6,'Coded Passages'!$E:$E,$B6,'Coded Passages'!$H:$H,ED$2)</f>
        <v>0</v>
      </c>
      <c r="EE6">
        <f>COUNTIFS('Coded Passages'!$B:$B,$A6,'Coded Passages'!$E:$E,$B6,'Coded Passages'!$H:$H,EE$2)</f>
        <v>0</v>
      </c>
      <c r="EF6">
        <f>COUNTIFS('Coded Passages'!$B:$B,$A6,'Coded Passages'!$E:$E,$B6,'Coded Passages'!$H:$H,EF$2)</f>
        <v>0</v>
      </c>
      <c r="EG6">
        <f>COUNTIFS('Coded Passages'!$B:$B,$A6,'Coded Passages'!$E:$E,$B6,'Coded Passages'!$H:$H,EG$2)</f>
        <v>2</v>
      </c>
      <c r="EH6">
        <f>COUNTIFS('Coded Passages'!$B:$B,$A6,'Coded Passages'!$E:$E,$B6,'Coded Passages'!$H:$H,EH$2)</f>
        <v>1</v>
      </c>
      <c r="EI6">
        <f>COUNTIFS('Coded Passages'!$B:$B,$A6,'Coded Passages'!$E:$E,$B6,'Coded Passages'!$H:$H,EI$2)</f>
        <v>0</v>
      </c>
      <c r="EJ6">
        <f>COUNTIFS('Coded Passages'!$B:$B,$A6,'Coded Passages'!$E:$E,$B6,'Coded Passages'!$H:$H,EJ$2)</f>
        <v>0</v>
      </c>
      <c r="EK6">
        <f>COUNTIFS('Coded Passages'!$B:$B,$A6,'Coded Passages'!$E:$E,$B6,'Coded Passages'!$H:$H,EK$2)</f>
        <v>2</v>
      </c>
      <c r="EL6">
        <f>COUNTIFS('Coded Passages'!$B:$B,$A6,'Coded Passages'!$E:$E,$B6,'Coded Passages'!$H:$H,EL$2)</f>
        <v>0</v>
      </c>
      <c r="EM6">
        <f>COUNTIFS('Coded Passages'!$B:$B,$A6,'Coded Passages'!$E:$E,$B6,'Coded Passages'!$H:$H,EM$2)</f>
        <v>0</v>
      </c>
      <c r="EN6">
        <f>COUNTIFS('Coded Passages'!$B:$B,$A6,'Coded Passages'!$E:$E,$B6,'Coded Passages'!$H:$H,EN$2)</f>
        <v>0</v>
      </c>
      <c r="EO6">
        <f>COUNTIFS('Coded Passages'!$B:$B,$A6,'Coded Passages'!$E:$E,$B6,'Coded Passages'!$H:$H,EO$2)</f>
        <v>0</v>
      </c>
      <c r="EP6">
        <f>COUNTIFS('Coded Passages'!$B:$B,$A6,'Coded Passages'!$E:$E,$B6,'Coded Passages'!$H:$H,EP$2)</f>
        <v>0</v>
      </c>
      <c r="EQ6">
        <f>COUNTIFS('Coded Passages'!$B:$B,$A6,'Coded Passages'!$E:$E,$B6,'Coded Passages'!$H:$H,EQ$2)</f>
        <v>0</v>
      </c>
      <c r="ER6">
        <f>COUNTIFS('Coded Passages'!$B:$B,$A6,'Coded Passages'!$E:$E,$B6,'Coded Passages'!$H:$H,ER$2)</f>
        <v>1</v>
      </c>
      <c r="ES6">
        <f>COUNTIFS('Coded Passages'!$B:$B,$A6,'Coded Passages'!$E:$E,$B6,'Coded Passages'!$H:$H,ES$2)</f>
        <v>1</v>
      </c>
      <c r="ET6">
        <f>COUNTIFS('Coded Passages'!$B:$B,$A6,'Coded Passages'!$E:$E,$B6,'Coded Passages'!$H:$H,ET$2)</f>
        <v>2</v>
      </c>
      <c r="EU6">
        <f>COUNTIFS('Coded Passages'!$B:$B,$A6,'Coded Passages'!$E:$E,$B6,'Coded Passages'!$H:$H,EU$2)</f>
        <v>0</v>
      </c>
      <c r="EV6">
        <f>COUNTIFS('Coded Passages'!$B:$B,$A6,'Coded Passages'!$E:$E,$B6,'Coded Passages'!$H:$H,EV$2)</f>
        <v>0</v>
      </c>
      <c r="EW6">
        <f>COUNTIFS('Coded Passages'!$B:$B,$A6,'Coded Passages'!$E:$E,$B6,'Coded Passages'!$H:$H,EW$2)</f>
        <v>2</v>
      </c>
      <c r="EX6">
        <f>COUNTIFS('Coded Passages'!$B:$B,$A6,'Coded Passages'!$E:$E,$B6,'Coded Passages'!$H:$H,EX$2)</f>
        <v>0</v>
      </c>
      <c r="EY6">
        <f>COUNTIFS('Coded Passages'!$B:$B,$A6,'Coded Passages'!$E:$E,$B6,'Coded Passages'!$H:$H,EY$2)</f>
        <v>1</v>
      </c>
      <c r="EZ6">
        <f>COUNTIFS('Coded Passages'!$B:$B,$A6,'Coded Passages'!$E:$E,$B6,'Coded Passages'!$H:$H,EZ$2)</f>
        <v>0</v>
      </c>
      <c r="FA6">
        <f>COUNTIFS('Coded Passages'!$B:$B,$A6,'Coded Passages'!$E:$E,$B6,'Coded Passages'!$H:$H,FA$2)</f>
        <v>0</v>
      </c>
      <c r="FB6">
        <f>COUNTIFS('Coded Passages'!$B:$B,$A6,'Coded Passages'!$E:$E,$B6,'Coded Passages'!$H:$H,FB$2)</f>
        <v>3</v>
      </c>
      <c r="FC6">
        <f>COUNTIFS('Coded Passages'!$B:$B,$A6,'Coded Passages'!$E:$E,$B6,'Coded Passages'!$H:$H,FC$2)</f>
        <v>0</v>
      </c>
      <c r="FD6">
        <f>COUNTIFS('Coded Passages'!$B:$B,$A6,'Coded Passages'!$E:$E,$B6,'Coded Passages'!$H:$H,FD$2)</f>
        <v>0</v>
      </c>
      <c r="FE6">
        <f>COUNTIFS('Coded Passages'!$B:$B,$A6,'Coded Passages'!$E:$E,$B6,'Coded Passages'!$H:$H,FE$2)</f>
        <v>0</v>
      </c>
      <c r="FF6">
        <f>COUNTIFS('Coded Passages'!$B:$B,$A6,'Coded Passages'!$E:$E,$B6,'Coded Passages'!$H:$H,FF$2)</f>
        <v>0</v>
      </c>
      <c r="FG6">
        <f>COUNTIFS('Coded Passages'!$B:$B,$A6,'Coded Passages'!$E:$E,$B6,'Coded Passages'!$H:$H,FG$2)</f>
        <v>0</v>
      </c>
      <c r="FH6">
        <f>COUNTIFS('Coded Passages'!$B:$B,$A6,'Coded Passages'!$E:$E,$B6,'Coded Passages'!$H:$H,FH$2)</f>
        <v>0</v>
      </c>
      <c r="FI6">
        <f>COUNTIFS('Coded Passages'!$B:$B,$A6,'Coded Passages'!$E:$E,$B6,'Coded Passages'!$H:$H,FI$2)</f>
        <v>0</v>
      </c>
      <c r="FJ6">
        <f>COUNTIFS('Coded Passages'!$B:$B,$A6,'Coded Passages'!$E:$E,$B6,'Coded Passages'!$H:$H,FJ$2)</f>
        <v>0</v>
      </c>
      <c r="FK6">
        <f>COUNTIFS('Coded Passages'!$B:$B,$A6,'Coded Passages'!$E:$E,$B6,'Coded Passages'!$H:$H,FK$2)</f>
        <v>0</v>
      </c>
      <c r="FL6">
        <f>COUNTIFS('Coded Passages'!$B:$B,$A6,'Coded Passages'!$E:$E,$B6,'Coded Passages'!$H:$H,FL$2)</f>
        <v>0</v>
      </c>
      <c r="FM6">
        <f>COUNTIFS('Coded Passages'!$B:$B,$A6,'Coded Passages'!$E:$E,$B6,'Coded Passages'!$H:$H,FM$2)</f>
        <v>1</v>
      </c>
      <c r="FN6">
        <f>COUNTIFS('Coded Passages'!$B:$B,$A6,'Coded Passages'!$E:$E,$B6,'Coded Passages'!$H:$H,FN$2)</f>
        <v>0</v>
      </c>
      <c r="FO6">
        <f>COUNTIFS('Coded Passages'!$B:$B,$A6,'Coded Passages'!$E:$E,$B6,'Coded Passages'!$H:$H,FO$2)</f>
        <v>6</v>
      </c>
      <c r="FP6">
        <f t="shared" si="0"/>
        <v>85</v>
      </c>
    </row>
    <row r="7" spans="1:172" x14ac:dyDescent="0.45">
      <c r="A7" s="12" t="s">
        <v>31</v>
      </c>
      <c r="B7" s="16" t="s">
        <v>109</v>
      </c>
      <c r="C7">
        <f>COUNTIFS('Coded Passages'!$B:$B,$A7,'Coded Passages'!$E:$E,$B7,'Coded Passages'!$H:$H,C$2)</f>
        <v>0</v>
      </c>
      <c r="D7">
        <f>COUNTIFS('Coded Passages'!$B:$B,$A7,'Coded Passages'!$E:$E,$B7,'Coded Passages'!$H:$H,D$2)</f>
        <v>0</v>
      </c>
      <c r="E7">
        <f>COUNTIFS('Coded Passages'!$B:$B,$A7,'Coded Passages'!$E:$E,$B7,'Coded Passages'!$H:$H,E$2)</f>
        <v>0</v>
      </c>
      <c r="F7">
        <f>COUNTIFS('Coded Passages'!$B:$B,$A7,'Coded Passages'!$E:$E,$B7,'Coded Passages'!$H:$H,F$2)</f>
        <v>0</v>
      </c>
      <c r="G7">
        <f>COUNTIFS('Coded Passages'!$B:$B,$A7,'Coded Passages'!$E:$E,$B7,'Coded Passages'!$H:$H,G$2)</f>
        <v>1</v>
      </c>
      <c r="H7">
        <f>COUNTIFS('Coded Passages'!$B:$B,$A7,'Coded Passages'!$E:$E,$B7,'Coded Passages'!$H:$H,H$2)</f>
        <v>1</v>
      </c>
      <c r="I7">
        <f>COUNTIFS('Coded Passages'!$B:$B,$A7,'Coded Passages'!$E:$E,$B7,'Coded Passages'!$H:$H,I$2)</f>
        <v>0</v>
      </c>
      <c r="J7">
        <f>COUNTIFS('Coded Passages'!$B:$B,$A7,'Coded Passages'!$E:$E,$B7,'Coded Passages'!$H:$H,J$2)</f>
        <v>0</v>
      </c>
      <c r="K7">
        <f>COUNTIFS('Coded Passages'!$B:$B,$A7,'Coded Passages'!$E:$E,$B7,'Coded Passages'!$H:$H,K$2)</f>
        <v>0</v>
      </c>
      <c r="L7">
        <f>COUNTIFS('Coded Passages'!$B:$B,$A7,'Coded Passages'!$E:$E,$B7,'Coded Passages'!$H:$H,L$2)</f>
        <v>0</v>
      </c>
      <c r="M7">
        <f>COUNTIFS('Coded Passages'!$B:$B,$A7,'Coded Passages'!$E:$E,$B7,'Coded Passages'!$H:$H,M$2)</f>
        <v>0</v>
      </c>
      <c r="N7">
        <f>COUNTIFS('Coded Passages'!$B:$B,$A7,'Coded Passages'!$E:$E,$B7,'Coded Passages'!$H:$H,N$2)</f>
        <v>0</v>
      </c>
      <c r="O7">
        <f>COUNTIFS('Coded Passages'!$B:$B,$A7,'Coded Passages'!$E:$E,$B7,'Coded Passages'!$H:$H,O$2)</f>
        <v>0</v>
      </c>
      <c r="P7">
        <f>COUNTIFS('Coded Passages'!$B:$B,$A7,'Coded Passages'!$E:$E,$B7,'Coded Passages'!$H:$H,P$2)</f>
        <v>0</v>
      </c>
      <c r="Q7">
        <f>COUNTIFS('Coded Passages'!$B:$B,$A7,'Coded Passages'!$E:$E,$B7,'Coded Passages'!$H:$H,Q$2)</f>
        <v>0</v>
      </c>
      <c r="R7">
        <f>COUNTIFS('Coded Passages'!$B:$B,$A7,'Coded Passages'!$E:$E,$B7,'Coded Passages'!$H:$H,R$2)</f>
        <v>1</v>
      </c>
      <c r="S7">
        <f>COUNTIFS('Coded Passages'!$B:$B,$A7,'Coded Passages'!$E:$E,$B7,'Coded Passages'!$H:$H,S$2)</f>
        <v>1</v>
      </c>
      <c r="T7">
        <f>COUNTIFS('Coded Passages'!$B:$B,$A7,'Coded Passages'!$E:$E,$B7,'Coded Passages'!$H:$H,T$2)</f>
        <v>0</v>
      </c>
      <c r="U7">
        <f>COUNTIFS('Coded Passages'!$B:$B,$A7,'Coded Passages'!$E:$E,$B7,'Coded Passages'!$H:$H,U$2)</f>
        <v>0</v>
      </c>
      <c r="V7">
        <f>COUNTIFS('Coded Passages'!$B:$B,$A7,'Coded Passages'!$E:$E,$B7,'Coded Passages'!$H:$H,V$2)</f>
        <v>0</v>
      </c>
      <c r="W7">
        <f>COUNTIFS('Coded Passages'!$B:$B,$A7,'Coded Passages'!$E:$E,$B7,'Coded Passages'!$H:$H,W$2)</f>
        <v>0</v>
      </c>
      <c r="X7">
        <f>COUNTIFS('Coded Passages'!$B:$B,$A7,'Coded Passages'!$E:$E,$B7,'Coded Passages'!$H:$H,X$2)</f>
        <v>0</v>
      </c>
      <c r="Y7">
        <f>COUNTIFS('Coded Passages'!$B:$B,$A7,'Coded Passages'!$E:$E,$B7,'Coded Passages'!$H:$H,Y$2)</f>
        <v>0</v>
      </c>
      <c r="Z7">
        <f>COUNTIFS('Coded Passages'!$B:$B,$A7,'Coded Passages'!$E:$E,$B7,'Coded Passages'!$H:$H,Z$2)</f>
        <v>0</v>
      </c>
      <c r="AA7">
        <f>COUNTIFS('Coded Passages'!$B:$B,$A7,'Coded Passages'!$E:$E,$B7,'Coded Passages'!$H:$H,AA$2)</f>
        <v>0</v>
      </c>
      <c r="AB7">
        <f>COUNTIFS('Coded Passages'!$B:$B,$A7,'Coded Passages'!$E:$E,$B7,'Coded Passages'!$H:$H,AB$2)</f>
        <v>0</v>
      </c>
      <c r="AC7">
        <f>COUNTIFS('Coded Passages'!$B:$B,$A7,'Coded Passages'!$E:$E,$B7,'Coded Passages'!$H:$H,AC$2)</f>
        <v>0</v>
      </c>
      <c r="AD7">
        <f>COUNTIFS('Coded Passages'!$B:$B,$A7,'Coded Passages'!$E:$E,$B7,'Coded Passages'!$H:$H,AD$2)</f>
        <v>0</v>
      </c>
      <c r="AE7">
        <f>COUNTIFS('Coded Passages'!$B:$B,$A7,'Coded Passages'!$E:$E,$B7,'Coded Passages'!$H:$H,AE$2)</f>
        <v>0</v>
      </c>
      <c r="AF7">
        <f>COUNTIFS('Coded Passages'!$B:$B,$A7,'Coded Passages'!$E:$E,$B7,'Coded Passages'!$H:$H,AF$2)</f>
        <v>0</v>
      </c>
      <c r="AG7">
        <f>COUNTIFS('Coded Passages'!$B:$B,$A7,'Coded Passages'!$E:$E,$B7,'Coded Passages'!$H:$H,AG$2)</f>
        <v>0</v>
      </c>
      <c r="AH7">
        <f>COUNTIFS('Coded Passages'!$B:$B,$A7,'Coded Passages'!$E:$E,$B7,'Coded Passages'!$H:$H,AH$2)</f>
        <v>1</v>
      </c>
      <c r="AI7">
        <f>COUNTIFS('Coded Passages'!$B:$B,$A7,'Coded Passages'!$E:$E,$B7,'Coded Passages'!$H:$H,AI$2)</f>
        <v>0</v>
      </c>
      <c r="AJ7">
        <f>COUNTIFS('Coded Passages'!$B:$B,$A7,'Coded Passages'!$E:$E,$B7,'Coded Passages'!$H:$H,AJ$2)</f>
        <v>0</v>
      </c>
      <c r="AK7">
        <f>COUNTIFS('Coded Passages'!$B:$B,$A7,'Coded Passages'!$E:$E,$B7,'Coded Passages'!$H:$H,AK$2)</f>
        <v>0</v>
      </c>
      <c r="AL7">
        <f>COUNTIFS('Coded Passages'!$B:$B,$A7,'Coded Passages'!$E:$E,$B7,'Coded Passages'!$H:$H,AL$2)</f>
        <v>0</v>
      </c>
      <c r="AM7">
        <f>COUNTIFS('Coded Passages'!$B:$B,$A7,'Coded Passages'!$E:$E,$B7,'Coded Passages'!$H:$H,AM$2)</f>
        <v>0</v>
      </c>
      <c r="AN7">
        <f>COUNTIFS('Coded Passages'!$B:$B,$A7,'Coded Passages'!$E:$E,$B7,'Coded Passages'!$H:$H,AN$2)</f>
        <v>1</v>
      </c>
      <c r="AO7">
        <f>COUNTIFS('Coded Passages'!$B:$B,$A7,'Coded Passages'!$E:$E,$B7,'Coded Passages'!$H:$H,AO$2)</f>
        <v>1</v>
      </c>
      <c r="AP7">
        <f>COUNTIFS('Coded Passages'!$B:$B,$A7,'Coded Passages'!$E:$E,$B7,'Coded Passages'!$H:$H,AP$2)</f>
        <v>0</v>
      </c>
      <c r="AQ7">
        <f>COUNTIFS('Coded Passages'!$B:$B,$A7,'Coded Passages'!$E:$E,$B7,'Coded Passages'!$H:$H,AQ$2)</f>
        <v>0</v>
      </c>
      <c r="AR7">
        <f>COUNTIFS('Coded Passages'!$B:$B,$A7,'Coded Passages'!$E:$E,$B7,'Coded Passages'!$H:$H,AR$2)</f>
        <v>0</v>
      </c>
      <c r="AS7">
        <f>COUNTIFS('Coded Passages'!$B:$B,$A7,'Coded Passages'!$E:$E,$B7,'Coded Passages'!$H:$H,AS$2)</f>
        <v>0</v>
      </c>
      <c r="AT7">
        <f>COUNTIFS('Coded Passages'!$B:$B,$A7,'Coded Passages'!$E:$E,$B7,'Coded Passages'!$H:$H,AT$2)</f>
        <v>1</v>
      </c>
      <c r="AU7">
        <f>COUNTIFS('Coded Passages'!$B:$B,$A7,'Coded Passages'!$E:$E,$B7,'Coded Passages'!$H:$H,AU$2)</f>
        <v>0</v>
      </c>
      <c r="AV7">
        <f>COUNTIFS('Coded Passages'!$B:$B,$A7,'Coded Passages'!$E:$E,$B7,'Coded Passages'!$H:$H,AV$2)</f>
        <v>0</v>
      </c>
      <c r="AW7">
        <f>COUNTIFS('Coded Passages'!$B:$B,$A7,'Coded Passages'!$E:$E,$B7,'Coded Passages'!$H:$H,AW$2)</f>
        <v>1</v>
      </c>
      <c r="AX7">
        <f>COUNTIFS('Coded Passages'!$B:$B,$A7,'Coded Passages'!$E:$E,$B7,'Coded Passages'!$H:$H,AX$2)</f>
        <v>2</v>
      </c>
      <c r="AY7">
        <f>COUNTIFS('Coded Passages'!$B:$B,$A7,'Coded Passages'!$E:$E,$B7,'Coded Passages'!$H:$H,AY$2)</f>
        <v>0</v>
      </c>
      <c r="AZ7">
        <f>COUNTIFS('Coded Passages'!$B:$B,$A7,'Coded Passages'!$E:$E,$B7,'Coded Passages'!$H:$H,AZ$2)</f>
        <v>0</v>
      </c>
      <c r="BA7">
        <f>COUNTIFS('Coded Passages'!$B:$B,$A7,'Coded Passages'!$E:$E,$B7,'Coded Passages'!$H:$H,BA$2)</f>
        <v>0</v>
      </c>
      <c r="BB7">
        <f>COUNTIFS('Coded Passages'!$B:$B,$A7,'Coded Passages'!$E:$E,$B7,'Coded Passages'!$H:$H,BB$2)</f>
        <v>0</v>
      </c>
      <c r="BC7">
        <f>COUNTIFS('Coded Passages'!$B:$B,$A7,'Coded Passages'!$E:$E,$B7,'Coded Passages'!$H:$H,BC$2)</f>
        <v>0</v>
      </c>
      <c r="BD7">
        <f>COUNTIFS('Coded Passages'!$B:$B,$A7,'Coded Passages'!$E:$E,$B7,'Coded Passages'!$H:$H,BD$2)</f>
        <v>0</v>
      </c>
      <c r="BE7">
        <f>COUNTIFS('Coded Passages'!$B:$B,$A7,'Coded Passages'!$E:$E,$B7,'Coded Passages'!$H:$H,BE$2)</f>
        <v>0</v>
      </c>
      <c r="BF7">
        <f>COUNTIFS('Coded Passages'!$B:$B,$A7,'Coded Passages'!$E:$E,$B7,'Coded Passages'!$H:$H,BF$2)</f>
        <v>0</v>
      </c>
      <c r="BG7">
        <f>COUNTIFS('Coded Passages'!$B:$B,$A7,'Coded Passages'!$E:$E,$B7,'Coded Passages'!$H:$H,BG$2)</f>
        <v>1</v>
      </c>
      <c r="BH7">
        <f>COUNTIFS('Coded Passages'!$B:$B,$A7,'Coded Passages'!$E:$E,$B7,'Coded Passages'!$H:$H,BH$2)</f>
        <v>0</v>
      </c>
      <c r="BI7">
        <f>COUNTIFS('Coded Passages'!$B:$B,$A7,'Coded Passages'!$E:$E,$B7,'Coded Passages'!$H:$H,BI$2)</f>
        <v>0</v>
      </c>
      <c r="BJ7">
        <f>COUNTIFS('Coded Passages'!$B:$B,$A7,'Coded Passages'!$E:$E,$B7,'Coded Passages'!$H:$H,BJ$2)</f>
        <v>0</v>
      </c>
      <c r="BK7">
        <f>COUNTIFS('Coded Passages'!$B:$B,$A7,'Coded Passages'!$E:$E,$B7,'Coded Passages'!$H:$H,BK$2)</f>
        <v>1</v>
      </c>
      <c r="BL7">
        <f>COUNTIFS('Coded Passages'!$B:$B,$A7,'Coded Passages'!$E:$E,$B7,'Coded Passages'!$H:$H,BL$2)</f>
        <v>1</v>
      </c>
      <c r="BM7">
        <f>COUNTIFS('Coded Passages'!$B:$B,$A7,'Coded Passages'!$E:$E,$B7,'Coded Passages'!$H:$H,BM$2)</f>
        <v>0</v>
      </c>
      <c r="BN7">
        <f>COUNTIFS('Coded Passages'!$B:$B,$A7,'Coded Passages'!$E:$E,$B7,'Coded Passages'!$H:$H,BN$2)</f>
        <v>0</v>
      </c>
      <c r="BO7">
        <f>COUNTIFS('Coded Passages'!$B:$B,$A7,'Coded Passages'!$E:$E,$B7,'Coded Passages'!$H:$H,BO$2)</f>
        <v>1</v>
      </c>
      <c r="BP7">
        <f>COUNTIFS('Coded Passages'!$B:$B,$A7,'Coded Passages'!$E:$E,$B7,'Coded Passages'!$H:$H,BP$2)</f>
        <v>1</v>
      </c>
      <c r="BQ7">
        <f>COUNTIFS('Coded Passages'!$B:$B,$A7,'Coded Passages'!$E:$E,$B7,'Coded Passages'!$H:$H,BQ$2)</f>
        <v>0</v>
      </c>
      <c r="BR7">
        <f>COUNTIFS('Coded Passages'!$B:$B,$A7,'Coded Passages'!$E:$E,$B7,'Coded Passages'!$H:$H,BR$2)</f>
        <v>1</v>
      </c>
      <c r="BS7">
        <f>COUNTIFS('Coded Passages'!$B:$B,$A7,'Coded Passages'!$E:$E,$B7,'Coded Passages'!$H:$H,BS$2)</f>
        <v>1</v>
      </c>
      <c r="BT7">
        <f>COUNTIFS('Coded Passages'!$B:$B,$A7,'Coded Passages'!$E:$E,$B7,'Coded Passages'!$H:$H,BT$2)</f>
        <v>2</v>
      </c>
      <c r="BU7">
        <f>COUNTIFS('Coded Passages'!$B:$B,$A7,'Coded Passages'!$E:$E,$B7,'Coded Passages'!$H:$H,BU$2)</f>
        <v>0</v>
      </c>
      <c r="BV7">
        <f>COUNTIFS('Coded Passages'!$B:$B,$A7,'Coded Passages'!$E:$E,$B7,'Coded Passages'!$H:$H,BV$2)</f>
        <v>0</v>
      </c>
      <c r="BW7">
        <f>COUNTIFS('Coded Passages'!$B:$B,$A7,'Coded Passages'!$E:$E,$B7,'Coded Passages'!$H:$H,BW$2)</f>
        <v>0</v>
      </c>
      <c r="BX7">
        <f>COUNTIFS('Coded Passages'!$B:$B,$A7,'Coded Passages'!$E:$E,$B7,'Coded Passages'!$H:$H,BX$2)</f>
        <v>0</v>
      </c>
      <c r="BY7">
        <f>COUNTIFS('Coded Passages'!$B:$B,$A7,'Coded Passages'!$E:$E,$B7,'Coded Passages'!$H:$H,BY$2)</f>
        <v>0</v>
      </c>
      <c r="BZ7">
        <f>COUNTIFS('Coded Passages'!$B:$B,$A7,'Coded Passages'!$E:$E,$B7,'Coded Passages'!$H:$H,BZ$2)</f>
        <v>1</v>
      </c>
      <c r="CA7">
        <f>COUNTIFS('Coded Passages'!$B:$B,$A7,'Coded Passages'!$E:$E,$B7,'Coded Passages'!$H:$H,CA$2)</f>
        <v>0</v>
      </c>
      <c r="CB7">
        <f>COUNTIFS('Coded Passages'!$B:$B,$A7,'Coded Passages'!$E:$E,$B7,'Coded Passages'!$H:$H,CB$2)</f>
        <v>0</v>
      </c>
      <c r="CC7">
        <f>COUNTIFS('Coded Passages'!$B:$B,$A7,'Coded Passages'!$E:$E,$B7,'Coded Passages'!$H:$H,CC$2)</f>
        <v>1</v>
      </c>
      <c r="CD7">
        <f>COUNTIFS('Coded Passages'!$B:$B,$A7,'Coded Passages'!$E:$E,$B7,'Coded Passages'!$H:$H,CD$2)</f>
        <v>1</v>
      </c>
      <c r="CE7">
        <f>COUNTIFS('Coded Passages'!$B:$B,$A7,'Coded Passages'!$E:$E,$B7,'Coded Passages'!$H:$H,CE$2)</f>
        <v>0</v>
      </c>
      <c r="CF7">
        <f>COUNTIFS('Coded Passages'!$B:$B,$A7,'Coded Passages'!$E:$E,$B7,'Coded Passages'!$H:$H,CF$2)</f>
        <v>0</v>
      </c>
      <c r="CG7">
        <f>COUNTIFS('Coded Passages'!$B:$B,$A7,'Coded Passages'!$E:$E,$B7,'Coded Passages'!$H:$H,CG$2)</f>
        <v>0</v>
      </c>
      <c r="CH7">
        <f>COUNTIFS('Coded Passages'!$B:$B,$A7,'Coded Passages'!$E:$E,$B7,'Coded Passages'!$H:$H,CH$2)</f>
        <v>0</v>
      </c>
      <c r="CI7">
        <f>COUNTIFS('Coded Passages'!$B:$B,$A7,'Coded Passages'!$E:$E,$B7,'Coded Passages'!$H:$H,CI$2)</f>
        <v>2</v>
      </c>
      <c r="CJ7">
        <f>COUNTIFS('Coded Passages'!$B:$B,$A7,'Coded Passages'!$E:$E,$B7,'Coded Passages'!$H:$H,CJ$2)</f>
        <v>0</v>
      </c>
      <c r="CK7">
        <f>COUNTIFS('Coded Passages'!$B:$B,$A7,'Coded Passages'!$E:$E,$B7,'Coded Passages'!$H:$H,CK$2)</f>
        <v>0</v>
      </c>
      <c r="CL7">
        <f>COUNTIFS('Coded Passages'!$B:$B,$A7,'Coded Passages'!$E:$E,$B7,'Coded Passages'!$H:$H,CL$2)</f>
        <v>1</v>
      </c>
      <c r="CM7">
        <f>COUNTIFS('Coded Passages'!$B:$B,$A7,'Coded Passages'!$E:$E,$B7,'Coded Passages'!$H:$H,CM$2)</f>
        <v>2</v>
      </c>
      <c r="CN7">
        <f>COUNTIFS('Coded Passages'!$B:$B,$A7,'Coded Passages'!$E:$E,$B7,'Coded Passages'!$H:$H,CN$2)</f>
        <v>0</v>
      </c>
      <c r="CO7">
        <f>COUNTIFS('Coded Passages'!$B:$B,$A7,'Coded Passages'!$E:$E,$B7,'Coded Passages'!$H:$H,CO$2)</f>
        <v>0</v>
      </c>
      <c r="CP7">
        <f>COUNTIFS('Coded Passages'!$B:$B,$A7,'Coded Passages'!$E:$E,$B7,'Coded Passages'!$H:$H,CP$2)</f>
        <v>0</v>
      </c>
      <c r="CQ7">
        <f>COUNTIFS('Coded Passages'!$B:$B,$A7,'Coded Passages'!$E:$E,$B7,'Coded Passages'!$H:$H,CQ$2)</f>
        <v>0</v>
      </c>
      <c r="CR7">
        <f>COUNTIFS('Coded Passages'!$B:$B,$A7,'Coded Passages'!$E:$E,$B7,'Coded Passages'!$H:$H,CR$2)</f>
        <v>0</v>
      </c>
      <c r="CS7">
        <f>COUNTIFS('Coded Passages'!$B:$B,$A7,'Coded Passages'!$E:$E,$B7,'Coded Passages'!$H:$H,CS$2)</f>
        <v>1</v>
      </c>
      <c r="CT7">
        <f>COUNTIFS('Coded Passages'!$B:$B,$A7,'Coded Passages'!$E:$E,$B7,'Coded Passages'!$H:$H,CT$2)</f>
        <v>0</v>
      </c>
      <c r="CU7">
        <f>COUNTIFS('Coded Passages'!$B:$B,$A7,'Coded Passages'!$E:$E,$B7,'Coded Passages'!$H:$H,CU$2)</f>
        <v>0</v>
      </c>
      <c r="CV7">
        <f>COUNTIFS('Coded Passages'!$B:$B,$A7,'Coded Passages'!$E:$E,$B7,'Coded Passages'!$H:$H,CV$2)</f>
        <v>0</v>
      </c>
      <c r="CW7">
        <f>COUNTIFS('Coded Passages'!$B:$B,$A7,'Coded Passages'!$E:$E,$B7,'Coded Passages'!$H:$H,CW$2)</f>
        <v>1</v>
      </c>
      <c r="CX7">
        <f>COUNTIFS('Coded Passages'!$B:$B,$A7,'Coded Passages'!$E:$E,$B7,'Coded Passages'!$H:$H,CX$2)</f>
        <v>1</v>
      </c>
      <c r="CY7">
        <f>COUNTIFS('Coded Passages'!$B:$B,$A7,'Coded Passages'!$E:$E,$B7,'Coded Passages'!$H:$H,CY$2)</f>
        <v>2</v>
      </c>
      <c r="CZ7">
        <f>COUNTIFS('Coded Passages'!$B:$B,$A7,'Coded Passages'!$E:$E,$B7,'Coded Passages'!$H:$H,CZ$2)</f>
        <v>0</v>
      </c>
      <c r="DA7">
        <f>COUNTIFS('Coded Passages'!$B:$B,$A7,'Coded Passages'!$E:$E,$B7,'Coded Passages'!$H:$H,DA$2)</f>
        <v>1</v>
      </c>
      <c r="DB7">
        <f>COUNTIFS('Coded Passages'!$B:$B,$A7,'Coded Passages'!$E:$E,$B7,'Coded Passages'!$H:$H,DB$2)</f>
        <v>0</v>
      </c>
      <c r="DC7">
        <f>COUNTIFS('Coded Passages'!$B:$B,$A7,'Coded Passages'!$E:$E,$B7,'Coded Passages'!$H:$H,DC$2)</f>
        <v>1</v>
      </c>
      <c r="DD7">
        <f>COUNTIFS('Coded Passages'!$B:$B,$A7,'Coded Passages'!$E:$E,$B7,'Coded Passages'!$H:$H,DD$2)</f>
        <v>0</v>
      </c>
      <c r="DE7">
        <f>COUNTIFS('Coded Passages'!$B:$B,$A7,'Coded Passages'!$E:$E,$B7,'Coded Passages'!$H:$H,DE$2)</f>
        <v>1</v>
      </c>
      <c r="DF7">
        <f>COUNTIFS('Coded Passages'!$B:$B,$A7,'Coded Passages'!$E:$E,$B7,'Coded Passages'!$H:$H,DF$2)</f>
        <v>0</v>
      </c>
      <c r="DG7">
        <f>COUNTIFS('Coded Passages'!$B:$B,$A7,'Coded Passages'!$E:$E,$B7,'Coded Passages'!$H:$H,DG$2)</f>
        <v>1</v>
      </c>
      <c r="DH7">
        <f>COUNTIFS('Coded Passages'!$B:$B,$A7,'Coded Passages'!$E:$E,$B7,'Coded Passages'!$H:$H,DH$2)</f>
        <v>0</v>
      </c>
      <c r="DI7">
        <f>COUNTIFS('Coded Passages'!$B:$B,$A7,'Coded Passages'!$E:$E,$B7,'Coded Passages'!$H:$H,DI$2)</f>
        <v>0</v>
      </c>
      <c r="DJ7">
        <f>COUNTIFS('Coded Passages'!$B:$B,$A7,'Coded Passages'!$E:$E,$B7,'Coded Passages'!$H:$H,DJ$2)</f>
        <v>0</v>
      </c>
      <c r="DK7">
        <f>COUNTIFS('Coded Passages'!$B:$B,$A7,'Coded Passages'!$E:$E,$B7,'Coded Passages'!$H:$H,DK$2)</f>
        <v>1</v>
      </c>
      <c r="DL7">
        <f>COUNTIFS('Coded Passages'!$B:$B,$A7,'Coded Passages'!$E:$E,$B7,'Coded Passages'!$H:$H,DL$2)</f>
        <v>0</v>
      </c>
      <c r="DM7">
        <f>COUNTIFS('Coded Passages'!$B:$B,$A7,'Coded Passages'!$E:$E,$B7,'Coded Passages'!$H:$H,DM$2)</f>
        <v>0</v>
      </c>
      <c r="DN7">
        <f>COUNTIFS('Coded Passages'!$B:$B,$A7,'Coded Passages'!$E:$E,$B7,'Coded Passages'!$H:$H,DN$2)</f>
        <v>0</v>
      </c>
      <c r="DO7">
        <f>COUNTIFS('Coded Passages'!$B:$B,$A7,'Coded Passages'!$E:$E,$B7,'Coded Passages'!$H:$H,DO$2)</f>
        <v>0</v>
      </c>
      <c r="DP7">
        <f>COUNTIFS('Coded Passages'!$B:$B,$A7,'Coded Passages'!$E:$E,$B7,'Coded Passages'!$H:$H,DP$2)</f>
        <v>0</v>
      </c>
      <c r="DQ7">
        <f>COUNTIFS('Coded Passages'!$B:$B,$A7,'Coded Passages'!$E:$E,$B7,'Coded Passages'!$H:$H,DQ$2)</f>
        <v>0</v>
      </c>
      <c r="DR7">
        <f>COUNTIFS('Coded Passages'!$B:$B,$A7,'Coded Passages'!$E:$E,$B7,'Coded Passages'!$H:$H,DR$2)</f>
        <v>0</v>
      </c>
      <c r="DS7">
        <f>COUNTIFS('Coded Passages'!$B:$B,$A7,'Coded Passages'!$E:$E,$B7,'Coded Passages'!$H:$H,DS$2)</f>
        <v>0</v>
      </c>
      <c r="DT7">
        <f>COUNTIFS('Coded Passages'!$B:$B,$A7,'Coded Passages'!$E:$E,$B7,'Coded Passages'!$H:$H,DT$2)</f>
        <v>0</v>
      </c>
      <c r="DU7">
        <f>COUNTIFS('Coded Passages'!$B:$B,$A7,'Coded Passages'!$E:$E,$B7,'Coded Passages'!$H:$H,DU$2)</f>
        <v>0</v>
      </c>
      <c r="DV7">
        <f>COUNTIFS('Coded Passages'!$B:$B,$A7,'Coded Passages'!$E:$E,$B7,'Coded Passages'!$H:$H,DV$2)</f>
        <v>0</v>
      </c>
      <c r="DW7">
        <f>COUNTIFS('Coded Passages'!$B:$B,$A7,'Coded Passages'!$E:$E,$B7,'Coded Passages'!$H:$H,DW$2)</f>
        <v>0</v>
      </c>
      <c r="DX7">
        <f>COUNTIFS('Coded Passages'!$B:$B,$A7,'Coded Passages'!$E:$E,$B7,'Coded Passages'!$H:$H,DX$2)</f>
        <v>0</v>
      </c>
      <c r="DY7">
        <f>COUNTIFS('Coded Passages'!$B:$B,$A7,'Coded Passages'!$E:$E,$B7,'Coded Passages'!$H:$H,DY$2)</f>
        <v>0</v>
      </c>
      <c r="DZ7">
        <f>COUNTIFS('Coded Passages'!$B:$B,$A7,'Coded Passages'!$E:$E,$B7,'Coded Passages'!$H:$H,DZ$2)</f>
        <v>0</v>
      </c>
      <c r="EA7">
        <f>COUNTIFS('Coded Passages'!$B:$B,$A7,'Coded Passages'!$E:$E,$B7,'Coded Passages'!$H:$H,EA$2)</f>
        <v>0</v>
      </c>
      <c r="EB7">
        <f>COUNTIFS('Coded Passages'!$B:$B,$A7,'Coded Passages'!$E:$E,$B7,'Coded Passages'!$H:$H,EB$2)</f>
        <v>0</v>
      </c>
      <c r="EC7">
        <f>COUNTIFS('Coded Passages'!$B:$B,$A7,'Coded Passages'!$E:$E,$B7,'Coded Passages'!$H:$H,EC$2)</f>
        <v>0</v>
      </c>
      <c r="ED7">
        <f>COUNTIFS('Coded Passages'!$B:$B,$A7,'Coded Passages'!$E:$E,$B7,'Coded Passages'!$H:$H,ED$2)</f>
        <v>0</v>
      </c>
      <c r="EE7">
        <f>COUNTIFS('Coded Passages'!$B:$B,$A7,'Coded Passages'!$E:$E,$B7,'Coded Passages'!$H:$H,EE$2)</f>
        <v>0</v>
      </c>
      <c r="EF7">
        <f>COUNTIFS('Coded Passages'!$B:$B,$A7,'Coded Passages'!$E:$E,$B7,'Coded Passages'!$H:$H,EF$2)</f>
        <v>0</v>
      </c>
      <c r="EG7">
        <f>COUNTIFS('Coded Passages'!$B:$B,$A7,'Coded Passages'!$E:$E,$B7,'Coded Passages'!$H:$H,EG$2)</f>
        <v>0</v>
      </c>
      <c r="EH7">
        <f>COUNTIFS('Coded Passages'!$B:$B,$A7,'Coded Passages'!$E:$E,$B7,'Coded Passages'!$H:$H,EH$2)</f>
        <v>0</v>
      </c>
      <c r="EI7">
        <f>COUNTIFS('Coded Passages'!$B:$B,$A7,'Coded Passages'!$E:$E,$B7,'Coded Passages'!$H:$H,EI$2)</f>
        <v>1</v>
      </c>
      <c r="EJ7">
        <f>COUNTIFS('Coded Passages'!$B:$B,$A7,'Coded Passages'!$E:$E,$B7,'Coded Passages'!$H:$H,EJ$2)</f>
        <v>0</v>
      </c>
      <c r="EK7">
        <f>COUNTIFS('Coded Passages'!$B:$B,$A7,'Coded Passages'!$E:$E,$B7,'Coded Passages'!$H:$H,EK$2)</f>
        <v>0</v>
      </c>
      <c r="EL7">
        <f>COUNTIFS('Coded Passages'!$B:$B,$A7,'Coded Passages'!$E:$E,$B7,'Coded Passages'!$H:$H,EL$2)</f>
        <v>0</v>
      </c>
      <c r="EM7">
        <f>COUNTIFS('Coded Passages'!$B:$B,$A7,'Coded Passages'!$E:$E,$B7,'Coded Passages'!$H:$H,EM$2)</f>
        <v>0</v>
      </c>
      <c r="EN7">
        <f>COUNTIFS('Coded Passages'!$B:$B,$A7,'Coded Passages'!$E:$E,$B7,'Coded Passages'!$H:$H,EN$2)</f>
        <v>0</v>
      </c>
      <c r="EO7">
        <f>COUNTIFS('Coded Passages'!$B:$B,$A7,'Coded Passages'!$E:$E,$B7,'Coded Passages'!$H:$H,EO$2)</f>
        <v>0</v>
      </c>
      <c r="EP7">
        <f>COUNTIFS('Coded Passages'!$B:$B,$A7,'Coded Passages'!$E:$E,$B7,'Coded Passages'!$H:$H,EP$2)</f>
        <v>1</v>
      </c>
      <c r="EQ7">
        <f>COUNTIFS('Coded Passages'!$B:$B,$A7,'Coded Passages'!$E:$E,$B7,'Coded Passages'!$H:$H,EQ$2)</f>
        <v>0</v>
      </c>
      <c r="ER7">
        <f>COUNTIFS('Coded Passages'!$B:$B,$A7,'Coded Passages'!$E:$E,$B7,'Coded Passages'!$H:$H,ER$2)</f>
        <v>0</v>
      </c>
      <c r="ES7">
        <f>COUNTIFS('Coded Passages'!$B:$B,$A7,'Coded Passages'!$E:$E,$B7,'Coded Passages'!$H:$H,ES$2)</f>
        <v>0</v>
      </c>
      <c r="ET7">
        <f>COUNTIFS('Coded Passages'!$B:$B,$A7,'Coded Passages'!$E:$E,$B7,'Coded Passages'!$H:$H,ET$2)</f>
        <v>0</v>
      </c>
      <c r="EU7">
        <f>COUNTIFS('Coded Passages'!$B:$B,$A7,'Coded Passages'!$E:$E,$B7,'Coded Passages'!$H:$H,EU$2)</f>
        <v>0</v>
      </c>
      <c r="EV7">
        <f>COUNTIFS('Coded Passages'!$B:$B,$A7,'Coded Passages'!$E:$E,$B7,'Coded Passages'!$H:$H,EV$2)</f>
        <v>0</v>
      </c>
      <c r="EW7">
        <f>COUNTIFS('Coded Passages'!$B:$B,$A7,'Coded Passages'!$E:$E,$B7,'Coded Passages'!$H:$H,EW$2)</f>
        <v>0</v>
      </c>
      <c r="EX7">
        <f>COUNTIFS('Coded Passages'!$B:$B,$A7,'Coded Passages'!$E:$E,$B7,'Coded Passages'!$H:$H,EX$2)</f>
        <v>0</v>
      </c>
      <c r="EY7">
        <f>COUNTIFS('Coded Passages'!$B:$B,$A7,'Coded Passages'!$E:$E,$B7,'Coded Passages'!$H:$H,EY$2)</f>
        <v>0</v>
      </c>
      <c r="EZ7">
        <f>COUNTIFS('Coded Passages'!$B:$B,$A7,'Coded Passages'!$E:$E,$B7,'Coded Passages'!$H:$H,EZ$2)</f>
        <v>0</v>
      </c>
      <c r="FA7">
        <f>COUNTIFS('Coded Passages'!$B:$B,$A7,'Coded Passages'!$E:$E,$B7,'Coded Passages'!$H:$H,FA$2)</f>
        <v>0</v>
      </c>
      <c r="FB7">
        <f>COUNTIFS('Coded Passages'!$B:$B,$A7,'Coded Passages'!$E:$E,$B7,'Coded Passages'!$H:$H,FB$2)</f>
        <v>0</v>
      </c>
      <c r="FC7">
        <f>COUNTIFS('Coded Passages'!$B:$B,$A7,'Coded Passages'!$E:$E,$B7,'Coded Passages'!$H:$H,FC$2)</f>
        <v>0</v>
      </c>
      <c r="FD7">
        <f>COUNTIFS('Coded Passages'!$B:$B,$A7,'Coded Passages'!$E:$E,$B7,'Coded Passages'!$H:$H,FD$2)</f>
        <v>0</v>
      </c>
      <c r="FE7">
        <f>COUNTIFS('Coded Passages'!$B:$B,$A7,'Coded Passages'!$E:$E,$B7,'Coded Passages'!$H:$H,FE$2)</f>
        <v>1</v>
      </c>
      <c r="FF7">
        <f>COUNTIFS('Coded Passages'!$B:$B,$A7,'Coded Passages'!$E:$E,$B7,'Coded Passages'!$H:$H,FF$2)</f>
        <v>0</v>
      </c>
      <c r="FG7">
        <f>COUNTIFS('Coded Passages'!$B:$B,$A7,'Coded Passages'!$E:$E,$B7,'Coded Passages'!$H:$H,FG$2)</f>
        <v>0</v>
      </c>
      <c r="FH7">
        <f>COUNTIFS('Coded Passages'!$B:$B,$A7,'Coded Passages'!$E:$E,$B7,'Coded Passages'!$H:$H,FH$2)</f>
        <v>0</v>
      </c>
      <c r="FI7">
        <f>COUNTIFS('Coded Passages'!$B:$B,$A7,'Coded Passages'!$E:$E,$B7,'Coded Passages'!$H:$H,FI$2)</f>
        <v>0</v>
      </c>
      <c r="FJ7">
        <f>COUNTIFS('Coded Passages'!$B:$B,$A7,'Coded Passages'!$E:$E,$B7,'Coded Passages'!$H:$H,FJ$2)</f>
        <v>0</v>
      </c>
      <c r="FK7">
        <f>COUNTIFS('Coded Passages'!$B:$B,$A7,'Coded Passages'!$E:$E,$B7,'Coded Passages'!$H:$H,FK$2)</f>
        <v>0</v>
      </c>
      <c r="FL7">
        <f>COUNTIFS('Coded Passages'!$B:$B,$A7,'Coded Passages'!$E:$E,$B7,'Coded Passages'!$H:$H,FL$2)</f>
        <v>0</v>
      </c>
      <c r="FM7">
        <f>COUNTIFS('Coded Passages'!$B:$B,$A7,'Coded Passages'!$E:$E,$B7,'Coded Passages'!$H:$H,FM$2)</f>
        <v>0</v>
      </c>
      <c r="FN7">
        <f>COUNTIFS('Coded Passages'!$B:$B,$A7,'Coded Passages'!$E:$E,$B7,'Coded Passages'!$H:$H,FN$2)</f>
        <v>0</v>
      </c>
      <c r="FO7">
        <f>COUNTIFS('Coded Passages'!$B:$B,$A7,'Coded Passages'!$E:$E,$B7,'Coded Passages'!$H:$H,FO$2)</f>
        <v>0</v>
      </c>
      <c r="FP7">
        <f t="shared" si="0"/>
        <v>41</v>
      </c>
    </row>
    <row r="8" spans="1:172" x14ac:dyDescent="0.45">
      <c r="A8" s="9" t="s">
        <v>25</v>
      </c>
      <c r="B8" s="16" t="s">
        <v>44</v>
      </c>
      <c r="C8">
        <f>COUNTIFS('Coded Passages'!$B:$B,$A8,'Coded Passages'!$E:$E,$B8,'Coded Passages'!$H:$H,C$2)</f>
        <v>0</v>
      </c>
      <c r="D8">
        <f>COUNTIFS('Coded Passages'!$B:$B,$A8,'Coded Passages'!$E:$E,$B8,'Coded Passages'!$H:$H,D$2)</f>
        <v>1</v>
      </c>
      <c r="E8">
        <f>COUNTIFS('Coded Passages'!$B:$B,$A8,'Coded Passages'!$E:$E,$B8,'Coded Passages'!$H:$H,E$2)</f>
        <v>0</v>
      </c>
      <c r="F8">
        <f>COUNTIFS('Coded Passages'!$B:$B,$A8,'Coded Passages'!$E:$E,$B8,'Coded Passages'!$H:$H,F$2)</f>
        <v>0</v>
      </c>
      <c r="G8">
        <f>COUNTIFS('Coded Passages'!$B:$B,$A8,'Coded Passages'!$E:$E,$B8,'Coded Passages'!$H:$H,G$2)</f>
        <v>3</v>
      </c>
      <c r="H8">
        <f>COUNTIFS('Coded Passages'!$B:$B,$A8,'Coded Passages'!$E:$E,$B8,'Coded Passages'!$H:$H,H$2)</f>
        <v>1</v>
      </c>
      <c r="I8">
        <f>COUNTIFS('Coded Passages'!$B:$B,$A8,'Coded Passages'!$E:$E,$B8,'Coded Passages'!$H:$H,I$2)</f>
        <v>0</v>
      </c>
      <c r="J8">
        <f>COUNTIFS('Coded Passages'!$B:$B,$A8,'Coded Passages'!$E:$E,$B8,'Coded Passages'!$H:$H,J$2)</f>
        <v>0</v>
      </c>
      <c r="K8">
        <f>COUNTIFS('Coded Passages'!$B:$B,$A8,'Coded Passages'!$E:$E,$B8,'Coded Passages'!$H:$H,K$2)</f>
        <v>0</v>
      </c>
      <c r="L8">
        <f>COUNTIFS('Coded Passages'!$B:$B,$A8,'Coded Passages'!$E:$E,$B8,'Coded Passages'!$H:$H,L$2)</f>
        <v>0</v>
      </c>
      <c r="M8">
        <f>COUNTIFS('Coded Passages'!$B:$B,$A8,'Coded Passages'!$E:$E,$B8,'Coded Passages'!$H:$H,M$2)</f>
        <v>0</v>
      </c>
      <c r="N8">
        <f>COUNTIFS('Coded Passages'!$B:$B,$A8,'Coded Passages'!$E:$E,$B8,'Coded Passages'!$H:$H,N$2)</f>
        <v>1</v>
      </c>
      <c r="O8">
        <f>COUNTIFS('Coded Passages'!$B:$B,$A8,'Coded Passages'!$E:$E,$B8,'Coded Passages'!$H:$H,O$2)</f>
        <v>0</v>
      </c>
      <c r="P8">
        <f>COUNTIFS('Coded Passages'!$B:$B,$A8,'Coded Passages'!$E:$E,$B8,'Coded Passages'!$H:$H,P$2)</f>
        <v>0</v>
      </c>
      <c r="Q8">
        <f>COUNTIFS('Coded Passages'!$B:$B,$A8,'Coded Passages'!$E:$E,$B8,'Coded Passages'!$H:$H,Q$2)</f>
        <v>0</v>
      </c>
      <c r="R8">
        <f>COUNTIFS('Coded Passages'!$B:$B,$A8,'Coded Passages'!$E:$E,$B8,'Coded Passages'!$H:$H,R$2)</f>
        <v>1</v>
      </c>
      <c r="S8">
        <f>COUNTIFS('Coded Passages'!$B:$B,$A8,'Coded Passages'!$E:$E,$B8,'Coded Passages'!$H:$H,S$2)</f>
        <v>1</v>
      </c>
      <c r="T8">
        <f>COUNTIFS('Coded Passages'!$B:$B,$A8,'Coded Passages'!$E:$E,$B8,'Coded Passages'!$H:$H,T$2)</f>
        <v>1</v>
      </c>
      <c r="U8">
        <f>COUNTIFS('Coded Passages'!$B:$B,$A8,'Coded Passages'!$E:$E,$B8,'Coded Passages'!$H:$H,U$2)</f>
        <v>1</v>
      </c>
      <c r="V8">
        <f>COUNTIFS('Coded Passages'!$B:$B,$A8,'Coded Passages'!$E:$E,$B8,'Coded Passages'!$H:$H,V$2)</f>
        <v>0</v>
      </c>
      <c r="W8">
        <f>COUNTIFS('Coded Passages'!$B:$B,$A8,'Coded Passages'!$E:$E,$B8,'Coded Passages'!$H:$H,W$2)</f>
        <v>1</v>
      </c>
      <c r="X8">
        <f>COUNTIFS('Coded Passages'!$B:$B,$A8,'Coded Passages'!$E:$E,$B8,'Coded Passages'!$H:$H,X$2)</f>
        <v>1</v>
      </c>
      <c r="Y8">
        <f>COUNTIFS('Coded Passages'!$B:$B,$A8,'Coded Passages'!$E:$E,$B8,'Coded Passages'!$H:$H,Y$2)</f>
        <v>0</v>
      </c>
      <c r="Z8">
        <f>COUNTIFS('Coded Passages'!$B:$B,$A8,'Coded Passages'!$E:$E,$B8,'Coded Passages'!$H:$H,Z$2)</f>
        <v>0</v>
      </c>
      <c r="AA8">
        <f>COUNTIFS('Coded Passages'!$B:$B,$A8,'Coded Passages'!$E:$E,$B8,'Coded Passages'!$H:$H,AA$2)</f>
        <v>0</v>
      </c>
      <c r="AB8">
        <f>COUNTIFS('Coded Passages'!$B:$B,$A8,'Coded Passages'!$E:$E,$B8,'Coded Passages'!$H:$H,AB$2)</f>
        <v>0</v>
      </c>
      <c r="AC8">
        <f>COUNTIFS('Coded Passages'!$B:$B,$A8,'Coded Passages'!$E:$E,$B8,'Coded Passages'!$H:$H,AC$2)</f>
        <v>1</v>
      </c>
      <c r="AD8">
        <f>COUNTIFS('Coded Passages'!$B:$B,$A8,'Coded Passages'!$E:$E,$B8,'Coded Passages'!$H:$H,AD$2)</f>
        <v>0</v>
      </c>
      <c r="AE8">
        <f>COUNTIFS('Coded Passages'!$B:$B,$A8,'Coded Passages'!$E:$E,$B8,'Coded Passages'!$H:$H,AE$2)</f>
        <v>0</v>
      </c>
      <c r="AF8">
        <f>COUNTIFS('Coded Passages'!$B:$B,$A8,'Coded Passages'!$E:$E,$B8,'Coded Passages'!$H:$H,AF$2)</f>
        <v>0</v>
      </c>
      <c r="AG8">
        <f>COUNTIFS('Coded Passages'!$B:$B,$A8,'Coded Passages'!$E:$E,$B8,'Coded Passages'!$H:$H,AG$2)</f>
        <v>0</v>
      </c>
      <c r="AH8">
        <f>COUNTIFS('Coded Passages'!$B:$B,$A8,'Coded Passages'!$E:$E,$B8,'Coded Passages'!$H:$H,AH$2)</f>
        <v>0</v>
      </c>
      <c r="AI8">
        <f>COUNTIFS('Coded Passages'!$B:$B,$A8,'Coded Passages'!$E:$E,$B8,'Coded Passages'!$H:$H,AI$2)</f>
        <v>1</v>
      </c>
      <c r="AJ8">
        <f>COUNTIFS('Coded Passages'!$B:$B,$A8,'Coded Passages'!$E:$E,$B8,'Coded Passages'!$H:$H,AJ$2)</f>
        <v>0</v>
      </c>
      <c r="AK8">
        <f>COUNTIFS('Coded Passages'!$B:$B,$A8,'Coded Passages'!$E:$E,$B8,'Coded Passages'!$H:$H,AK$2)</f>
        <v>0</v>
      </c>
      <c r="AL8">
        <f>COUNTIFS('Coded Passages'!$B:$B,$A8,'Coded Passages'!$E:$E,$B8,'Coded Passages'!$H:$H,AL$2)</f>
        <v>0</v>
      </c>
      <c r="AM8">
        <f>COUNTIFS('Coded Passages'!$B:$B,$A8,'Coded Passages'!$E:$E,$B8,'Coded Passages'!$H:$H,AM$2)</f>
        <v>0</v>
      </c>
      <c r="AN8">
        <f>COUNTIFS('Coded Passages'!$B:$B,$A8,'Coded Passages'!$E:$E,$B8,'Coded Passages'!$H:$H,AN$2)</f>
        <v>0</v>
      </c>
      <c r="AO8">
        <f>COUNTIFS('Coded Passages'!$B:$B,$A8,'Coded Passages'!$E:$E,$B8,'Coded Passages'!$H:$H,AO$2)</f>
        <v>0</v>
      </c>
      <c r="AP8">
        <f>COUNTIFS('Coded Passages'!$B:$B,$A8,'Coded Passages'!$E:$E,$B8,'Coded Passages'!$H:$H,AP$2)</f>
        <v>0</v>
      </c>
      <c r="AQ8">
        <f>COUNTIFS('Coded Passages'!$B:$B,$A8,'Coded Passages'!$E:$E,$B8,'Coded Passages'!$H:$H,AQ$2)</f>
        <v>0</v>
      </c>
      <c r="AR8">
        <f>COUNTIFS('Coded Passages'!$B:$B,$A8,'Coded Passages'!$E:$E,$B8,'Coded Passages'!$H:$H,AR$2)</f>
        <v>0</v>
      </c>
      <c r="AS8">
        <f>COUNTIFS('Coded Passages'!$B:$B,$A8,'Coded Passages'!$E:$E,$B8,'Coded Passages'!$H:$H,AS$2)</f>
        <v>1</v>
      </c>
      <c r="AT8">
        <f>COUNTIFS('Coded Passages'!$B:$B,$A8,'Coded Passages'!$E:$E,$B8,'Coded Passages'!$H:$H,AT$2)</f>
        <v>1</v>
      </c>
      <c r="AU8">
        <f>COUNTIFS('Coded Passages'!$B:$B,$A8,'Coded Passages'!$E:$E,$B8,'Coded Passages'!$H:$H,AU$2)</f>
        <v>0</v>
      </c>
      <c r="AV8">
        <f>COUNTIFS('Coded Passages'!$B:$B,$A8,'Coded Passages'!$E:$E,$B8,'Coded Passages'!$H:$H,AV$2)</f>
        <v>1</v>
      </c>
      <c r="AW8">
        <f>COUNTIFS('Coded Passages'!$B:$B,$A8,'Coded Passages'!$E:$E,$B8,'Coded Passages'!$H:$H,AW$2)</f>
        <v>0</v>
      </c>
      <c r="AX8">
        <f>COUNTIFS('Coded Passages'!$B:$B,$A8,'Coded Passages'!$E:$E,$B8,'Coded Passages'!$H:$H,AX$2)</f>
        <v>0</v>
      </c>
      <c r="AY8">
        <f>COUNTIFS('Coded Passages'!$B:$B,$A8,'Coded Passages'!$E:$E,$B8,'Coded Passages'!$H:$H,AY$2)</f>
        <v>1</v>
      </c>
      <c r="AZ8">
        <f>COUNTIFS('Coded Passages'!$B:$B,$A8,'Coded Passages'!$E:$E,$B8,'Coded Passages'!$H:$H,AZ$2)</f>
        <v>0</v>
      </c>
      <c r="BA8">
        <f>COUNTIFS('Coded Passages'!$B:$B,$A8,'Coded Passages'!$E:$E,$B8,'Coded Passages'!$H:$H,BA$2)</f>
        <v>0</v>
      </c>
      <c r="BB8">
        <f>COUNTIFS('Coded Passages'!$B:$B,$A8,'Coded Passages'!$E:$E,$B8,'Coded Passages'!$H:$H,BB$2)</f>
        <v>0</v>
      </c>
      <c r="BC8">
        <f>COUNTIFS('Coded Passages'!$B:$B,$A8,'Coded Passages'!$E:$E,$B8,'Coded Passages'!$H:$H,BC$2)</f>
        <v>0</v>
      </c>
      <c r="BD8">
        <f>COUNTIFS('Coded Passages'!$B:$B,$A8,'Coded Passages'!$E:$E,$B8,'Coded Passages'!$H:$H,BD$2)</f>
        <v>0</v>
      </c>
      <c r="BE8">
        <f>COUNTIFS('Coded Passages'!$B:$B,$A8,'Coded Passages'!$E:$E,$B8,'Coded Passages'!$H:$H,BE$2)</f>
        <v>0</v>
      </c>
      <c r="BF8">
        <f>COUNTIFS('Coded Passages'!$B:$B,$A8,'Coded Passages'!$E:$E,$B8,'Coded Passages'!$H:$H,BF$2)</f>
        <v>0</v>
      </c>
      <c r="BG8">
        <f>COUNTIFS('Coded Passages'!$B:$B,$A8,'Coded Passages'!$E:$E,$B8,'Coded Passages'!$H:$H,BG$2)</f>
        <v>0</v>
      </c>
      <c r="BH8">
        <f>COUNTIFS('Coded Passages'!$B:$B,$A8,'Coded Passages'!$E:$E,$B8,'Coded Passages'!$H:$H,BH$2)</f>
        <v>0</v>
      </c>
      <c r="BI8">
        <f>COUNTIFS('Coded Passages'!$B:$B,$A8,'Coded Passages'!$E:$E,$B8,'Coded Passages'!$H:$H,BI$2)</f>
        <v>0</v>
      </c>
      <c r="BJ8">
        <f>COUNTIFS('Coded Passages'!$B:$B,$A8,'Coded Passages'!$E:$E,$B8,'Coded Passages'!$H:$H,BJ$2)</f>
        <v>0</v>
      </c>
      <c r="BK8">
        <f>COUNTIFS('Coded Passages'!$B:$B,$A8,'Coded Passages'!$E:$E,$B8,'Coded Passages'!$H:$H,BK$2)</f>
        <v>0</v>
      </c>
      <c r="BL8">
        <f>COUNTIFS('Coded Passages'!$B:$B,$A8,'Coded Passages'!$E:$E,$B8,'Coded Passages'!$H:$H,BL$2)</f>
        <v>0</v>
      </c>
      <c r="BM8">
        <f>COUNTIFS('Coded Passages'!$B:$B,$A8,'Coded Passages'!$E:$E,$B8,'Coded Passages'!$H:$H,BM$2)</f>
        <v>1</v>
      </c>
      <c r="BN8">
        <f>COUNTIFS('Coded Passages'!$B:$B,$A8,'Coded Passages'!$E:$E,$B8,'Coded Passages'!$H:$H,BN$2)</f>
        <v>0</v>
      </c>
      <c r="BO8">
        <f>COUNTIFS('Coded Passages'!$B:$B,$A8,'Coded Passages'!$E:$E,$B8,'Coded Passages'!$H:$H,BO$2)</f>
        <v>0</v>
      </c>
      <c r="BP8">
        <f>COUNTIFS('Coded Passages'!$B:$B,$A8,'Coded Passages'!$E:$E,$B8,'Coded Passages'!$H:$H,BP$2)</f>
        <v>0</v>
      </c>
      <c r="BQ8">
        <f>COUNTIFS('Coded Passages'!$B:$B,$A8,'Coded Passages'!$E:$E,$B8,'Coded Passages'!$H:$H,BQ$2)</f>
        <v>0</v>
      </c>
      <c r="BR8">
        <f>COUNTIFS('Coded Passages'!$B:$B,$A8,'Coded Passages'!$E:$E,$B8,'Coded Passages'!$H:$H,BR$2)</f>
        <v>0</v>
      </c>
      <c r="BS8">
        <f>COUNTIFS('Coded Passages'!$B:$B,$A8,'Coded Passages'!$E:$E,$B8,'Coded Passages'!$H:$H,BS$2)</f>
        <v>0</v>
      </c>
      <c r="BT8">
        <f>COUNTIFS('Coded Passages'!$B:$B,$A8,'Coded Passages'!$E:$E,$B8,'Coded Passages'!$H:$H,BT$2)</f>
        <v>0</v>
      </c>
      <c r="BU8">
        <f>COUNTIFS('Coded Passages'!$B:$B,$A8,'Coded Passages'!$E:$E,$B8,'Coded Passages'!$H:$H,BU$2)</f>
        <v>0</v>
      </c>
      <c r="BV8">
        <f>COUNTIFS('Coded Passages'!$B:$B,$A8,'Coded Passages'!$E:$E,$B8,'Coded Passages'!$H:$H,BV$2)</f>
        <v>0</v>
      </c>
      <c r="BW8">
        <f>COUNTIFS('Coded Passages'!$B:$B,$A8,'Coded Passages'!$E:$E,$B8,'Coded Passages'!$H:$H,BW$2)</f>
        <v>1</v>
      </c>
      <c r="BX8">
        <f>COUNTIFS('Coded Passages'!$B:$B,$A8,'Coded Passages'!$E:$E,$B8,'Coded Passages'!$H:$H,BX$2)</f>
        <v>0</v>
      </c>
      <c r="BY8">
        <f>COUNTIFS('Coded Passages'!$B:$B,$A8,'Coded Passages'!$E:$E,$B8,'Coded Passages'!$H:$H,BY$2)</f>
        <v>0</v>
      </c>
      <c r="BZ8">
        <f>COUNTIFS('Coded Passages'!$B:$B,$A8,'Coded Passages'!$E:$E,$B8,'Coded Passages'!$H:$H,BZ$2)</f>
        <v>0</v>
      </c>
      <c r="CA8">
        <f>COUNTIFS('Coded Passages'!$B:$B,$A8,'Coded Passages'!$E:$E,$B8,'Coded Passages'!$H:$H,CA$2)</f>
        <v>0</v>
      </c>
      <c r="CB8">
        <f>COUNTIFS('Coded Passages'!$B:$B,$A8,'Coded Passages'!$E:$E,$B8,'Coded Passages'!$H:$H,CB$2)</f>
        <v>0</v>
      </c>
      <c r="CC8">
        <f>COUNTIFS('Coded Passages'!$B:$B,$A8,'Coded Passages'!$E:$E,$B8,'Coded Passages'!$H:$H,CC$2)</f>
        <v>0</v>
      </c>
      <c r="CD8">
        <f>COUNTIFS('Coded Passages'!$B:$B,$A8,'Coded Passages'!$E:$E,$B8,'Coded Passages'!$H:$H,CD$2)</f>
        <v>0</v>
      </c>
      <c r="CE8">
        <f>COUNTIFS('Coded Passages'!$B:$B,$A8,'Coded Passages'!$E:$E,$B8,'Coded Passages'!$H:$H,CE$2)</f>
        <v>0</v>
      </c>
      <c r="CF8">
        <f>COUNTIFS('Coded Passages'!$B:$B,$A8,'Coded Passages'!$E:$E,$B8,'Coded Passages'!$H:$H,CF$2)</f>
        <v>0</v>
      </c>
      <c r="CG8">
        <f>COUNTIFS('Coded Passages'!$B:$B,$A8,'Coded Passages'!$E:$E,$B8,'Coded Passages'!$H:$H,CG$2)</f>
        <v>0</v>
      </c>
      <c r="CH8">
        <f>COUNTIFS('Coded Passages'!$B:$B,$A8,'Coded Passages'!$E:$E,$B8,'Coded Passages'!$H:$H,CH$2)</f>
        <v>0</v>
      </c>
      <c r="CI8">
        <f>COUNTIFS('Coded Passages'!$B:$B,$A8,'Coded Passages'!$E:$E,$B8,'Coded Passages'!$H:$H,CI$2)</f>
        <v>0</v>
      </c>
      <c r="CJ8">
        <f>COUNTIFS('Coded Passages'!$B:$B,$A8,'Coded Passages'!$E:$E,$B8,'Coded Passages'!$H:$H,CJ$2)</f>
        <v>0</v>
      </c>
      <c r="CK8">
        <f>COUNTIFS('Coded Passages'!$B:$B,$A8,'Coded Passages'!$E:$E,$B8,'Coded Passages'!$H:$H,CK$2)</f>
        <v>1</v>
      </c>
      <c r="CL8">
        <f>COUNTIFS('Coded Passages'!$B:$B,$A8,'Coded Passages'!$E:$E,$B8,'Coded Passages'!$H:$H,CL$2)</f>
        <v>0</v>
      </c>
      <c r="CM8">
        <f>COUNTIFS('Coded Passages'!$B:$B,$A8,'Coded Passages'!$E:$E,$B8,'Coded Passages'!$H:$H,CM$2)</f>
        <v>1</v>
      </c>
      <c r="CN8">
        <f>COUNTIFS('Coded Passages'!$B:$B,$A8,'Coded Passages'!$E:$E,$B8,'Coded Passages'!$H:$H,CN$2)</f>
        <v>0</v>
      </c>
      <c r="CO8">
        <f>COUNTIFS('Coded Passages'!$B:$B,$A8,'Coded Passages'!$E:$E,$B8,'Coded Passages'!$H:$H,CO$2)</f>
        <v>0</v>
      </c>
      <c r="CP8">
        <f>COUNTIFS('Coded Passages'!$B:$B,$A8,'Coded Passages'!$E:$E,$B8,'Coded Passages'!$H:$H,CP$2)</f>
        <v>0</v>
      </c>
      <c r="CQ8">
        <f>COUNTIFS('Coded Passages'!$B:$B,$A8,'Coded Passages'!$E:$E,$B8,'Coded Passages'!$H:$H,CQ$2)</f>
        <v>0</v>
      </c>
      <c r="CR8">
        <f>COUNTIFS('Coded Passages'!$B:$B,$A8,'Coded Passages'!$E:$E,$B8,'Coded Passages'!$H:$H,CR$2)</f>
        <v>0</v>
      </c>
      <c r="CS8">
        <f>COUNTIFS('Coded Passages'!$B:$B,$A8,'Coded Passages'!$E:$E,$B8,'Coded Passages'!$H:$H,CS$2)</f>
        <v>0</v>
      </c>
      <c r="CT8">
        <f>COUNTIFS('Coded Passages'!$B:$B,$A8,'Coded Passages'!$E:$E,$B8,'Coded Passages'!$H:$H,CT$2)</f>
        <v>0</v>
      </c>
      <c r="CU8">
        <f>COUNTIFS('Coded Passages'!$B:$B,$A8,'Coded Passages'!$E:$E,$B8,'Coded Passages'!$H:$H,CU$2)</f>
        <v>0</v>
      </c>
      <c r="CV8">
        <f>COUNTIFS('Coded Passages'!$B:$B,$A8,'Coded Passages'!$E:$E,$B8,'Coded Passages'!$H:$H,CV$2)</f>
        <v>0</v>
      </c>
      <c r="CW8">
        <f>COUNTIFS('Coded Passages'!$B:$B,$A8,'Coded Passages'!$E:$E,$B8,'Coded Passages'!$H:$H,CW$2)</f>
        <v>0</v>
      </c>
      <c r="CX8">
        <f>COUNTIFS('Coded Passages'!$B:$B,$A8,'Coded Passages'!$E:$E,$B8,'Coded Passages'!$H:$H,CX$2)</f>
        <v>0</v>
      </c>
      <c r="CY8">
        <f>COUNTIFS('Coded Passages'!$B:$B,$A8,'Coded Passages'!$E:$E,$B8,'Coded Passages'!$H:$H,CY$2)</f>
        <v>0</v>
      </c>
      <c r="CZ8">
        <f>COUNTIFS('Coded Passages'!$B:$B,$A8,'Coded Passages'!$E:$E,$B8,'Coded Passages'!$H:$H,CZ$2)</f>
        <v>1</v>
      </c>
      <c r="DA8">
        <f>COUNTIFS('Coded Passages'!$B:$B,$A8,'Coded Passages'!$E:$E,$B8,'Coded Passages'!$H:$H,DA$2)</f>
        <v>0</v>
      </c>
      <c r="DB8">
        <f>COUNTIFS('Coded Passages'!$B:$B,$A8,'Coded Passages'!$E:$E,$B8,'Coded Passages'!$H:$H,DB$2)</f>
        <v>0</v>
      </c>
      <c r="DC8">
        <f>COUNTIFS('Coded Passages'!$B:$B,$A8,'Coded Passages'!$E:$E,$B8,'Coded Passages'!$H:$H,DC$2)</f>
        <v>0</v>
      </c>
      <c r="DD8">
        <f>COUNTIFS('Coded Passages'!$B:$B,$A8,'Coded Passages'!$E:$E,$B8,'Coded Passages'!$H:$H,DD$2)</f>
        <v>0</v>
      </c>
      <c r="DE8">
        <f>COUNTIFS('Coded Passages'!$B:$B,$A8,'Coded Passages'!$E:$E,$B8,'Coded Passages'!$H:$H,DE$2)</f>
        <v>0</v>
      </c>
      <c r="DF8">
        <f>COUNTIFS('Coded Passages'!$B:$B,$A8,'Coded Passages'!$E:$E,$B8,'Coded Passages'!$H:$H,DF$2)</f>
        <v>0</v>
      </c>
      <c r="DG8">
        <f>COUNTIFS('Coded Passages'!$B:$B,$A8,'Coded Passages'!$E:$E,$B8,'Coded Passages'!$H:$H,DG$2)</f>
        <v>0</v>
      </c>
      <c r="DH8">
        <f>COUNTIFS('Coded Passages'!$B:$B,$A8,'Coded Passages'!$E:$E,$B8,'Coded Passages'!$H:$H,DH$2)</f>
        <v>0</v>
      </c>
      <c r="DI8">
        <f>COUNTIFS('Coded Passages'!$B:$B,$A8,'Coded Passages'!$E:$E,$B8,'Coded Passages'!$H:$H,DI$2)</f>
        <v>2</v>
      </c>
      <c r="DJ8">
        <f>COUNTIFS('Coded Passages'!$B:$B,$A8,'Coded Passages'!$E:$E,$B8,'Coded Passages'!$H:$H,DJ$2)</f>
        <v>1</v>
      </c>
      <c r="DK8">
        <f>COUNTIFS('Coded Passages'!$B:$B,$A8,'Coded Passages'!$E:$E,$B8,'Coded Passages'!$H:$H,DK$2)</f>
        <v>0</v>
      </c>
      <c r="DL8">
        <f>COUNTIFS('Coded Passages'!$B:$B,$A8,'Coded Passages'!$E:$E,$B8,'Coded Passages'!$H:$H,DL$2)</f>
        <v>0</v>
      </c>
      <c r="DM8">
        <f>COUNTIFS('Coded Passages'!$B:$B,$A8,'Coded Passages'!$E:$E,$B8,'Coded Passages'!$H:$H,DM$2)</f>
        <v>0</v>
      </c>
      <c r="DN8">
        <f>COUNTIFS('Coded Passages'!$B:$B,$A8,'Coded Passages'!$E:$E,$B8,'Coded Passages'!$H:$H,DN$2)</f>
        <v>0</v>
      </c>
      <c r="DO8">
        <f>COUNTIFS('Coded Passages'!$B:$B,$A8,'Coded Passages'!$E:$E,$B8,'Coded Passages'!$H:$H,DO$2)</f>
        <v>0</v>
      </c>
      <c r="DP8">
        <f>COUNTIFS('Coded Passages'!$B:$B,$A8,'Coded Passages'!$E:$E,$B8,'Coded Passages'!$H:$H,DP$2)</f>
        <v>0</v>
      </c>
      <c r="DQ8">
        <f>COUNTIFS('Coded Passages'!$B:$B,$A8,'Coded Passages'!$E:$E,$B8,'Coded Passages'!$H:$H,DQ$2)</f>
        <v>0</v>
      </c>
      <c r="DR8">
        <f>COUNTIFS('Coded Passages'!$B:$B,$A8,'Coded Passages'!$E:$E,$B8,'Coded Passages'!$H:$H,DR$2)</f>
        <v>0</v>
      </c>
      <c r="DS8">
        <f>COUNTIFS('Coded Passages'!$B:$B,$A8,'Coded Passages'!$E:$E,$B8,'Coded Passages'!$H:$H,DS$2)</f>
        <v>0</v>
      </c>
      <c r="DT8">
        <f>COUNTIFS('Coded Passages'!$B:$B,$A8,'Coded Passages'!$E:$E,$B8,'Coded Passages'!$H:$H,DT$2)</f>
        <v>0</v>
      </c>
      <c r="DU8">
        <f>COUNTIFS('Coded Passages'!$B:$B,$A8,'Coded Passages'!$E:$E,$B8,'Coded Passages'!$H:$H,DU$2)</f>
        <v>0</v>
      </c>
      <c r="DV8">
        <f>COUNTIFS('Coded Passages'!$B:$B,$A8,'Coded Passages'!$E:$E,$B8,'Coded Passages'!$H:$H,DV$2)</f>
        <v>0</v>
      </c>
      <c r="DW8">
        <f>COUNTIFS('Coded Passages'!$B:$B,$A8,'Coded Passages'!$E:$E,$B8,'Coded Passages'!$H:$H,DW$2)</f>
        <v>0</v>
      </c>
      <c r="DX8">
        <f>COUNTIFS('Coded Passages'!$B:$B,$A8,'Coded Passages'!$E:$E,$B8,'Coded Passages'!$H:$H,DX$2)</f>
        <v>0</v>
      </c>
      <c r="DY8">
        <f>COUNTIFS('Coded Passages'!$B:$B,$A8,'Coded Passages'!$E:$E,$B8,'Coded Passages'!$H:$H,DY$2)</f>
        <v>0</v>
      </c>
      <c r="DZ8">
        <f>COUNTIFS('Coded Passages'!$B:$B,$A8,'Coded Passages'!$E:$E,$B8,'Coded Passages'!$H:$H,DZ$2)</f>
        <v>0</v>
      </c>
      <c r="EA8">
        <f>COUNTIFS('Coded Passages'!$B:$B,$A8,'Coded Passages'!$E:$E,$B8,'Coded Passages'!$H:$H,EA$2)</f>
        <v>0</v>
      </c>
      <c r="EB8">
        <f>COUNTIFS('Coded Passages'!$B:$B,$A8,'Coded Passages'!$E:$E,$B8,'Coded Passages'!$H:$H,EB$2)</f>
        <v>0</v>
      </c>
      <c r="EC8">
        <f>COUNTIFS('Coded Passages'!$B:$B,$A8,'Coded Passages'!$E:$E,$B8,'Coded Passages'!$H:$H,EC$2)</f>
        <v>0</v>
      </c>
      <c r="ED8">
        <f>COUNTIFS('Coded Passages'!$B:$B,$A8,'Coded Passages'!$E:$E,$B8,'Coded Passages'!$H:$H,ED$2)</f>
        <v>0</v>
      </c>
      <c r="EE8">
        <f>COUNTIFS('Coded Passages'!$B:$B,$A8,'Coded Passages'!$E:$E,$B8,'Coded Passages'!$H:$H,EE$2)</f>
        <v>0</v>
      </c>
      <c r="EF8">
        <f>COUNTIFS('Coded Passages'!$B:$B,$A8,'Coded Passages'!$E:$E,$B8,'Coded Passages'!$H:$H,EF$2)</f>
        <v>1</v>
      </c>
      <c r="EG8">
        <f>COUNTIFS('Coded Passages'!$B:$B,$A8,'Coded Passages'!$E:$E,$B8,'Coded Passages'!$H:$H,EG$2)</f>
        <v>0</v>
      </c>
      <c r="EH8">
        <f>COUNTIFS('Coded Passages'!$B:$B,$A8,'Coded Passages'!$E:$E,$B8,'Coded Passages'!$H:$H,EH$2)</f>
        <v>0</v>
      </c>
      <c r="EI8">
        <f>COUNTIFS('Coded Passages'!$B:$B,$A8,'Coded Passages'!$E:$E,$B8,'Coded Passages'!$H:$H,EI$2)</f>
        <v>1</v>
      </c>
      <c r="EJ8">
        <f>COUNTIFS('Coded Passages'!$B:$B,$A8,'Coded Passages'!$E:$E,$B8,'Coded Passages'!$H:$H,EJ$2)</f>
        <v>0</v>
      </c>
      <c r="EK8">
        <f>COUNTIFS('Coded Passages'!$B:$B,$A8,'Coded Passages'!$E:$E,$B8,'Coded Passages'!$H:$H,EK$2)</f>
        <v>0</v>
      </c>
      <c r="EL8">
        <f>COUNTIFS('Coded Passages'!$B:$B,$A8,'Coded Passages'!$E:$E,$B8,'Coded Passages'!$H:$H,EL$2)</f>
        <v>0</v>
      </c>
      <c r="EM8">
        <f>COUNTIFS('Coded Passages'!$B:$B,$A8,'Coded Passages'!$E:$E,$B8,'Coded Passages'!$H:$H,EM$2)</f>
        <v>0</v>
      </c>
      <c r="EN8">
        <f>COUNTIFS('Coded Passages'!$B:$B,$A8,'Coded Passages'!$E:$E,$B8,'Coded Passages'!$H:$H,EN$2)</f>
        <v>0</v>
      </c>
      <c r="EO8">
        <f>COUNTIFS('Coded Passages'!$B:$B,$A8,'Coded Passages'!$E:$E,$B8,'Coded Passages'!$H:$H,EO$2)</f>
        <v>0</v>
      </c>
      <c r="EP8">
        <f>COUNTIFS('Coded Passages'!$B:$B,$A8,'Coded Passages'!$E:$E,$B8,'Coded Passages'!$H:$H,EP$2)</f>
        <v>0</v>
      </c>
      <c r="EQ8">
        <f>COUNTIFS('Coded Passages'!$B:$B,$A8,'Coded Passages'!$E:$E,$B8,'Coded Passages'!$H:$H,EQ$2)</f>
        <v>0</v>
      </c>
      <c r="ER8">
        <f>COUNTIFS('Coded Passages'!$B:$B,$A8,'Coded Passages'!$E:$E,$B8,'Coded Passages'!$H:$H,ER$2)</f>
        <v>0</v>
      </c>
      <c r="ES8">
        <f>COUNTIFS('Coded Passages'!$B:$B,$A8,'Coded Passages'!$E:$E,$B8,'Coded Passages'!$H:$H,ES$2)</f>
        <v>0</v>
      </c>
      <c r="ET8">
        <f>COUNTIFS('Coded Passages'!$B:$B,$A8,'Coded Passages'!$E:$E,$B8,'Coded Passages'!$H:$H,ET$2)</f>
        <v>1</v>
      </c>
      <c r="EU8">
        <f>COUNTIFS('Coded Passages'!$B:$B,$A8,'Coded Passages'!$E:$E,$B8,'Coded Passages'!$H:$H,EU$2)</f>
        <v>0</v>
      </c>
      <c r="EV8">
        <f>COUNTIFS('Coded Passages'!$B:$B,$A8,'Coded Passages'!$E:$E,$B8,'Coded Passages'!$H:$H,EV$2)</f>
        <v>0</v>
      </c>
      <c r="EW8">
        <f>COUNTIFS('Coded Passages'!$B:$B,$A8,'Coded Passages'!$E:$E,$B8,'Coded Passages'!$H:$H,EW$2)</f>
        <v>0</v>
      </c>
      <c r="EX8">
        <f>COUNTIFS('Coded Passages'!$B:$B,$A8,'Coded Passages'!$E:$E,$B8,'Coded Passages'!$H:$H,EX$2)</f>
        <v>0</v>
      </c>
      <c r="EY8">
        <f>COUNTIFS('Coded Passages'!$B:$B,$A8,'Coded Passages'!$E:$E,$B8,'Coded Passages'!$H:$H,EY$2)</f>
        <v>1</v>
      </c>
      <c r="EZ8">
        <f>COUNTIFS('Coded Passages'!$B:$B,$A8,'Coded Passages'!$E:$E,$B8,'Coded Passages'!$H:$H,EZ$2)</f>
        <v>0</v>
      </c>
      <c r="FA8">
        <f>COUNTIFS('Coded Passages'!$B:$B,$A8,'Coded Passages'!$E:$E,$B8,'Coded Passages'!$H:$H,FA$2)</f>
        <v>0</v>
      </c>
      <c r="FB8">
        <f>COUNTIFS('Coded Passages'!$B:$B,$A8,'Coded Passages'!$E:$E,$B8,'Coded Passages'!$H:$H,FB$2)</f>
        <v>2</v>
      </c>
      <c r="FC8">
        <f>COUNTIFS('Coded Passages'!$B:$B,$A8,'Coded Passages'!$E:$E,$B8,'Coded Passages'!$H:$H,FC$2)</f>
        <v>0</v>
      </c>
      <c r="FD8">
        <f>COUNTIFS('Coded Passages'!$B:$B,$A8,'Coded Passages'!$E:$E,$B8,'Coded Passages'!$H:$H,FD$2)</f>
        <v>0</v>
      </c>
      <c r="FE8">
        <f>COUNTIFS('Coded Passages'!$B:$B,$A8,'Coded Passages'!$E:$E,$B8,'Coded Passages'!$H:$H,FE$2)</f>
        <v>0</v>
      </c>
      <c r="FF8">
        <f>COUNTIFS('Coded Passages'!$B:$B,$A8,'Coded Passages'!$E:$E,$B8,'Coded Passages'!$H:$H,FF$2)</f>
        <v>0</v>
      </c>
      <c r="FG8">
        <f>COUNTIFS('Coded Passages'!$B:$B,$A8,'Coded Passages'!$E:$E,$B8,'Coded Passages'!$H:$H,FG$2)</f>
        <v>1</v>
      </c>
      <c r="FH8">
        <f>COUNTIFS('Coded Passages'!$B:$B,$A8,'Coded Passages'!$E:$E,$B8,'Coded Passages'!$H:$H,FH$2)</f>
        <v>0</v>
      </c>
      <c r="FI8">
        <f>COUNTIFS('Coded Passages'!$B:$B,$A8,'Coded Passages'!$E:$E,$B8,'Coded Passages'!$H:$H,FI$2)</f>
        <v>0</v>
      </c>
      <c r="FJ8">
        <f>COUNTIFS('Coded Passages'!$B:$B,$A8,'Coded Passages'!$E:$E,$B8,'Coded Passages'!$H:$H,FJ$2)</f>
        <v>0</v>
      </c>
      <c r="FK8">
        <f>COUNTIFS('Coded Passages'!$B:$B,$A8,'Coded Passages'!$E:$E,$B8,'Coded Passages'!$H:$H,FK$2)</f>
        <v>1</v>
      </c>
      <c r="FL8">
        <f>COUNTIFS('Coded Passages'!$B:$B,$A8,'Coded Passages'!$E:$E,$B8,'Coded Passages'!$H:$H,FL$2)</f>
        <v>0</v>
      </c>
      <c r="FM8">
        <f>COUNTIFS('Coded Passages'!$B:$B,$A8,'Coded Passages'!$E:$E,$B8,'Coded Passages'!$H:$H,FM$2)</f>
        <v>0</v>
      </c>
      <c r="FN8">
        <f>COUNTIFS('Coded Passages'!$B:$B,$A8,'Coded Passages'!$E:$E,$B8,'Coded Passages'!$H:$H,FN$2)</f>
        <v>0</v>
      </c>
      <c r="FO8">
        <f>COUNTIFS('Coded Passages'!$B:$B,$A8,'Coded Passages'!$E:$E,$B8,'Coded Passages'!$H:$H,FO$2)</f>
        <v>1</v>
      </c>
      <c r="FP8">
        <f t="shared" si="0"/>
        <v>35</v>
      </c>
    </row>
    <row r="9" spans="1:172" x14ac:dyDescent="0.45">
      <c r="A9" s="11" t="s">
        <v>14</v>
      </c>
      <c r="B9" s="16" t="s">
        <v>29</v>
      </c>
      <c r="C9">
        <f>COUNTIFS('Coded Passages'!$B:$B,$A9,'Coded Passages'!$E:$E,$B9,'Coded Passages'!$H:$H,C$2)</f>
        <v>1</v>
      </c>
      <c r="D9">
        <f>COUNTIFS('Coded Passages'!$B:$B,$A9,'Coded Passages'!$E:$E,$B9,'Coded Passages'!$H:$H,D$2)</f>
        <v>0</v>
      </c>
      <c r="E9">
        <f>COUNTIFS('Coded Passages'!$B:$B,$A9,'Coded Passages'!$E:$E,$B9,'Coded Passages'!$H:$H,E$2)</f>
        <v>0</v>
      </c>
      <c r="F9">
        <f>COUNTIFS('Coded Passages'!$B:$B,$A9,'Coded Passages'!$E:$E,$B9,'Coded Passages'!$H:$H,F$2)</f>
        <v>0</v>
      </c>
      <c r="G9">
        <f>COUNTIFS('Coded Passages'!$B:$B,$A9,'Coded Passages'!$E:$E,$B9,'Coded Passages'!$H:$H,G$2)</f>
        <v>1</v>
      </c>
      <c r="H9">
        <f>COUNTIFS('Coded Passages'!$B:$B,$A9,'Coded Passages'!$E:$E,$B9,'Coded Passages'!$H:$H,H$2)</f>
        <v>0</v>
      </c>
      <c r="I9">
        <f>COUNTIFS('Coded Passages'!$B:$B,$A9,'Coded Passages'!$E:$E,$B9,'Coded Passages'!$H:$H,I$2)</f>
        <v>0</v>
      </c>
      <c r="J9">
        <f>COUNTIFS('Coded Passages'!$B:$B,$A9,'Coded Passages'!$E:$E,$B9,'Coded Passages'!$H:$H,J$2)</f>
        <v>0</v>
      </c>
      <c r="K9">
        <f>COUNTIFS('Coded Passages'!$B:$B,$A9,'Coded Passages'!$E:$E,$B9,'Coded Passages'!$H:$H,K$2)</f>
        <v>0</v>
      </c>
      <c r="L9">
        <f>COUNTIFS('Coded Passages'!$B:$B,$A9,'Coded Passages'!$E:$E,$B9,'Coded Passages'!$H:$H,L$2)</f>
        <v>0</v>
      </c>
      <c r="M9">
        <f>COUNTIFS('Coded Passages'!$B:$B,$A9,'Coded Passages'!$E:$E,$B9,'Coded Passages'!$H:$H,M$2)</f>
        <v>0</v>
      </c>
      <c r="N9">
        <f>COUNTIFS('Coded Passages'!$B:$B,$A9,'Coded Passages'!$E:$E,$B9,'Coded Passages'!$H:$H,N$2)</f>
        <v>0</v>
      </c>
      <c r="O9">
        <f>COUNTIFS('Coded Passages'!$B:$B,$A9,'Coded Passages'!$E:$E,$B9,'Coded Passages'!$H:$H,O$2)</f>
        <v>1</v>
      </c>
      <c r="P9">
        <f>COUNTIFS('Coded Passages'!$B:$B,$A9,'Coded Passages'!$E:$E,$B9,'Coded Passages'!$H:$H,P$2)</f>
        <v>1</v>
      </c>
      <c r="Q9">
        <f>COUNTIFS('Coded Passages'!$B:$B,$A9,'Coded Passages'!$E:$E,$B9,'Coded Passages'!$H:$H,Q$2)</f>
        <v>1</v>
      </c>
      <c r="R9">
        <f>COUNTIFS('Coded Passages'!$B:$B,$A9,'Coded Passages'!$E:$E,$B9,'Coded Passages'!$H:$H,R$2)</f>
        <v>0</v>
      </c>
      <c r="S9">
        <f>COUNTIFS('Coded Passages'!$B:$B,$A9,'Coded Passages'!$E:$E,$B9,'Coded Passages'!$H:$H,S$2)</f>
        <v>0</v>
      </c>
      <c r="T9">
        <f>COUNTIFS('Coded Passages'!$B:$B,$A9,'Coded Passages'!$E:$E,$B9,'Coded Passages'!$H:$H,T$2)</f>
        <v>1</v>
      </c>
      <c r="U9">
        <f>COUNTIFS('Coded Passages'!$B:$B,$A9,'Coded Passages'!$E:$E,$B9,'Coded Passages'!$H:$H,U$2)</f>
        <v>0</v>
      </c>
      <c r="V9">
        <f>COUNTIFS('Coded Passages'!$B:$B,$A9,'Coded Passages'!$E:$E,$B9,'Coded Passages'!$H:$H,V$2)</f>
        <v>0</v>
      </c>
      <c r="W9">
        <f>COUNTIFS('Coded Passages'!$B:$B,$A9,'Coded Passages'!$E:$E,$B9,'Coded Passages'!$H:$H,W$2)</f>
        <v>0</v>
      </c>
      <c r="X9">
        <f>COUNTIFS('Coded Passages'!$B:$B,$A9,'Coded Passages'!$E:$E,$B9,'Coded Passages'!$H:$H,X$2)</f>
        <v>0</v>
      </c>
      <c r="Y9">
        <f>COUNTIFS('Coded Passages'!$B:$B,$A9,'Coded Passages'!$E:$E,$B9,'Coded Passages'!$H:$H,Y$2)</f>
        <v>0</v>
      </c>
      <c r="Z9">
        <f>COUNTIFS('Coded Passages'!$B:$B,$A9,'Coded Passages'!$E:$E,$B9,'Coded Passages'!$H:$H,Z$2)</f>
        <v>0</v>
      </c>
      <c r="AA9">
        <f>COUNTIFS('Coded Passages'!$B:$B,$A9,'Coded Passages'!$E:$E,$B9,'Coded Passages'!$H:$H,AA$2)</f>
        <v>0</v>
      </c>
      <c r="AB9">
        <f>COUNTIFS('Coded Passages'!$B:$B,$A9,'Coded Passages'!$E:$E,$B9,'Coded Passages'!$H:$H,AB$2)</f>
        <v>0</v>
      </c>
      <c r="AC9">
        <f>COUNTIFS('Coded Passages'!$B:$B,$A9,'Coded Passages'!$E:$E,$B9,'Coded Passages'!$H:$H,AC$2)</f>
        <v>0</v>
      </c>
      <c r="AD9">
        <f>COUNTIFS('Coded Passages'!$B:$B,$A9,'Coded Passages'!$E:$E,$B9,'Coded Passages'!$H:$H,AD$2)</f>
        <v>0</v>
      </c>
      <c r="AE9">
        <f>COUNTIFS('Coded Passages'!$B:$B,$A9,'Coded Passages'!$E:$E,$B9,'Coded Passages'!$H:$H,AE$2)</f>
        <v>0</v>
      </c>
      <c r="AF9">
        <f>COUNTIFS('Coded Passages'!$B:$B,$A9,'Coded Passages'!$E:$E,$B9,'Coded Passages'!$H:$H,AF$2)</f>
        <v>0</v>
      </c>
      <c r="AG9">
        <f>COUNTIFS('Coded Passages'!$B:$B,$A9,'Coded Passages'!$E:$E,$B9,'Coded Passages'!$H:$H,AG$2)</f>
        <v>0</v>
      </c>
      <c r="AH9">
        <f>COUNTIFS('Coded Passages'!$B:$B,$A9,'Coded Passages'!$E:$E,$B9,'Coded Passages'!$H:$H,AH$2)</f>
        <v>0</v>
      </c>
      <c r="AI9">
        <f>COUNTIFS('Coded Passages'!$B:$B,$A9,'Coded Passages'!$E:$E,$B9,'Coded Passages'!$H:$H,AI$2)</f>
        <v>0</v>
      </c>
      <c r="AJ9">
        <f>COUNTIFS('Coded Passages'!$B:$B,$A9,'Coded Passages'!$E:$E,$B9,'Coded Passages'!$H:$H,AJ$2)</f>
        <v>2</v>
      </c>
      <c r="AK9">
        <f>COUNTIFS('Coded Passages'!$B:$B,$A9,'Coded Passages'!$E:$E,$B9,'Coded Passages'!$H:$H,AK$2)</f>
        <v>1</v>
      </c>
      <c r="AL9">
        <f>COUNTIFS('Coded Passages'!$B:$B,$A9,'Coded Passages'!$E:$E,$B9,'Coded Passages'!$H:$H,AL$2)</f>
        <v>0</v>
      </c>
      <c r="AM9">
        <f>COUNTIFS('Coded Passages'!$B:$B,$A9,'Coded Passages'!$E:$E,$B9,'Coded Passages'!$H:$H,AM$2)</f>
        <v>0</v>
      </c>
      <c r="AN9">
        <f>COUNTIFS('Coded Passages'!$B:$B,$A9,'Coded Passages'!$E:$E,$B9,'Coded Passages'!$H:$H,AN$2)</f>
        <v>1</v>
      </c>
      <c r="AO9">
        <f>COUNTIFS('Coded Passages'!$B:$B,$A9,'Coded Passages'!$E:$E,$B9,'Coded Passages'!$H:$H,AO$2)</f>
        <v>1</v>
      </c>
      <c r="AP9">
        <f>COUNTIFS('Coded Passages'!$B:$B,$A9,'Coded Passages'!$E:$E,$B9,'Coded Passages'!$H:$H,AP$2)</f>
        <v>0</v>
      </c>
      <c r="AQ9">
        <f>COUNTIFS('Coded Passages'!$B:$B,$A9,'Coded Passages'!$E:$E,$B9,'Coded Passages'!$H:$H,AQ$2)</f>
        <v>0</v>
      </c>
      <c r="AR9">
        <f>COUNTIFS('Coded Passages'!$B:$B,$A9,'Coded Passages'!$E:$E,$B9,'Coded Passages'!$H:$H,AR$2)</f>
        <v>1</v>
      </c>
      <c r="AS9">
        <f>COUNTIFS('Coded Passages'!$B:$B,$A9,'Coded Passages'!$E:$E,$B9,'Coded Passages'!$H:$H,AS$2)</f>
        <v>0</v>
      </c>
      <c r="AT9">
        <f>COUNTIFS('Coded Passages'!$B:$B,$A9,'Coded Passages'!$E:$E,$B9,'Coded Passages'!$H:$H,AT$2)</f>
        <v>1</v>
      </c>
      <c r="AU9">
        <f>COUNTIFS('Coded Passages'!$B:$B,$A9,'Coded Passages'!$E:$E,$B9,'Coded Passages'!$H:$H,AU$2)</f>
        <v>2</v>
      </c>
      <c r="AV9">
        <f>COUNTIFS('Coded Passages'!$B:$B,$A9,'Coded Passages'!$E:$E,$B9,'Coded Passages'!$H:$H,AV$2)</f>
        <v>0</v>
      </c>
      <c r="AW9">
        <f>COUNTIFS('Coded Passages'!$B:$B,$A9,'Coded Passages'!$E:$E,$B9,'Coded Passages'!$H:$H,AW$2)</f>
        <v>0</v>
      </c>
      <c r="AX9">
        <f>COUNTIFS('Coded Passages'!$B:$B,$A9,'Coded Passages'!$E:$E,$B9,'Coded Passages'!$H:$H,AX$2)</f>
        <v>1</v>
      </c>
      <c r="AY9">
        <f>COUNTIFS('Coded Passages'!$B:$B,$A9,'Coded Passages'!$E:$E,$B9,'Coded Passages'!$H:$H,AY$2)</f>
        <v>0</v>
      </c>
      <c r="AZ9">
        <f>COUNTIFS('Coded Passages'!$B:$B,$A9,'Coded Passages'!$E:$E,$B9,'Coded Passages'!$H:$H,AZ$2)</f>
        <v>0</v>
      </c>
      <c r="BA9">
        <f>COUNTIFS('Coded Passages'!$B:$B,$A9,'Coded Passages'!$E:$E,$B9,'Coded Passages'!$H:$H,BA$2)</f>
        <v>1</v>
      </c>
      <c r="BB9">
        <f>COUNTIFS('Coded Passages'!$B:$B,$A9,'Coded Passages'!$E:$E,$B9,'Coded Passages'!$H:$H,BB$2)</f>
        <v>0</v>
      </c>
      <c r="BC9">
        <f>COUNTIFS('Coded Passages'!$B:$B,$A9,'Coded Passages'!$E:$E,$B9,'Coded Passages'!$H:$H,BC$2)</f>
        <v>1</v>
      </c>
      <c r="BD9">
        <f>COUNTIFS('Coded Passages'!$B:$B,$A9,'Coded Passages'!$E:$E,$B9,'Coded Passages'!$H:$H,BD$2)</f>
        <v>0</v>
      </c>
      <c r="BE9">
        <f>COUNTIFS('Coded Passages'!$B:$B,$A9,'Coded Passages'!$E:$E,$B9,'Coded Passages'!$H:$H,BE$2)</f>
        <v>0</v>
      </c>
      <c r="BF9">
        <f>COUNTIFS('Coded Passages'!$B:$B,$A9,'Coded Passages'!$E:$E,$B9,'Coded Passages'!$H:$H,BF$2)</f>
        <v>0</v>
      </c>
      <c r="BG9">
        <f>COUNTIFS('Coded Passages'!$B:$B,$A9,'Coded Passages'!$E:$E,$B9,'Coded Passages'!$H:$H,BG$2)</f>
        <v>0</v>
      </c>
      <c r="BH9">
        <f>COUNTIFS('Coded Passages'!$B:$B,$A9,'Coded Passages'!$E:$E,$B9,'Coded Passages'!$H:$H,BH$2)</f>
        <v>0</v>
      </c>
      <c r="BI9">
        <f>COUNTIFS('Coded Passages'!$B:$B,$A9,'Coded Passages'!$E:$E,$B9,'Coded Passages'!$H:$H,BI$2)</f>
        <v>1</v>
      </c>
      <c r="BJ9">
        <f>COUNTIFS('Coded Passages'!$B:$B,$A9,'Coded Passages'!$E:$E,$B9,'Coded Passages'!$H:$H,BJ$2)</f>
        <v>0</v>
      </c>
      <c r="BK9">
        <f>COUNTIFS('Coded Passages'!$B:$B,$A9,'Coded Passages'!$E:$E,$B9,'Coded Passages'!$H:$H,BK$2)</f>
        <v>0</v>
      </c>
      <c r="BL9">
        <f>COUNTIFS('Coded Passages'!$B:$B,$A9,'Coded Passages'!$E:$E,$B9,'Coded Passages'!$H:$H,BL$2)</f>
        <v>0</v>
      </c>
      <c r="BM9">
        <f>COUNTIFS('Coded Passages'!$B:$B,$A9,'Coded Passages'!$E:$E,$B9,'Coded Passages'!$H:$H,BM$2)</f>
        <v>0</v>
      </c>
      <c r="BN9">
        <f>COUNTIFS('Coded Passages'!$B:$B,$A9,'Coded Passages'!$E:$E,$B9,'Coded Passages'!$H:$H,BN$2)</f>
        <v>1</v>
      </c>
      <c r="BO9">
        <f>COUNTIFS('Coded Passages'!$B:$B,$A9,'Coded Passages'!$E:$E,$B9,'Coded Passages'!$H:$H,BO$2)</f>
        <v>0</v>
      </c>
      <c r="BP9">
        <f>COUNTIFS('Coded Passages'!$B:$B,$A9,'Coded Passages'!$E:$E,$B9,'Coded Passages'!$H:$H,BP$2)</f>
        <v>0</v>
      </c>
      <c r="BQ9">
        <f>COUNTIFS('Coded Passages'!$B:$B,$A9,'Coded Passages'!$E:$E,$B9,'Coded Passages'!$H:$H,BQ$2)</f>
        <v>0</v>
      </c>
      <c r="BR9">
        <f>COUNTIFS('Coded Passages'!$B:$B,$A9,'Coded Passages'!$E:$E,$B9,'Coded Passages'!$H:$H,BR$2)</f>
        <v>0</v>
      </c>
      <c r="BS9">
        <f>COUNTIFS('Coded Passages'!$B:$B,$A9,'Coded Passages'!$E:$E,$B9,'Coded Passages'!$H:$H,BS$2)</f>
        <v>0</v>
      </c>
      <c r="BT9">
        <f>COUNTIFS('Coded Passages'!$B:$B,$A9,'Coded Passages'!$E:$E,$B9,'Coded Passages'!$H:$H,BT$2)</f>
        <v>0</v>
      </c>
      <c r="BU9">
        <f>COUNTIFS('Coded Passages'!$B:$B,$A9,'Coded Passages'!$E:$E,$B9,'Coded Passages'!$H:$H,BU$2)</f>
        <v>0</v>
      </c>
      <c r="BV9">
        <f>COUNTIFS('Coded Passages'!$B:$B,$A9,'Coded Passages'!$E:$E,$B9,'Coded Passages'!$H:$H,BV$2)</f>
        <v>0</v>
      </c>
      <c r="BW9">
        <f>COUNTIFS('Coded Passages'!$B:$B,$A9,'Coded Passages'!$E:$E,$B9,'Coded Passages'!$H:$H,BW$2)</f>
        <v>0</v>
      </c>
      <c r="BX9">
        <f>COUNTIFS('Coded Passages'!$B:$B,$A9,'Coded Passages'!$E:$E,$B9,'Coded Passages'!$H:$H,BX$2)</f>
        <v>0</v>
      </c>
      <c r="BY9">
        <f>COUNTIFS('Coded Passages'!$B:$B,$A9,'Coded Passages'!$E:$E,$B9,'Coded Passages'!$H:$H,BY$2)</f>
        <v>0</v>
      </c>
      <c r="BZ9">
        <f>COUNTIFS('Coded Passages'!$B:$B,$A9,'Coded Passages'!$E:$E,$B9,'Coded Passages'!$H:$H,BZ$2)</f>
        <v>0</v>
      </c>
      <c r="CA9">
        <f>COUNTIFS('Coded Passages'!$B:$B,$A9,'Coded Passages'!$E:$E,$B9,'Coded Passages'!$H:$H,CA$2)</f>
        <v>1</v>
      </c>
      <c r="CB9">
        <f>COUNTIFS('Coded Passages'!$B:$B,$A9,'Coded Passages'!$E:$E,$B9,'Coded Passages'!$H:$H,CB$2)</f>
        <v>0</v>
      </c>
      <c r="CC9">
        <f>COUNTIFS('Coded Passages'!$B:$B,$A9,'Coded Passages'!$E:$E,$B9,'Coded Passages'!$H:$H,CC$2)</f>
        <v>0</v>
      </c>
      <c r="CD9">
        <f>COUNTIFS('Coded Passages'!$B:$B,$A9,'Coded Passages'!$E:$E,$B9,'Coded Passages'!$H:$H,CD$2)</f>
        <v>0</v>
      </c>
      <c r="CE9">
        <f>COUNTIFS('Coded Passages'!$B:$B,$A9,'Coded Passages'!$E:$E,$B9,'Coded Passages'!$H:$H,CE$2)</f>
        <v>0</v>
      </c>
      <c r="CF9">
        <f>COUNTIFS('Coded Passages'!$B:$B,$A9,'Coded Passages'!$E:$E,$B9,'Coded Passages'!$H:$H,CF$2)</f>
        <v>0</v>
      </c>
      <c r="CG9">
        <f>COUNTIFS('Coded Passages'!$B:$B,$A9,'Coded Passages'!$E:$E,$B9,'Coded Passages'!$H:$H,CG$2)</f>
        <v>0</v>
      </c>
      <c r="CH9">
        <f>COUNTIFS('Coded Passages'!$B:$B,$A9,'Coded Passages'!$E:$E,$B9,'Coded Passages'!$H:$H,CH$2)</f>
        <v>0</v>
      </c>
      <c r="CI9">
        <f>COUNTIFS('Coded Passages'!$B:$B,$A9,'Coded Passages'!$E:$E,$B9,'Coded Passages'!$H:$H,CI$2)</f>
        <v>0</v>
      </c>
      <c r="CJ9">
        <f>COUNTIFS('Coded Passages'!$B:$B,$A9,'Coded Passages'!$E:$E,$B9,'Coded Passages'!$H:$H,CJ$2)</f>
        <v>0</v>
      </c>
      <c r="CK9">
        <f>COUNTIFS('Coded Passages'!$B:$B,$A9,'Coded Passages'!$E:$E,$B9,'Coded Passages'!$H:$H,CK$2)</f>
        <v>0</v>
      </c>
      <c r="CL9">
        <f>COUNTIFS('Coded Passages'!$B:$B,$A9,'Coded Passages'!$E:$E,$B9,'Coded Passages'!$H:$H,CL$2)</f>
        <v>0</v>
      </c>
      <c r="CM9">
        <f>COUNTIFS('Coded Passages'!$B:$B,$A9,'Coded Passages'!$E:$E,$B9,'Coded Passages'!$H:$H,CM$2)</f>
        <v>0</v>
      </c>
      <c r="CN9">
        <f>COUNTIFS('Coded Passages'!$B:$B,$A9,'Coded Passages'!$E:$E,$B9,'Coded Passages'!$H:$H,CN$2)</f>
        <v>0</v>
      </c>
      <c r="CO9">
        <f>COUNTIFS('Coded Passages'!$B:$B,$A9,'Coded Passages'!$E:$E,$B9,'Coded Passages'!$H:$H,CO$2)</f>
        <v>0</v>
      </c>
      <c r="CP9">
        <f>COUNTIFS('Coded Passages'!$B:$B,$A9,'Coded Passages'!$E:$E,$B9,'Coded Passages'!$H:$H,CP$2)</f>
        <v>0</v>
      </c>
      <c r="CQ9">
        <f>COUNTIFS('Coded Passages'!$B:$B,$A9,'Coded Passages'!$E:$E,$B9,'Coded Passages'!$H:$H,CQ$2)</f>
        <v>0</v>
      </c>
      <c r="CR9">
        <f>COUNTIFS('Coded Passages'!$B:$B,$A9,'Coded Passages'!$E:$E,$B9,'Coded Passages'!$H:$H,CR$2)</f>
        <v>0</v>
      </c>
      <c r="CS9">
        <f>COUNTIFS('Coded Passages'!$B:$B,$A9,'Coded Passages'!$E:$E,$B9,'Coded Passages'!$H:$H,CS$2)</f>
        <v>0</v>
      </c>
      <c r="CT9">
        <f>COUNTIFS('Coded Passages'!$B:$B,$A9,'Coded Passages'!$E:$E,$B9,'Coded Passages'!$H:$H,CT$2)</f>
        <v>0</v>
      </c>
      <c r="CU9">
        <f>COUNTIFS('Coded Passages'!$B:$B,$A9,'Coded Passages'!$E:$E,$B9,'Coded Passages'!$H:$H,CU$2)</f>
        <v>0</v>
      </c>
      <c r="CV9">
        <f>COUNTIFS('Coded Passages'!$B:$B,$A9,'Coded Passages'!$E:$E,$B9,'Coded Passages'!$H:$H,CV$2)</f>
        <v>0</v>
      </c>
      <c r="CW9">
        <f>COUNTIFS('Coded Passages'!$B:$B,$A9,'Coded Passages'!$E:$E,$B9,'Coded Passages'!$H:$H,CW$2)</f>
        <v>0</v>
      </c>
      <c r="CX9">
        <f>COUNTIFS('Coded Passages'!$B:$B,$A9,'Coded Passages'!$E:$E,$B9,'Coded Passages'!$H:$H,CX$2)</f>
        <v>0</v>
      </c>
      <c r="CY9">
        <f>COUNTIFS('Coded Passages'!$B:$B,$A9,'Coded Passages'!$E:$E,$B9,'Coded Passages'!$H:$H,CY$2)</f>
        <v>0</v>
      </c>
      <c r="CZ9">
        <f>COUNTIFS('Coded Passages'!$B:$B,$A9,'Coded Passages'!$E:$E,$B9,'Coded Passages'!$H:$H,CZ$2)</f>
        <v>0</v>
      </c>
      <c r="DA9">
        <f>COUNTIFS('Coded Passages'!$B:$B,$A9,'Coded Passages'!$E:$E,$B9,'Coded Passages'!$H:$H,DA$2)</f>
        <v>0</v>
      </c>
      <c r="DB9">
        <f>COUNTIFS('Coded Passages'!$B:$B,$A9,'Coded Passages'!$E:$E,$B9,'Coded Passages'!$H:$H,DB$2)</f>
        <v>0</v>
      </c>
      <c r="DC9">
        <f>COUNTIFS('Coded Passages'!$B:$B,$A9,'Coded Passages'!$E:$E,$B9,'Coded Passages'!$H:$H,DC$2)</f>
        <v>0</v>
      </c>
      <c r="DD9">
        <f>COUNTIFS('Coded Passages'!$B:$B,$A9,'Coded Passages'!$E:$E,$B9,'Coded Passages'!$H:$H,DD$2)</f>
        <v>0</v>
      </c>
      <c r="DE9">
        <f>COUNTIFS('Coded Passages'!$B:$B,$A9,'Coded Passages'!$E:$E,$B9,'Coded Passages'!$H:$H,DE$2)</f>
        <v>0</v>
      </c>
      <c r="DF9">
        <f>COUNTIFS('Coded Passages'!$B:$B,$A9,'Coded Passages'!$E:$E,$B9,'Coded Passages'!$H:$H,DF$2)</f>
        <v>0</v>
      </c>
      <c r="DG9">
        <f>COUNTIFS('Coded Passages'!$B:$B,$A9,'Coded Passages'!$E:$E,$B9,'Coded Passages'!$H:$H,DG$2)</f>
        <v>0</v>
      </c>
      <c r="DH9">
        <f>COUNTIFS('Coded Passages'!$B:$B,$A9,'Coded Passages'!$E:$E,$B9,'Coded Passages'!$H:$H,DH$2)</f>
        <v>0</v>
      </c>
      <c r="DI9">
        <f>COUNTIFS('Coded Passages'!$B:$B,$A9,'Coded Passages'!$E:$E,$B9,'Coded Passages'!$H:$H,DI$2)</f>
        <v>0</v>
      </c>
      <c r="DJ9">
        <f>COUNTIFS('Coded Passages'!$B:$B,$A9,'Coded Passages'!$E:$E,$B9,'Coded Passages'!$H:$H,DJ$2)</f>
        <v>1</v>
      </c>
      <c r="DK9">
        <f>COUNTIFS('Coded Passages'!$B:$B,$A9,'Coded Passages'!$E:$E,$B9,'Coded Passages'!$H:$H,DK$2)</f>
        <v>0</v>
      </c>
      <c r="DL9">
        <f>COUNTIFS('Coded Passages'!$B:$B,$A9,'Coded Passages'!$E:$E,$B9,'Coded Passages'!$H:$H,DL$2)</f>
        <v>0</v>
      </c>
      <c r="DM9">
        <f>COUNTIFS('Coded Passages'!$B:$B,$A9,'Coded Passages'!$E:$E,$B9,'Coded Passages'!$H:$H,DM$2)</f>
        <v>0</v>
      </c>
      <c r="DN9">
        <f>COUNTIFS('Coded Passages'!$B:$B,$A9,'Coded Passages'!$E:$E,$B9,'Coded Passages'!$H:$H,DN$2)</f>
        <v>0</v>
      </c>
      <c r="DO9">
        <f>COUNTIFS('Coded Passages'!$B:$B,$A9,'Coded Passages'!$E:$E,$B9,'Coded Passages'!$H:$H,DO$2)</f>
        <v>0</v>
      </c>
      <c r="DP9">
        <f>COUNTIFS('Coded Passages'!$B:$B,$A9,'Coded Passages'!$E:$E,$B9,'Coded Passages'!$H:$H,DP$2)</f>
        <v>0</v>
      </c>
      <c r="DQ9">
        <f>COUNTIFS('Coded Passages'!$B:$B,$A9,'Coded Passages'!$E:$E,$B9,'Coded Passages'!$H:$H,DQ$2)</f>
        <v>0</v>
      </c>
      <c r="DR9">
        <f>COUNTIFS('Coded Passages'!$B:$B,$A9,'Coded Passages'!$E:$E,$B9,'Coded Passages'!$H:$H,DR$2)</f>
        <v>0</v>
      </c>
      <c r="DS9">
        <f>COUNTIFS('Coded Passages'!$B:$B,$A9,'Coded Passages'!$E:$E,$B9,'Coded Passages'!$H:$H,DS$2)</f>
        <v>0</v>
      </c>
      <c r="DT9">
        <f>COUNTIFS('Coded Passages'!$B:$B,$A9,'Coded Passages'!$E:$E,$B9,'Coded Passages'!$H:$H,DT$2)</f>
        <v>0</v>
      </c>
      <c r="DU9">
        <f>COUNTIFS('Coded Passages'!$B:$B,$A9,'Coded Passages'!$E:$E,$B9,'Coded Passages'!$H:$H,DU$2)</f>
        <v>0</v>
      </c>
      <c r="DV9">
        <f>COUNTIFS('Coded Passages'!$B:$B,$A9,'Coded Passages'!$E:$E,$B9,'Coded Passages'!$H:$H,DV$2)</f>
        <v>0</v>
      </c>
      <c r="DW9">
        <f>COUNTIFS('Coded Passages'!$B:$B,$A9,'Coded Passages'!$E:$E,$B9,'Coded Passages'!$H:$H,DW$2)</f>
        <v>0</v>
      </c>
      <c r="DX9">
        <f>COUNTIFS('Coded Passages'!$B:$B,$A9,'Coded Passages'!$E:$E,$B9,'Coded Passages'!$H:$H,DX$2)</f>
        <v>0</v>
      </c>
      <c r="DY9">
        <f>COUNTIFS('Coded Passages'!$B:$B,$A9,'Coded Passages'!$E:$E,$B9,'Coded Passages'!$H:$H,DY$2)</f>
        <v>0</v>
      </c>
      <c r="DZ9">
        <f>COUNTIFS('Coded Passages'!$B:$B,$A9,'Coded Passages'!$E:$E,$B9,'Coded Passages'!$H:$H,DZ$2)</f>
        <v>0</v>
      </c>
      <c r="EA9">
        <f>COUNTIFS('Coded Passages'!$B:$B,$A9,'Coded Passages'!$E:$E,$B9,'Coded Passages'!$H:$H,EA$2)</f>
        <v>0</v>
      </c>
      <c r="EB9">
        <f>COUNTIFS('Coded Passages'!$B:$B,$A9,'Coded Passages'!$E:$E,$B9,'Coded Passages'!$H:$H,EB$2)</f>
        <v>0</v>
      </c>
      <c r="EC9">
        <f>COUNTIFS('Coded Passages'!$B:$B,$A9,'Coded Passages'!$E:$E,$B9,'Coded Passages'!$H:$H,EC$2)</f>
        <v>0</v>
      </c>
      <c r="ED9">
        <f>COUNTIFS('Coded Passages'!$B:$B,$A9,'Coded Passages'!$E:$E,$B9,'Coded Passages'!$H:$H,ED$2)</f>
        <v>1</v>
      </c>
      <c r="EE9">
        <f>COUNTIFS('Coded Passages'!$B:$B,$A9,'Coded Passages'!$E:$E,$B9,'Coded Passages'!$H:$H,EE$2)</f>
        <v>0</v>
      </c>
      <c r="EF9">
        <f>COUNTIFS('Coded Passages'!$B:$B,$A9,'Coded Passages'!$E:$E,$B9,'Coded Passages'!$H:$H,EF$2)</f>
        <v>0</v>
      </c>
      <c r="EG9">
        <f>COUNTIFS('Coded Passages'!$B:$B,$A9,'Coded Passages'!$E:$E,$B9,'Coded Passages'!$H:$H,EG$2)</f>
        <v>0</v>
      </c>
      <c r="EH9">
        <f>COUNTIFS('Coded Passages'!$B:$B,$A9,'Coded Passages'!$E:$E,$B9,'Coded Passages'!$H:$H,EH$2)</f>
        <v>0</v>
      </c>
      <c r="EI9">
        <f>COUNTIFS('Coded Passages'!$B:$B,$A9,'Coded Passages'!$E:$E,$B9,'Coded Passages'!$H:$H,EI$2)</f>
        <v>0</v>
      </c>
      <c r="EJ9">
        <f>COUNTIFS('Coded Passages'!$B:$B,$A9,'Coded Passages'!$E:$E,$B9,'Coded Passages'!$H:$H,EJ$2)</f>
        <v>0</v>
      </c>
      <c r="EK9">
        <f>COUNTIFS('Coded Passages'!$B:$B,$A9,'Coded Passages'!$E:$E,$B9,'Coded Passages'!$H:$H,EK$2)</f>
        <v>1</v>
      </c>
      <c r="EL9">
        <f>COUNTIFS('Coded Passages'!$B:$B,$A9,'Coded Passages'!$E:$E,$B9,'Coded Passages'!$H:$H,EL$2)</f>
        <v>0</v>
      </c>
      <c r="EM9">
        <f>COUNTIFS('Coded Passages'!$B:$B,$A9,'Coded Passages'!$E:$E,$B9,'Coded Passages'!$H:$H,EM$2)</f>
        <v>0</v>
      </c>
      <c r="EN9">
        <f>COUNTIFS('Coded Passages'!$B:$B,$A9,'Coded Passages'!$E:$E,$B9,'Coded Passages'!$H:$H,EN$2)</f>
        <v>3</v>
      </c>
      <c r="EO9">
        <f>COUNTIFS('Coded Passages'!$B:$B,$A9,'Coded Passages'!$E:$E,$B9,'Coded Passages'!$H:$H,EO$2)</f>
        <v>0</v>
      </c>
      <c r="EP9">
        <f>COUNTIFS('Coded Passages'!$B:$B,$A9,'Coded Passages'!$E:$E,$B9,'Coded Passages'!$H:$H,EP$2)</f>
        <v>1</v>
      </c>
      <c r="EQ9">
        <f>COUNTIFS('Coded Passages'!$B:$B,$A9,'Coded Passages'!$E:$E,$B9,'Coded Passages'!$H:$H,EQ$2)</f>
        <v>0</v>
      </c>
      <c r="ER9">
        <f>COUNTIFS('Coded Passages'!$B:$B,$A9,'Coded Passages'!$E:$E,$B9,'Coded Passages'!$H:$H,ER$2)</f>
        <v>0</v>
      </c>
      <c r="ES9">
        <f>COUNTIFS('Coded Passages'!$B:$B,$A9,'Coded Passages'!$E:$E,$B9,'Coded Passages'!$H:$H,ES$2)</f>
        <v>0</v>
      </c>
      <c r="ET9">
        <f>COUNTIFS('Coded Passages'!$B:$B,$A9,'Coded Passages'!$E:$E,$B9,'Coded Passages'!$H:$H,ET$2)</f>
        <v>0</v>
      </c>
      <c r="EU9">
        <f>COUNTIFS('Coded Passages'!$B:$B,$A9,'Coded Passages'!$E:$E,$B9,'Coded Passages'!$H:$H,EU$2)</f>
        <v>0</v>
      </c>
      <c r="EV9">
        <f>COUNTIFS('Coded Passages'!$B:$B,$A9,'Coded Passages'!$E:$E,$B9,'Coded Passages'!$H:$H,EV$2)</f>
        <v>0</v>
      </c>
      <c r="EW9">
        <f>COUNTIFS('Coded Passages'!$B:$B,$A9,'Coded Passages'!$E:$E,$B9,'Coded Passages'!$H:$H,EW$2)</f>
        <v>0</v>
      </c>
      <c r="EX9">
        <f>COUNTIFS('Coded Passages'!$B:$B,$A9,'Coded Passages'!$E:$E,$B9,'Coded Passages'!$H:$H,EX$2)</f>
        <v>0</v>
      </c>
      <c r="EY9">
        <f>COUNTIFS('Coded Passages'!$B:$B,$A9,'Coded Passages'!$E:$E,$B9,'Coded Passages'!$H:$H,EY$2)</f>
        <v>0</v>
      </c>
      <c r="EZ9">
        <f>COUNTIFS('Coded Passages'!$B:$B,$A9,'Coded Passages'!$E:$E,$B9,'Coded Passages'!$H:$H,EZ$2)</f>
        <v>0</v>
      </c>
      <c r="FA9">
        <f>COUNTIFS('Coded Passages'!$B:$B,$A9,'Coded Passages'!$E:$E,$B9,'Coded Passages'!$H:$H,FA$2)</f>
        <v>0</v>
      </c>
      <c r="FB9">
        <f>COUNTIFS('Coded Passages'!$B:$B,$A9,'Coded Passages'!$E:$E,$B9,'Coded Passages'!$H:$H,FB$2)</f>
        <v>0</v>
      </c>
      <c r="FC9">
        <f>COUNTIFS('Coded Passages'!$B:$B,$A9,'Coded Passages'!$E:$E,$B9,'Coded Passages'!$H:$H,FC$2)</f>
        <v>0</v>
      </c>
      <c r="FD9">
        <f>COUNTIFS('Coded Passages'!$B:$B,$A9,'Coded Passages'!$E:$E,$B9,'Coded Passages'!$H:$H,FD$2)</f>
        <v>1</v>
      </c>
      <c r="FE9">
        <f>COUNTIFS('Coded Passages'!$B:$B,$A9,'Coded Passages'!$E:$E,$B9,'Coded Passages'!$H:$H,FE$2)</f>
        <v>0</v>
      </c>
      <c r="FF9">
        <f>COUNTIFS('Coded Passages'!$B:$B,$A9,'Coded Passages'!$E:$E,$B9,'Coded Passages'!$H:$H,FF$2)</f>
        <v>0</v>
      </c>
      <c r="FG9">
        <f>COUNTIFS('Coded Passages'!$B:$B,$A9,'Coded Passages'!$E:$E,$B9,'Coded Passages'!$H:$H,FG$2)</f>
        <v>0</v>
      </c>
      <c r="FH9">
        <f>COUNTIFS('Coded Passages'!$B:$B,$A9,'Coded Passages'!$E:$E,$B9,'Coded Passages'!$H:$H,FH$2)</f>
        <v>0</v>
      </c>
      <c r="FI9">
        <f>COUNTIFS('Coded Passages'!$B:$B,$A9,'Coded Passages'!$E:$E,$B9,'Coded Passages'!$H:$H,FI$2)</f>
        <v>2</v>
      </c>
      <c r="FJ9">
        <f>COUNTIFS('Coded Passages'!$B:$B,$A9,'Coded Passages'!$E:$E,$B9,'Coded Passages'!$H:$H,FJ$2)</f>
        <v>0</v>
      </c>
      <c r="FK9">
        <f>COUNTIFS('Coded Passages'!$B:$B,$A9,'Coded Passages'!$E:$E,$B9,'Coded Passages'!$H:$H,FK$2)</f>
        <v>0</v>
      </c>
      <c r="FL9">
        <f>COUNTIFS('Coded Passages'!$B:$B,$A9,'Coded Passages'!$E:$E,$B9,'Coded Passages'!$H:$H,FL$2)</f>
        <v>0</v>
      </c>
      <c r="FM9">
        <f>COUNTIFS('Coded Passages'!$B:$B,$A9,'Coded Passages'!$E:$E,$B9,'Coded Passages'!$H:$H,FM$2)</f>
        <v>1</v>
      </c>
      <c r="FN9">
        <f>COUNTIFS('Coded Passages'!$B:$B,$A9,'Coded Passages'!$E:$E,$B9,'Coded Passages'!$H:$H,FN$2)</f>
        <v>0</v>
      </c>
      <c r="FO9">
        <f>COUNTIFS('Coded Passages'!$B:$B,$A9,'Coded Passages'!$E:$E,$B9,'Coded Passages'!$H:$H,FO$2)</f>
        <v>0</v>
      </c>
      <c r="FP9">
        <f t="shared" si="0"/>
        <v>32</v>
      </c>
    </row>
    <row r="10" spans="1:172" x14ac:dyDescent="0.45">
      <c r="A10" s="12" t="s">
        <v>31</v>
      </c>
      <c r="B10" s="16" t="s">
        <v>79</v>
      </c>
      <c r="C10">
        <f>COUNTIFS('Coded Passages'!$B:$B,$A10,'Coded Passages'!$E:$E,$B10,'Coded Passages'!$H:$H,C$2)</f>
        <v>0</v>
      </c>
      <c r="D10">
        <f>COUNTIFS('Coded Passages'!$B:$B,$A10,'Coded Passages'!$E:$E,$B10,'Coded Passages'!$H:$H,D$2)</f>
        <v>0</v>
      </c>
      <c r="E10">
        <f>COUNTIFS('Coded Passages'!$B:$B,$A10,'Coded Passages'!$E:$E,$B10,'Coded Passages'!$H:$H,E$2)</f>
        <v>0</v>
      </c>
      <c r="F10">
        <f>COUNTIFS('Coded Passages'!$B:$B,$A10,'Coded Passages'!$E:$E,$B10,'Coded Passages'!$H:$H,F$2)</f>
        <v>0</v>
      </c>
      <c r="G10">
        <f>COUNTIFS('Coded Passages'!$B:$B,$A10,'Coded Passages'!$E:$E,$B10,'Coded Passages'!$H:$H,G$2)</f>
        <v>1</v>
      </c>
      <c r="H10">
        <f>COUNTIFS('Coded Passages'!$B:$B,$A10,'Coded Passages'!$E:$E,$B10,'Coded Passages'!$H:$H,H$2)</f>
        <v>0</v>
      </c>
      <c r="I10">
        <f>COUNTIFS('Coded Passages'!$B:$B,$A10,'Coded Passages'!$E:$E,$B10,'Coded Passages'!$H:$H,I$2)</f>
        <v>0</v>
      </c>
      <c r="J10">
        <f>COUNTIFS('Coded Passages'!$B:$B,$A10,'Coded Passages'!$E:$E,$B10,'Coded Passages'!$H:$H,J$2)</f>
        <v>0</v>
      </c>
      <c r="K10">
        <f>COUNTIFS('Coded Passages'!$B:$B,$A10,'Coded Passages'!$E:$E,$B10,'Coded Passages'!$H:$H,K$2)</f>
        <v>0</v>
      </c>
      <c r="L10">
        <f>COUNTIFS('Coded Passages'!$B:$B,$A10,'Coded Passages'!$E:$E,$B10,'Coded Passages'!$H:$H,L$2)</f>
        <v>0</v>
      </c>
      <c r="M10">
        <f>COUNTIFS('Coded Passages'!$B:$B,$A10,'Coded Passages'!$E:$E,$B10,'Coded Passages'!$H:$H,M$2)</f>
        <v>1</v>
      </c>
      <c r="N10">
        <f>COUNTIFS('Coded Passages'!$B:$B,$A10,'Coded Passages'!$E:$E,$B10,'Coded Passages'!$H:$H,N$2)</f>
        <v>0</v>
      </c>
      <c r="O10">
        <f>COUNTIFS('Coded Passages'!$B:$B,$A10,'Coded Passages'!$E:$E,$B10,'Coded Passages'!$H:$H,O$2)</f>
        <v>0</v>
      </c>
      <c r="P10">
        <f>COUNTIFS('Coded Passages'!$B:$B,$A10,'Coded Passages'!$E:$E,$B10,'Coded Passages'!$H:$H,P$2)</f>
        <v>0</v>
      </c>
      <c r="Q10">
        <f>COUNTIFS('Coded Passages'!$B:$B,$A10,'Coded Passages'!$E:$E,$B10,'Coded Passages'!$H:$H,Q$2)</f>
        <v>0</v>
      </c>
      <c r="R10">
        <f>COUNTIFS('Coded Passages'!$B:$B,$A10,'Coded Passages'!$E:$E,$B10,'Coded Passages'!$H:$H,R$2)</f>
        <v>1</v>
      </c>
      <c r="S10">
        <f>COUNTIFS('Coded Passages'!$B:$B,$A10,'Coded Passages'!$E:$E,$B10,'Coded Passages'!$H:$H,S$2)</f>
        <v>1</v>
      </c>
      <c r="T10">
        <f>COUNTIFS('Coded Passages'!$B:$B,$A10,'Coded Passages'!$E:$E,$B10,'Coded Passages'!$H:$H,T$2)</f>
        <v>0</v>
      </c>
      <c r="U10">
        <f>COUNTIFS('Coded Passages'!$B:$B,$A10,'Coded Passages'!$E:$E,$B10,'Coded Passages'!$H:$H,U$2)</f>
        <v>0</v>
      </c>
      <c r="V10">
        <f>COUNTIFS('Coded Passages'!$B:$B,$A10,'Coded Passages'!$E:$E,$B10,'Coded Passages'!$H:$H,V$2)</f>
        <v>0</v>
      </c>
      <c r="W10">
        <f>COUNTIFS('Coded Passages'!$B:$B,$A10,'Coded Passages'!$E:$E,$B10,'Coded Passages'!$H:$H,W$2)</f>
        <v>0</v>
      </c>
      <c r="X10">
        <f>COUNTIFS('Coded Passages'!$B:$B,$A10,'Coded Passages'!$E:$E,$B10,'Coded Passages'!$H:$H,X$2)</f>
        <v>0</v>
      </c>
      <c r="Y10">
        <f>COUNTIFS('Coded Passages'!$B:$B,$A10,'Coded Passages'!$E:$E,$B10,'Coded Passages'!$H:$H,Y$2)</f>
        <v>0</v>
      </c>
      <c r="Z10">
        <f>COUNTIFS('Coded Passages'!$B:$B,$A10,'Coded Passages'!$E:$E,$B10,'Coded Passages'!$H:$H,Z$2)</f>
        <v>0</v>
      </c>
      <c r="AA10">
        <f>COUNTIFS('Coded Passages'!$B:$B,$A10,'Coded Passages'!$E:$E,$B10,'Coded Passages'!$H:$H,AA$2)</f>
        <v>0</v>
      </c>
      <c r="AB10">
        <f>COUNTIFS('Coded Passages'!$B:$B,$A10,'Coded Passages'!$E:$E,$B10,'Coded Passages'!$H:$H,AB$2)</f>
        <v>0</v>
      </c>
      <c r="AC10">
        <f>COUNTIFS('Coded Passages'!$B:$B,$A10,'Coded Passages'!$E:$E,$B10,'Coded Passages'!$H:$H,AC$2)</f>
        <v>0</v>
      </c>
      <c r="AD10">
        <f>COUNTIFS('Coded Passages'!$B:$B,$A10,'Coded Passages'!$E:$E,$B10,'Coded Passages'!$H:$H,AD$2)</f>
        <v>0</v>
      </c>
      <c r="AE10">
        <f>COUNTIFS('Coded Passages'!$B:$B,$A10,'Coded Passages'!$E:$E,$B10,'Coded Passages'!$H:$H,AE$2)</f>
        <v>0</v>
      </c>
      <c r="AF10">
        <f>COUNTIFS('Coded Passages'!$B:$B,$A10,'Coded Passages'!$E:$E,$B10,'Coded Passages'!$H:$H,AF$2)</f>
        <v>0</v>
      </c>
      <c r="AG10">
        <f>COUNTIFS('Coded Passages'!$B:$B,$A10,'Coded Passages'!$E:$E,$B10,'Coded Passages'!$H:$H,AG$2)</f>
        <v>0</v>
      </c>
      <c r="AH10">
        <f>COUNTIFS('Coded Passages'!$B:$B,$A10,'Coded Passages'!$E:$E,$B10,'Coded Passages'!$H:$H,AH$2)</f>
        <v>1</v>
      </c>
      <c r="AI10">
        <f>COUNTIFS('Coded Passages'!$B:$B,$A10,'Coded Passages'!$E:$E,$B10,'Coded Passages'!$H:$H,AI$2)</f>
        <v>0</v>
      </c>
      <c r="AJ10">
        <f>COUNTIFS('Coded Passages'!$B:$B,$A10,'Coded Passages'!$E:$E,$B10,'Coded Passages'!$H:$H,AJ$2)</f>
        <v>0</v>
      </c>
      <c r="AK10">
        <f>COUNTIFS('Coded Passages'!$B:$B,$A10,'Coded Passages'!$E:$E,$B10,'Coded Passages'!$H:$H,AK$2)</f>
        <v>0</v>
      </c>
      <c r="AL10">
        <f>COUNTIFS('Coded Passages'!$B:$B,$A10,'Coded Passages'!$E:$E,$B10,'Coded Passages'!$H:$H,AL$2)</f>
        <v>0</v>
      </c>
      <c r="AM10">
        <f>COUNTIFS('Coded Passages'!$B:$B,$A10,'Coded Passages'!$E:$E,$B10,'Coded Passages'!$H:$H,AM$2)</f>
        <v>0</v>
      </c>
      <c r="AN10">
        <f>COUNTIFS('Coded Passages'!$B:$B,$A10,'Coded Passages'!$E:$E,$B10,'Coded Passages'!$H:$H,AN$2)</f>
        <v>0</v>
      </c>
      <c r="AO10">
        <f>COUNTIFS('Coded Passages'!$B:$B,$A10,'Coded Passages'!$E:$E,$B10,'Coded Passages'!$H:$H,AO$2)</f>
        <v>0</v>
      </c>
      <c r="AP10">
        <f>COUNTIFS('Coded Passages'!$B:$B,$A10,'Coded Passages'!$E:$E,$B10,'Coded Passages'!$H:$H,AP$2)</f>
        <v>0</v>
      </c>
      <c r="AQ10">
        <f>COUNTIFS('Coded Passages'!$B:$B,$A10,'Coded Passages'!$E:$E,$B10,'Coded Passages'!$H:$H,AQ$2)</f>
        <v>0</v>
      </c>
      <c r="AR10">
        <f>COUNTIFS('Coded Passages'!$B:$B,$A10,'Coded Passages'!$E:$E,$B10,'Coded Passages'!$H:$H,AR$2)</f>
        <v>0</v>
      </c>
      <c r="AS10">
        <f>COUNTIFS('Coded Passages'!$B:$B,$A10,'Coded Passages'!$E:$E,$B10,'Coded Passages'!$H:$H,AS$2)</f>
        <v>0</v>
      </c>
      <c r="AT10">
        <f>COUNTIFS('Coded Passages'!$B:$B,$A10,'Coded Passages'!$E:$E,$B10,'Coded Passages'!$H:$H,AT$2)</f>
        <v>0</v>
      </c>
      <c r="AU10">
        <f>COUNTIFS('Coded Passages'!$B:$B,$A10,'Coded Passages'!$E:$E,$B10,'Coded Passages'!$H:$H,AU$2)</f>
        <v>0</v>
      </c>
      <c r="AV10">
        <f>COUNTIFS('Coded Passages'!$B:$B,$A10,'Coded Passages'!$E:$E,$B10,'Coded Passages'!$H:$H,AV$2)</f>
        <v>0</v>
      </c>
      <c r="AW10">
        <f>COUNTIFS('Coded Passages'!$B:$B,$A10,'Coded Passages'!$E:$E,$B10,'Coded Passages'!$H:$H,AW$2)</f>
        <v>0</v>
      </c>
      <c r="AX10">
        <f>COUNTIFS('Coded Passages'!$B:$B,$A10,'Coded Passages'!$E:$E,$B10,'Coded Passages'!$H:$H,AX$2)</f>
        <v>2</v>
      </c>
      <c r="AY10">
        <f>COUNTIFS('Coded Passages'!$B:$B,$A10,'Coded Passages'!$E:$E,$B10,'Coded Passages'!$H:$H,AY$2)</f>
        <v>0</v>
      </c>
      <c r="AZ10">
        <f>COUNTIFS('Coded Passages'!$B:$B,$A10,'Coded Passages'!$E:$E,$B10,'Coded Passages'!$H:$H,AZ$2)</f>
        <v>0</v>
      </c>
      <c r="BA10">
        <f>COUNTIFS('Coded Passages'!$B:$B,$A10,'Coded Passages'!$E:$E,$B10,'Coded Passages'!$H:$H,BA$2)</f>
        <v>0</v>
      </c>
      <c r="BB10">
        <f>COUNTIFS('Coded Passages'!$B:$B,$A10,'Coded Passages'!$E:$E,$B10,'Coded Passages'!$H:$H,BB$2)</f>
        <v>0</v>
      </c>
      <c r="BC10">
        <f>COUNTIFS('Coded Passages'!$B:$B,$A10,'Coded Passages'!$E:$E,$B10,'Coded Passages'!$H:$H,BC$2)</f>
        <v>0</v>
      </c>
      <c r="BD10">
        <f>COUNTIFS('Coded Passages'!$B:$B,$A10,'Coded Passages'!$E:$E,$B10,'Coded Passages'!$H:$H,BD$2)</f>
        <v>0</v>
      </c>
      <c r="BE10">
        <f>COUNTIFS('Coded Passages'!$B:$B,$A10,'Coded Passages'!$E:$E,$B10,'Coded Passages'!$H:$H,BE$2)</f>
        <v>0</v>
      </c>
      <c r="BF10">
        <f>COUNTIFS('Coded Passages'!$B:$B,$A10,'Coded Passages'!$E:$E,$B10,'Coded Passages'!$H:$H,BF$2)</f>
        <v>0</v>
      </c>
      <c r="BG10">
        <f>COUNTIFS('Coded Passages'!$B:$B,$A10,'Coded Passages'!$E:$E,$B10,'Coded Passages'!$H:$H,BG$2)</f>
        <v>0</v>
      </c>
      <c r="BH10">
        <f>COUNTIFS('Coded Passages'!$B:$B,$A10,'Coded Passages'!$E:$E,$B10,'Coded Passages'!$H:$H,BH$2)</f>
        <v>0</v>
      </c>
      <c r="BI10">
        <f>COUNTIFS('Coded Passages'!$B:$B,$A10,'Coded Passages'!$E:$E,$B10,'Coded Passages'!$H:$H,BI$2)</f>
        <v>0</v>
      </c>
      <c r="BJ10">
        <f>COUNTIFS('Coded Passages'!$B:$B,$A10,'Coded Passages'!$E:$E,$B10,'Coded Passages'!$H:$H,BJ$2)</f>
        <v>0</v>
      </c>
      <c r="BK10">
        <f>COUNTIFS('Coded Passages'!$B:$B,$A10,'Coded Passages'!$E:$E,$B10,'Coded Passages'!$H:$H,BK$2)</f>
        <v>0</v>
      </c>
      <c r="BL10">
        <f>COUNTIFS('Coded Passages'!$B:$B,$A10,'Coded Passages'!$E:$E,$B10,'Coded Passages'!$H:$H,BL$2)</f>
        <v>1</v>
      </c>
      <c r="BM10">
        <f>COUNTIFS('Coded Passages'!$B:$B,$A10,'Coded Passages'!$E:$E,$B10,'Coded Passages'!$H:$H,BM$2)</f>
        <v>2</v>
      </c>
      <c r="BN10">
        <f>COUNTIFS('Coded Passages'!$B:$B,$A10,'Coded Passages'!$E:$E,$B10,'Coded Passages'!$H:$H,BN$2)</f>
        <v>0</v>
      </c>
      <c r="BO10">
        <f>COUNTIFS('Coded Passages'!$B:$B,$A10,'Coded Passages'!$E:$E,$B10,'Coded Passages'!$H:$H,BO$2)</f>
        <v>0</v>
      </c>
      <c r="BP10">
        <f>COUNTIFS('Coded Passages'!$B:$B,$A10,'Coded Passages'!$E:$E,$B10,'Coded Passages'!$H:$H,BP$2)</f>
        <v>0</v>
      </c>
      <c r="BQ10">
        <f>COUNTIFS('Coded Passages'!$B:$B,$A10,'Coded Passages'!$E:$E,$B10,'Coded Passages'!$H:$H,BQ$2)</f>
        <v>0</v>
      </c>
      <c r="BR10">
        <f>COUNTIFS('Coded Passages'!$B:$B,$A10,'Coded Passages'!$E:$E,$B10,'Coded Passages'!$H:$H,BR$2)</f>
        <v>0</v>
      </c>
      <c r="BS10">
        <f>COUNTIFS('Coded Passages'!$B:$B,$A10,'Coded Passages'!$E:$E,$B10,'Coded Passages'!$H:$H,BS$2)</f>
        <v>0</v>
      </c>
      <c r="BT10">
        <f>COUNTIFS('Coded Passages'!$B:$B,$A10,'Coded Passages'!$E:$E,$B10,'Coded Passages'!$H:$H,BT$2)</f>
        <v>0</v>
      </c>
      <c r="BU10">
        <f>COUNTIFS('Coded Passages'!$B:$B,$A10,'Coded Passages'!$E:$E,$B10,'Coded Passages'!$H:$H,BU$2)</f>
        <v>0</v>
      </c>
      <c r="BV10">
        <f>COUNTIFS('Coded Passages'!$B:$B,$A10,'Coded Passages'!$E:$E,$B10,'Coded Passages'!$H:$H,BV$2)</f>
        <v>0</v>
      </c>
      <c r="BW10">
        <f>COUNTIFS('Coded Passages'!$B:$B,$A10,'Coded Passages'!$E:$E,$B10,'Coded Passages'!$H:$H,BW$2)</f>
        <v>0</v>
      </c>
      <c r="BX10">
        <f>COUNTIFS('Coded Passages'!$B:$B,$A10,'Coded Passages'!$E:$E,$B10,'Coded Passages'!$H:$H,BX$2)</f>
        <v>0</v>
      </c>
      <c r="BY10">
        <f>COUNTIFS('Coded Passages'!$B:$B,$A10,'Coded Passages'!$E:$E,$B10,'Coded Passages'!$H:$H,BY$2)</f>
        <v>1</v>
      </c>
      <c r="BZ10">
        <f>COUNTIFS('Coded Passages'!$B:$B,$A10,'Coded Passages'!$E:$E,$B10,'Coded Passages'!$H:$H,BZ$2)</f>
        <v>0</v>
      </c>
      <c r="CA10">
        <f>COUNTIFS('Coded Passages'!$B:$B,$A10,'Coded Passages'!$E:$E,$B10,'Coded Passages'!$H:$H,CA$2)</f>
        <v>0</v>
      </c>
      <c r="CB10">
        <f>COUNTIFS('Coded Passages'!$B:$B,$A10,'Coded Passages'!$E:$E,$B10,'Coded Passages'!$H:$H,CB$2)</f>
        <v>0</v>
      </c>
      <c r="CC10">
        <f>COUNTIFS('Coded Passages'!$B:$B,$A10,'Coded Passages'!$E:$E,$B10,'Coded Passages'!$H:$H,CC$2)</f>
        <v>0</v>
      </c>
      <c r="CD10">
        <f>COUNTIFS('Coded Passages'!$B:$B,$A10,'Coded Passages'!$E:$E,$B10,'Coded Passages'!$H:$H,CD$2)</f>
        <v>0</v>
      </c>
      <c r="CE10">
        <f>COUNTIFS('Coded Passages'!$B:$B,$A10,'Coded Passages'!$E:$E,$B10,'Coded Passages'!$H:$H,CE$2)</f>
        <v>0</v>
      </c>
      <c r="CF10">
        <f>COUNTIFS('Coded Passages'!$B:$B,$A10,'Coded Passages'!$E:$E,$B10,'Coded Passages'!$H:$H,CF$2)</f>
        <v>0</v>
      </c>
      <c r="CG10">
        <f>COUNTIFS('Coded Passages'!$B:$B,$A10,'Coded Passages'!$E:$E,$B10,'Coded Passages'!$H:$H,CG$2)</f>
        <v>0</v>
      </c>
      <c r="CH10">
        <f>COUNTIFS('Coded Passages'!$B:$B,$A10,'Coded Passages'!$E:$E,$B10,'Coded Passages'!$H:$H,CH$2)</f>
        <v>0</v>
      </c>
      <c r="CI10">
        <f>COUNTIFS('Coded Passages'!$B:$B,$A10,'Coded Passages'!$E:$E,$B10,'Coded Passages'!$H:$H,CI$2)</f>
        <v>0</v>
      </c>
      <c r="CJ10">
        <f>COUNTIFS('Coded Passages'!$B:$B,$A10,'Coded Passages'!$E:$E,$B10,'Coded Passages'!$H:$H,CJ$2)</f>
        <v>0</v>
      </c>
      <c r="CK10">
        <f>COUNTIFS('Coded Passages'!$B:$B,$A10,'Coded Passages'!$E:$E,$B10,'Coded Passages'!$H:$H,CK$2)</f>
        <v>0</v>
      </c>
      <c r="CL10">
        <f>COUNTIFS('Coded Passages'!$B:$B,$A10,'Coded Passages'!$E:$E,$B10,'Coded Passages'!$H:$H,CL$2)</f>
        <v>1</v>
      </c>
      <c r="CM10">
        <f>COUNTIFS('Coded Passages'!$B:$B,$A10,'Coded Passages'!$E:$E,$B10,'Coded Passages'!$H:$H,CM$2)</f>
        <v>0</v>
      </c>
      <c r="CN10">
        <f>COUNTIFS('Coded Passages'!$B:$B,$A10,'Coded Passages'!$E:$E,$B10,'Coded Passages'!$H:$H,CN$2)</f>
        <v>0</v>
      </c>
      <c r="CO10">
        <f>COUNTIFS('Coded Passages'!$B:$B,$A10,'Coded Passages'!$E:$E,$B10,'Coded Passages'!$H:$H,CO$2)</f>
        <v>0</v>
      </c>
      <c r="CP10">
        <f>COUNTIFS('Coded Passages'!$B:$B,$A10,'Coded Passages'!$E:$E,$B10,'Coded Passages'!$H:$H,CP$2)</f>
        <v>0</v>
      </c>
      <c r="CQ10">
        <f>COUNTIFS('Coded Passages'!$B:$B,$A10,'Coded Passages'!$E:$E,$B10,'Coded Passages'!$H:$H,CQ$2)</f>
        <v>0</v>
      </c>
      <c r="CR10">
        <f>COUNTIFS('Coded Passages'!$B:$B,$A10,'Coded Passages'!$E:$E,$B10,'Coded Passages'!$H:$H,CR$2)</f>
        <v>1</v>
      </c>
      <c r="CS10">
        <f>COUNTIFS('Coded Passages'!$B:$B,$A10,'Coded Passages'!$E:$E,$B10,'Coded Passages'!$H:$H,CS$2)</f>
        <v>0</v>
      </c>
      <c r="CT10">
        <f>COUNTIFS('Coded Passages'!$B:$B,$A10,'Coded Passages'!$E:$E,$B10,'Coded Passages'!$H:$H,CT$2)</f>
        <v>0</v>
      </c>
      <c r="CU10">
        <f>COUNTIFS('Coded Passages'!$B:$B,$A10,'Coded Passages'!$E:$E,$B10,'Coded Passages'!$H:$H,CU$2)</f>
        <v>0</v>
      </c>
      <c r="CV10">
        <f>COUNTIFS('Coded Passages'!$B:$B,$A10,'Coded Passages'!$E:$E,$B10,'Coded Passages'!$H:$H,CV$2)</f>
        <v>0</v>
      </c>
      <c r="CW10">
        <f>COUNTIFS('Coded Passages'!$B:$B,$A10,'Coded Passages'!$E:$E,$B10,'Coded Passages'!$H:$H,CW$2)</f>
        <v>0</v>
      </c>
      <c r="CX10">
        <f>COUNTIFS('Coded Passages'!$B:$B,$A10,'Coded Passages'!$E:$E,$B10,'Coded Passages'!$H:$H,CX$2)</f>
        <v>1</v>
      </c>
      <c r="CY10">
        <f>COUNTIFS('Coded Passages'!$B:$B,$A10,'Coded Passages'!$E:$E,$B10,'Coded Passages'!$H:$H,CY$2)</f>
        <v>0</v>
      </c>
      <c r="CZ10">
        <f>COUNTIFS('Coded Passages'!$B:$B,$A10,'Coded Passages'!$E:$E,$B10,'Coded Passages'!$H:$H,CZ$2)</f>
        <v>0</v>
      </c>
      <c r="DA10">
        <f>COUNTIFS('Coded Passages'!$B:$B,$A10,'Coded Passages'!$E:$E,$B10,'Coded Passages'!$H:$H,DA$2)</f>
        <v>0</v>
      </c>
      <c r="DB10">
        <f>COUNTIFS('Coded Passages'!$B:$B,$A10,'Coded Passages'!$E:$E,$B10,'Coded Passages'!$H:$H,DB$2)</f>
        <v>0</v>
      </c>
      <c r="DC10">
        <f>COUNTIFS('Coded Passages'!$B:$B,$A10,'Coded Passages'!$E:$E,$B10,'Coded Passages'!$H:$H,DC$2)</f>
        <v>0</v>
      </c>
      <c r="DD10">
        <f>COUNTIFS('Coded Passages'!$B:$B,$A10,'Coded Passages'!$E:$E,$B10,'Coded Passages'!$H:$H,DD$2)</f>
        <v>0</v>
      </c>
      <c r="DE10">
        <f>COUNTIFS('Coded Passages'!$B:$B,$A10,'Coded Passages'!$E:$E,$B10,'Coded Passages'!$H:$H,DE$2)</f>
        <v>0</v>
      </c>
      <c r="DF10">
        <f>COUNTIFS('Coded Passages'!$B:$B,$A10,'Coded Passages'!$E:$E,$B10,'Coded Passages'!$H:$H,DF$2)</f>
        <v>0</v>
      </c>
      <c r="DG10">
        <f>COUNTIFS('Coded Passages'!$B:$B,$A10,'Coded Passages'!$E:$E,$B10,'Coded Passages'!$H:$H,DG$2)</f>
        <v>1</v>
      </c>
      <c r="DH10">
        <f>COUNTIFS('Coded Passages'!$B:$B,$A10,'Coded Passages'!$E:$E,$B10,'Coded Passages'!$H:$H,DH$2)</f>
        <v>0</v>
      </c>
      <c r="DI10">
        <f>COUNTIFS('Coded Passages'!$B:$B,$A10,'Coded Passages'!$E:$E,$B10,'Coded Passages'!$H:$H,DI$2)</f>
        <v>0</v>
      </c>
      <c r="DJ10">
        <f>COUNTIFS('Coded Passages'!$B:$B,$A10,'Coded Passages'!$E:$E,$B10,'Coded Passages'!$H:$H,DJ$2)</f>
        <v>0</v>
      </c>
      <c r="DK10">
        <f>COUNTIFS('Coded Passages'!$B:$B,$A10,'Coded Passages'!$E:$E,$B10,'Coded Passages'!$H:$H,DK$2)</f>
        <v>0</v>
      </c>
      <c r="DL10">
        <f>COUNTIFS('Coded Passages'!$B:$B,$A10,'Coded Passages'!$E:$E,$B10,'Coded Passages'!$H:$H,DL$2)</f>
        <v>0</v>
      </c>
      <c r="DM10">
        <f>COUNTIFS('Coded Passages'!$B:$B,$A10,'Coded Passages'!$E:$E,$B10,'Coded Passages'!$H:$H,DM$2)</f>
        <v>0</v>
      </c>
      <c r="DN10">
        <f>COUNTIFS('Coded Passages'!$B:$B,$A10,'Coded Passages'!$E:$E,$B10,'Coded Passages'!$H:$H,DN$2)</f>
        <v>0</v>
      </c>
      <c r="DO10">
        <f>COUNTIFS('Coded Passages'!$B:$B,$A10,'Coded Passages'!$E:$E,$B10,'Coded Passages'!$H:$H,DO$2)</f>
        <v>0</v>
      </c>
      <c r="DP10">
        <f>COUNTIFS('Coded Passages'!$B:$B,$A10,'Coded Passages'!$E:$E,$B10,'Coded Passages'!$H:$H,DP$2)</f>
        <v>0</v>
      </c>
      <c r="DQ10">
        <f>COUNTIFS('Coded Passages'!$B:$B,$A10,'Coded Passages'!$E:$E,$B10,'Coded Passages'!$H:$H,DQ$2)</f>
        <v>0</v>
      </c>
      <c r="DR10">
        <f>COUNTIFS('Coded Passages'!$B:$B,$A10,'Coded Passages'!$E:$E,$B10,'Coded Passages'!$H:$H,DR$2)</f>
        <v>0</v>
      </c>
      <c r="DS10">
        <f>COUNTIFS('Coded Passages'!$B:$B,$A10,'Coded Passages'!$E:$E,$B10,'Coded Passages'!$H:$H,DS$2)</f>
        <v>0</v>
      </c>
      <c r="DT10">
        <f>COUNTIFS('Coded Passages'!$B:$B,$A10,'Coded Passages'!$E:$E,$B10,'Coded Passages'!$H:$H,DT$2)</f>
        <v>0</v>
      </c>
      <c r="DU10">
        <f>COUNTIFS('Coded Passages'!$B:$B,$A10,'Coded Passages'!$E:$E,$B10,'Coded Passages'!$H:$H,DU$2)</f>
        <v>1</v>
      </c>
      <c r="DV10">
        <f>COUNTIFS('Coded Passages'!$B:$B,$A10,'Coded Passages'!$E:$E,$B10,'Coded Passages'!$H:$H,DV$2)</f>
        <v>0</v>
      </c>
      <c r="DW10">
        <f>COUNTIFS('Coded Passages'!$B:$B,$A10,'Coded Passages'!$E:$E,$B10,'Coded Passages'!$H:$H,DW$2)</f>
        <v>1</v>
      </c>
      <c r="DX10">
        <f>COUNTIFS('Coded Passages'!$B:$B,$A10,'Coded Passages'!$E:$E,$B10,'Coded Passages'!$H:$H,DX$2)</f>
        <v>0</v>
      </c>
      <c r="DY10">
        <f>COUNTIFS('Coded Passages'!$B:$B,$A10,'Coded Passages'!$E:$E,$B10,'Coded Passages'!$H:$H,DY$2)</f>
        <v>1</v>
      </c>
      <c r="DZ10">
        <f>COUNTIFS('Coded Passages'!$B:$B,$A10,'Coded Passages'!$E:$E,$B10,'Coded Passages'!$H:$H,DZ$2)</f>
        <v>1</v>
      </c>
      <c r="EA10">
        <f>COUNTIFS('Coded Passages'!$B:$B,$A10,'Coded Passages'!$E:$E,$B10,'Coded Passages'!$H:$H,EA$2)</f>
        <v>0</v>
      </c>
      <c r="EB10">
        <f>COUNTIFS('Coded Passages'!$B:$B,$A10,'Coded Passages'!$E:$E,$B10,'Coded Passages'!$H:$H,EB$2)</f>
        <v>0</v>
      </c>
      <c r="EC10">
        <f>COUNTIFS('Coded Passages'!$B:$B,$A10,'Coded Passages'!$E:$E,$B10,'Coded Passages'!$H:$H,EC$2)</f>
        <v>0</v>
      </c>
      <c r="ED10">
        <f>COUNTIFS('Coded Passages'!$B:$B,$A10,'Coded Passages'!$E:$E,$B10,'Coded Passages'!$H:$H,ED$2)</f>
        <v>0</v>
      </c>
      <c r="EE10">
        <f>COUNTIFS('Coded Passages'!$B:$B,$A10,'Coded Passages'!$E:$E,$B10,'Coded Passages'!$H:$H,EE$2)</f>
        <v>0</v>
      </c>
      <c r="EF10">
        <f>COUNTIFS('Coded Passages'!$B:$B,$A10,'Coded Passages'!$E:$E,$B10,'Coded Passages'!$H:$H,EF$2)</f>
        <v>0</v>
      </c>
      <c r="EG10">
        <f>COUNTIFS('Coded Passages'!$B:$B,$A10,'Coded Passages'!$E:$E,$B10,'Coded Passages'!$H:$H,EG$2)</f>
        <v>0</v>
      </c>
      <c r="EH10">
        <f>COUNTIFS('Coded Passages'!$B:$B,$A10,'Coded Passages'!$E:$E,$B10,'Coded Passages'!$H:$H,EH$2)</f>
        <v>0</v>
      </c>
      <c r="EI10">
        <f>COUNTIFS('Coded Passages'!$B:$B,$A10,'Coded Passages'!$E:$E,$B10,'Coded Passages'!$H:$H,EI$2)</f>
        <v>0</v>
      </c>
      <c r="EJ10">
        <f>COUNTIFS('Coded Passages'!$B:$B,$A10,'Coded Passages'!$E:$E,$B10,'Coded Passages'!$H:$H,EJ$2)</f>
        <v>0</v>
      </c>
      <c r="EK10">
        <f>COUNTIFS('Coded Passages'!$B:$B,$A10,'Coded Passages'!$E:$E,$B10,'Coded Passages'!$H:$H,EK$2)</f>
        <v>0</v>
      </c>
      <c r="EL10">
        <f>COUNTIFS('Coded Passages'!$B:$B,$A10,'Coded Passages'!$E:$E,$B10,'Coded Passages'!$H:$H,EL$2)</f>
        <v>0</v>
      </c>
      <c r="EM10">
        <f>COUNTIFS('Coded Passages'!$B:$B,$A10,'Coded Passages'!$E:$E,$B10,'Coded Passages'!$H:$H,EM$2)</f>
        <v>0</v>
      </c>
      <c r="EN10">
        <f>COUNTIFS('Coded Passages'!$B:$B,$A10,'Coded Passages'!$E:$E,$B10,'Coded Passages'!$H:$H,EN$2)</f>
        <v>0</v>
      </c>
      <c r="EO10">
        <f>COUNTIFS('Coded Passages'!$B:$B,$A10,'Coded Passages'!$E:$E,$B10,'Coded Passages'!$H:$H,EO$2)</f>
        <v>0</v>
      </c>
      <c r="EP10">
        <f>COUNTIFS('Coded Passages'!$B:$B,$A10,'Coded Passages'!$E:$E,$B10,'Coded Passages'!$H:$H,EP$2)</f>
        <v>0</v>
      </c>
      <c r="EQ10">
        <f>COUNTIFS('Coded Passages'!$B:$B,$A10,'Coded Passages'!$E:$E,$B10,'Coded Passages'!$H:$H,EQ$2)</f>
        <v>0</v>
      </c>
      <c r="ER10">
        <f>COUNTIFS('Coded Passages'!$B:$B,$A10,'Coded Passages'!$E:$E,$B10,'Coded Passages'!$H:$H,ER$2)</f>
        <v>0</v>
      </c>
      <c r="ES10">
        <f>COUNTIFS('Coded Passages'!$B:$B,$A10,'Coded Passages'!$E:$E,$B10,'Coded Passages'!$H:$H,ES$2)</f>
        <v>0</v>
      </c>
      <c r="ET10">
        <f>COUNTIFS('Coded Passages'!$B:$B,$A10,'Coded Passages'!$E:$E,$B10,'Coded Passages'!$H:$H,ET$2)</f>
        <v>0</v>
      </c>
      <c r="EU10">
        <f>COUNTIFS('Coded Passages'!$B:$B,$A10,'Coded Passages'!$E:$E,$B10,'Coded Passages'!$H:$H,EU$2)</f>
        <v>0</v>
      </c>
      <c r="EV10">
        <f>COUNTIFS('Coded Passages'!$B:$B,$A10,'Coded Passages'!$E:$E,$B10,'Coded Passages'!$H:$H,EV$2)</f>
        <v>0</v>
      </c>
      <c r="EW10">
        <f>COUNTIFS('Coded Passages'!$B:$B,$A10,'Coded Passages'!$E:$E,$B10,'Coded Passages'!$H:$H,EW$2)</f>
        <v>1</v>
      </c>
      <c r="EX10">
        <f>COUNTIFS('Coded Passages'!$B:$B,$A10,'Coded Passages'!$E:$E,$B10,'Coded Passages'!$H:$H,EX$2)</f>
        <v>0</v>
      </c>
      <c r="EY10">
        <f>COUNTIFS('Coded Passages'!$B:$B,$A10,'Coded Passages'!$E:$E,$B10,'Coded Passages'!$H:$H,EY$2)</f>
        <v>1</v>
      </c>
      <c r="EZ10">
        <f>COUNTIFS('Coded Passages'!$B:$B,$A10,'Coded Passages'!$E:$E,$B10,'Coded Passages'!$H:$H,EZ$2)</f>
        <v>0</v>
      </c>
      <c r="FA10">
        <f>COUNTIFS('Coded Passages'!$B:$B,$A10,'Coded Passages'!$E:$E,$B10,'Coded Passages'!$H:$H,FA$2)</f>
        <v>0</v>
      </c>
      <c r="FB10">
        <f>COUNTIFS('Coded Passages'!$B:$B,$A10,'Coded Passages'!$E:$E,$B10,'Coded Passages'!$H:$H,FB$2)</f>
        <v>4</v>
      </c>
      <c r="FC10">
        <f>COUNTIFS('Coded Passages'!$B:$B,$A10,'Coded Passages'!$E:$E,$B10,'Coded Passages'!$H:$H,FC$2)</f>
        <v>0</v>
      </c>
      <c r="FD10">
        <f>COUNTIFS('Coded Passages'!$B:$B,$A10,'Coded Passages'!$E:$E,$B10,'Coded Passages'!$H:$H,FD$2)</f>
        <v>0</v>
      </c>
      <c r="FE10">
        <f>COUNTIFS('Coded Passages'!$B:$B,$A10,'Coded Passages'!$E:$E,$B10,'Coded Passages'!$H:$H,FE$2)</f>
        <v>0</v>
      </c>
      <c r="FF10">
        <f>COUNTIFS('Coded Passages'!$B:$B,$A10,'Coded Passages'!$E:$E,$B10,'Coded Passages'!$H:$H,FF$2)</f>
        <v>1</v>
      </c>
      <c r="FG10">
        <f>COUNTIFS('Coded Passages'!$B:$B,$A10,'Coded Passages'!$E:$E,$B10,'Coded Passages'!$H:$H,FG$2)</f>
        <v>0</v>
      </c>
      <c r="FH10">
        <f>COUNTIFS('Coded Passages'!$B:$B,$A10,'Coded Passages'!$E:$E,$B10,'Coded Passages'!$H:$H,FH$2)</f>
        <v>0</v>
      </c>
      <c r="FI10">
        <f>COUNTIFS('Coded Passages'!$B:$B,$A10,'Coded Passages'!$E:$E,$B10,'Coded Passages'!$H:$H,FI$2)</f>
        <v>0</v>
      </c>
      <c r="FJ10">
        <f>COUNTIFS('Coded Passages'!$B:$B,$A10,'Coded Passages'!$E:$E,$B10,'Coded Passages'!$H:$H,FJ$2)</f>
        <v>0</v>
      </c>
      <c r="FK10">
        <f>COUNTIFS('Coded Passages'!$B:$B,$A10,'Coded Passages'!$E:$E,$B10,'Coded Passages'!$H:$H,FK$2)</f>
        <v>0</v>
      </c>
      <c r="FL10">
        <f>COUNTIFS('Coded Passages'!$B:$B,$A10,'Coded Passages'!$E:$E,$B10,'Coded Passages'!$H:$H,FL$2)</f>
        <v>1</v>
      </c>
      <c r="FM10">
        <f>COUNTIFS('Coded Passages'!$B:$B,$A10,'Coded Passages'!$E:$E,$B10,'Coded Passages'!$H:$H,FM$2)</f>
        <v>0</v>
      </c>
      <c r="FN10">
        <f>COUNTIFS('Coded Passages'!$B:$B,$A10,'Coded Passages'!$E:$E,$B10,'Coded Passages'!$H:$H,FN$2)</f>
        <v>0</v>
      </c>
      <c r="FO10">
        <f>COUNTIFS('Coded Passages'!$B:$B,$A10,'Coded Passages'!$E:$E,$B10,'Coded Passages'!$H:$H,FO$2)</f>
        <v>0</v>
      </c>
      <c r="FP10">
        <f t="shared" si="0"/>
        <v>27</v>
      </c>
    </row>
    <row r="11" spans="1:172" x14ac:dyDescent="0.45">
      <c r="A11" s="9" t="s">
        <v>25</v>
      </c>
      <c r="B11" s="16" t="s">
        <v>26</v>
      </c>
      <c r="C11">
        <f>COUNTIFS('Coded Passages'!$B:$B,$A11,'Coded Passages'!$E:$E,$B11,'Coded Passages'!$H:$H,C$2)</f>
        <v>1</v>
      </c>
      <c r="D11">
        <f>COUNTIFS('Coded Passages'!$B:$B,$A11,'Coded Passages'!$E:$E,$B11,'Coded Passages'!$H:$H,D$2)</f>
        <v>0</v>
      </c>
      <c r="E11">
        <f>COUNTIFS('Coded Passages'!$B:$B,$A11,'Coded Passages'!$E:$E,$B11,'Coded Passages'!$H:$H,E$2)</f>
        <v>0</v>
      </c>
      <c r="F11">
        <f>COUNTIFS('Coded Passages'!$B:$B,$A11,'Coded Passages'!$E:$E,$B11,'Coded Passages'!$H:$H,F$2)</f>
        <v>0</v>
      </c>
      <c r="G11">
        <f>COUNTIFS('Coded Passages'!$B:$B,$A11,'Coded Passages'!$E:$E,$B11,'Coded Passages'!$H:$H,G$2)</f>
        <v>0</v>
      </c>
      <c r="H11">
        <f>COUNTIFS('Coded Passages'!$B:$B,$A11,'Coded Passages'!$E:$E,$B11,'Coded Passages'!$H:$H,H$2)</f>
        <v>0</v>
      </c>
      <c r="I11">
        <f>COUNTIFS('Coded Passages'!$B:$B,$A11,'Coded Passages'!$E:$E,$B11,'Coded Passages'!$H:$H,I$2)</f>
        <v>0</v>
      </c>
      <c r="J11">
        <f>COUNTIFS('Coded Passages'!$B:$B,$A11,'Coded Passages'!$E:$E,$B11,'Coded Passages'!$H:$H,J$2)</f>
        <v>0</v>
      </c>
      <c r="K11">
        <f>COUNTIFS('Coded Passages'!$B:$B,$A11,'Coded Passages'!$E:$E,$B11,'Coded Passages'!$H:$H,K$2)</f>
        <v>0</v>
      </c>
      <c r="L11">
        <f>COUNTIFS('Coded Passages'!$B:$B,$A11,'Coded Passages'!$E:$E,$B11,'Coded Passages'!$H:$H,L$2)</f>
        <v>0</v>
      </c>
      <c r="M11">
        <f>COUNTIFS('Coded Passages'!$B:$B,$A11,'Coded Passages'!$E:$E,$B11,'Coded Passages'!$H:$H,M$2)</f>
        <v>0</v>
      </c>
      <c r="N11">
        <f>COUNTIFS('Coded Passages'!$B:$B,$A11,'Coded Passages'!$E:$E,$B11,'Coded Passages'!$H:$H,N$2)</f>
        <v>0</v>
      </c>
      <c r="O11">
        <f>COUNTIFS('Coded Passages'!$B:$B,$A11,'Coded Passages'!$E:$E,$B11,'Coded Passages'!$H:$H,O$2)</f>
        <v>0</v>
      </c>
      <c r="P11">
        <f>COUNTIFS('Coded Passages'!$B:$B,$A11,'Coded Passages'!$E:$E,$B11,'Coded Passages'!$H:$H,P$2)</f>
        <v>0</v>
      </c>
      <c r="Q11">
        <f>COUNTIFS('Coded Passages'!$B:$B,$A11,'Coded Passages'!$E:$E,$B11,'Coded Passages'!$H:$H,Q$2)</f>
        <v>0</v>
      </c>
      <c r="R11">
        <f>COUNTIFS('Coded Passages'!$B:$B,$A11,'Coded Passages'!$E:$E,$B11,'Coded Passages'!$H:$H,R$2)</f>
        <v>0</v>
      </c>
      <c r="S11">
        <f>COUNTIFS('Coded Passages'!$B:$B,$A11,'Coded Passages'!$E:$E,$B11,'Coded Passages'!$H:$H,S$2)</f>
        <v>1</v>
      </c>
      <c r="T11">
        <f>COUNTIFS('Coded Passages'!$B:$B,$A11,'Coded Passages'!$E:$E,$B11,'Coded Passages'!$H:$H,T$2)</f>
        <v>0</v>
      </c>
      <c r="U11">
        <f>COUNTIFS('Coded Passages'!$B:$B,$A11,'Coded Passages'!$E:$E,$B11,'Coded Passages'!$H:$H,U$2)</f>
        <v>0</v>
      </c>
      <c r="V11">
        <f>COUNTIFS('Coded Passages'!$B:$B,$A11,'Coded Passages'!$E:$E,$B11,'Coded Passages'!$H:$H,V$2)</f>
        <v>0</v>
      </c>
      <c r="W11">
        <f>COUNTIFS('Coded Passages'!$B:$B,$A11,'Coded Passages'!$E:$E,$B11,'Coded Passages'!$H:$H,W$2)</f>
        <v>1</v>
      </c>
      <c r="X11">
        <f>COUNTIFS('Coded Passages'!$B:$B,$A11,'Coded Passages'!$E:$E,$B11,'Coded Passages'!$H:$H,X$2)</f>
        <v>0</v>
      </c>
      <c r="Y11">
        <f>COUNTIFS('Coded Passages'!$B:$B,$A11,'Coded Passages'!$E:$E,$B11,'Coded Passages'!$H:$H,Y$2)</f>
        <v>0</v>
      </c>
      <c r="Z11">
        <f>COUNTIFS('Coded Passages'!$B:$B,$A11,'Coded Passages'!$E:$E,$B11,'Coded Passages'!$H:$H,Z$2)</f>
        <v>0</v>
      </c>
      <c r="AA11">
        <f>COUNTIFS('Coded Passages'!$B:$B,$A11,'Coded Passages'!$E:$E,$B11,'Coded Passages'!$H:$H,AA$2)</f>
        <v>0</v>
      </c>
      <c r="AB11">
        <f>COUNTIFS('Coded Passages'!$B:$B,$A11,'Coded Passages'!$E:$E,$B11,'Coded Passages'!$H:$H,AB$2)</f>
        <v>0</v>
      </c>
      <c r="AC11">
        <f>COUNTIFS('Coded Passages'!$B:$B,$A11,'Coded Passages'!$E:$E,$B11,'Coded Passages'!$H:$H,AC$2)</f>
        <v>0</v>
      </c>
      <c r="AD11">
        <f>COUNTIFS('Coded Passages'!$B:$B,$A11,'Coded Passages'!$E:$E,$B11,'Coded Passages'!$H:$H,AD$2)</f>
        <v>0</v>
      </c>
      <c r="AE11">
        <f>COUNTIFS('Coded Passages'!$B:$B,$A11,'Coded Passages'!$E:$E,$B11,'Coded Passages'!$H:$H,AE$2)</f>
        <v>0</v>
      </c>
      <c r="AF11">
        <f>COUNTIFS('Coded Passages'!$B:$B,$A11,'Coded Passages'!$E:$E,$B11,'Coded Passages'!$H:$H,AF$2)</f>
        <v>0</v>
      </c>
      <c r="AG11">
        <f>COUNTIFS('Coded Passages'!$B:$B,$A11,'Coded Passages'!$E:$E,$B11,'Coded Passages'!$H:$H,AG$2)</f>
        <v>0</v>
      </c>
      <c r="AH11">
        <f>COUNTIFS('Coded Passages'!$B:$B,$A11,'Coded Passages'!$E:$E,$B11,'Coded Passages'!$H:$H,AH$2)</f>
        <v>0</v>
      </c>
      <c r="AI11">
        <f>COUNTIFS('Coded Passages'!$B:$B,$A11,'Coded Passages'!$E:$E,$B11,'Coded Passages'!$H:$H,AI$2)</f>
        <v>1</v>
      </c>
      <c r="AJ11">
        <f>COUNTIFS('Coded Passages'!$B:$B,$A11,'Coded Passages'!$E:$E,$B11,'Coded Passages'!$H:$H,AJ$2)</f>
        <v>0</v>
      </c>
      <c r="AK11">
        <f>COUNTIFS('Coded Passages'!$B:$B,$A11,'Coded Passages'!$E:$E,$B11,'Coded Passages'!$H:$H,AK$2)</f>
        <v>0</v>
      </c>
      <c r="AL11">
        <f>COUNTIFS('Coded Passages'!$B:$B,$A11,'Coded Passages'!$E:$E,$B11,'Coded Passages'!$H:$H,AL$2)</f>
        <v>2</v>
      </c>
      <c r="AM11">
        <f>COUNTIFS('Coded Passages'!$B:$B,$A11,'Coded Passages'!$E:$E,$B11,'Coded Passages'!$H:$H,AM$2)</f>
        <v>0</v>
      </c>
      <c r="AN11">
        <f>COUNTIFS('Coded Passages'!$B:$B,$A11,'Coded Passages'!$E:$E,$B11,'Coded Passages'!$H:$H,AN$2)</f>
        <v>0</v>
      </c>
      <c r="AO11">
        <f>COUNTIFS('Coded Passages'!$B:$B,$A11,'Coded Passages'!$E:$E,$B11,'Coded Passages'!$H:$H,AO$2)</f>
        <v>0</v>
      </c>
      <c r="AP11">
        <f>COUNTIFS('Coded Passages'!$B:$B,$A11,'Coded Passages'!$E:$E,$B11,'Coded Passages'!$H:$H,AP$2)</f>
        <v>0</v>
      </c>
      <c r="AQ11">
        <f>COUNTIFS('Coded Passages'!$B:$B,$A11,'Coded Passages'!$E:$E,$B11,'Coded Passages'!$H:$H,AQ$2)</f>
        <v>0</v>
      </c>
      <c r="AR11">
        <f>COUNTIFS('Coded Passages'!$B:$B,$A11,'Coded Passages'!$E:$E,$B11,'Coded Passages'!$H:$H,AR$2)</f>
        <v>0</v>
      </c>
      <c r="AS11">
        <f>COUNTIFS('Coded Passages'!$B:$B,$A11,'Coded Passages'!$E:$E,$B11,'Coded Passages'!$H:$H,AS$2)</f>
        <v>0</v>
      </c>
      <c r="AT11">
        <f>COUNTIFS('Coded Passages'!$B:$B,$A11,'Coded Passages'!$E:$E,$B11,'Coded Passages'!$H:$H,AT$2)</f>
        <v>1</v>
      </c>
      <c r="AU11">
        <f>COUNTIFS('Coded Passages'!$B:$B,$A11,'Coded Passages'!$E:$E,$B11,'Coded Passages'!$H:$H,AU$2)</f>
        <v>0</v>
      </c>
      <c r="AV11">
        <f>COUNTIFS('Coded Passages'!$B:$B,$A11,'Coded Passages'!$E:$E,$B11,'Coded Passages'!$H:$H,AV$2)</f>
        <v>0</v>
      </c>
      <c r="AW11">
        <f>COUNTIFS('Coded Passages'!$B:$B,$A11,'Coded Passages'!$E:$E,$B11,'Coded Passages'!$H:$H,AW$2)</f>
        <v>0</v>
      </c>
      <c r="AX11">
        <f>COUNTIFS('Coded Passages'!$B:$B,$A11,'Coded Passages'!$E:$E,$B11,'Coded Passages'!$H:$H,AX$2)</f>
        <v>3</v>
      </c>
      <c r="AY11">
        <f>COUNTIFS('Coded Passages'!$B:$B,$A11,'Coded Passages'!$E:$E,$B11,'Coded Passages'!$H:$H,AY$2)</f>
        <v>0</v>
      </c>
      <c r="AZ11">
        <f>COUNTIFS('Coded Passages'!$B:$B,$A11,'Coded Passages'!$E:$E,$B11,'Coded Passages'!$H:$H,AZ$2)</f>
        <v>0</v>
      </c>
      <c r="BA11">
        <f>COUNTIFS('Coded Passages'!$B:$B,$A11,'Coded Passages'!$E:$E,$B11,'Coded Passages'!$H:$H,BA$2)</f>
        <v>0</v>
      </c>
      <c r="BB11">
        <f>COUNTIFS('Coded Passages'!$B:$B,$A11,'Coded Passages'!$E:$E,$B11,'Coded Passages'!$H:$H,BB$2)</f>
        <v>0</v>
      </c>
      <c r="BC11">
        <f>COUNTIFS('Coded Passages'!$B:$B,$A11,'Coded Passages'!$E:$E,$B11,'Coded Passages'!$H:$H,BC$2)</f>
        <v>2</v>
      </c>
      <c r="BD11">
        <f>COUNTIFS('Coded Passages'!$B:$B,$A11,'Coded Passages'!$E:$E,$B11,'Coded Passages'!$H:$H,BD$2)</f>
        <v>0</v>
      </c>
      <c r="BE11">
        <f>COUNTIFS('Coded Passages'!$B:$B,$A11,'Coded Passages'!$E:$E,$B11,'Coded Passages'!$H:$H,BE$2)</f>
        <v>0</v>
      </c>
      <c r="BF11">
        <f>COUNTIFS('Coded Passages'!$B:$B,$A11,'Coded Passages'!$E:$E,$B11,'Coded Passages'!$H:$H,BF$2)</f>
        <v>0</v>
      </c>
      <c r="BG11">
        <f>COUNTIFS('Coded Passages'!$B:$B,$A11,'Coded Passages'!$E:$E,$B11,'Coded Passages'!$H:$H,BG$2)</f>
        <v>0</v>
      </c>
      <c r="BH11">
        <f>COUNTIFS('Coded Passages'!$B:$B,$A11,'Coded Passages'!$E:$E,$B11,'Coded Passages'!$H:$H,BH$2)</f>
        <v>0</v>
      </c>
      <c r="BI11">
        <f>COUNTIFS('Coded Passages'!$B:$B,$A11,'Coded Passages'!$E:$E,$B11,'Coded Passages'!$H:$H,BI$2)</f>
        <v>0</v>
      </c>
      <c r="BJ11">
        <f>COUNTIFS('Coded Passages'!$B:$B,$A11,'Coded Passages'!$E:$E,$B11,'Coded Passages'!$H:$H,BJ$2)</f>
        <v>0</v>
      </c>
      <c r="BK11">
        <f>COUNTIFS('Coded Passages'!$B:$B,$A11,'Coded Passages'!$E:$E,$B11,'Coded Passages'!$H:$H,BK$2)</f>
        <v>0</v>
      </c>
      <c r="BL11">
        <f>COUNTIFS('Coded Passages'!$B:$B,$A11,'Coded Passages'!$E:$E,$B11,'Coded Passages'!$H:$H,BL$2)</f>
        <v>0</v>
      </c>
      <c r="BM11">
        <f>COUNTIFS('Coded Passages'!$B:$B,$A11,'Coded Passages'!$E:$E,$B11,'Coded Passages'!$H:$H,BM$2)</f>
        <v>0</v>
      </c>
      <c r="BN11">
        <f>COUNTIFS('Coded Passages'!$B:$B,$A11,'Coded Passages'!$E:$E,$B11,'Coded Passages'!$H:$H,BN$2)</f>
        <v>1</v>
      </c>
      <c r="BO11">
        <f>COUNTIFS('Coded Passages'!$B:$B,$A11,'Coded Passages'!$E:$E,$B11,'Coded Passages'!$H:$H,BO$2)</f>
        <v>0</v>
      </c>
      <c r="BP11">
        <f>COUNTIFS('Coded Passages'!$B:$B,$A11,'Coded Passages'!$E:$E,$B11,'Coded Passages'!$H:$H,BP$2)</f>
        <v>0</v>
      </c>
      <c r="BQ11">
        <f>COUNTIFS('Coded Passages'!$B:$B,$A11,'Coded Passages'!$E:$E,$B11,'Coded Passages'!$H:$H,BQ$2)</f>
        <v>0</v>
      </c>
      <c r="BR11">
        <f>COUNTIFS('Coded Passages'!$B:$B,$A11,'Coded Passages'!$E:$E,$B11,'Coded Passages'!$H:$H,BR$2)</f>
        <v>0</v>
      </c>
      <c r="BS11">
        <f>COUNTIFS('Coded Passages'!$B:$B,$A11,'Coded Passages'!$E:$E,$B11,'Coded Passages'!$H:$H,BS$2)</f>
        <v>0</v>
      </c>
      <c r="BT11">
        <f>COUNTIFS('Coded Passages'!$B:$B,$A11,'Coded Passages'!$E:$E,$B11,'Coded Passages'!$H:$H,BT$2)</f>
        <v>0</v>
      </c>
      <c r="BU11">
        <f>COUNTIFS('Coded Passages'!$B:$B,$A11,'Coded Passages'!$E:$E,$B11,'Coded Passages'!$H:$H,BU$2)</f>
        <v>0</v>
      </c>
      <c r="BV11">
        <f>COUNTIFS('Coded Passages'!$B:$B,$A11,'Coded Passages'!$E:$E,$B11,'Coded Passages'!$H:$H,BV$2)</f>
        <v>0</v>
      </c>
      <c r="BW11">
        <f>COUNTIFS('Coded Passages'!$B:$B,$A11,'Coded Passages'!$E:$E,$B11,'Coded Passages'!$H:$H,BW$2)</f>
        <v>0</v>
      </c>
      <c r="BX11">
        <f>COUNTIFS('Coded Passages'!$B:$B,$A11,'Coded Passages'!$E:$E,$B11,'Coded Passages'!$H:$H,BX$2)</f>
        <v>0</v>
      </c>
      <c r="BY11">
        <f>COUNTIFS('Coded Passages'!$B:$B,$A11,'Coded Passages'!$E:$E,$B11,'Coded Passages'!$H:$H,BY$2)</f>
        <v>0</v>
      </c>
      <c r="BZ11">
        <f>COUNTIFS('Coded Passages'!$B:$B,$A11,'Coded Passages'!$E:$E,$B11,'Coded Passages'!$H:$H,BZ$2)</f>
        <v>0</v>
      </c>
      <c r="CA11">
        <f>COUNTIFS('Coded Passages'!$B:$B,$A11,'Coded Passages'!$E:$E,$B11,'Coded Passages'!$H:$H,CA$2)</f>
        <v>0</v>
      </c>
      <c r="CB11">
        <f>COUNTIFS('Coded Passages'!$B:$B,$A11,'Coded Passages'!$E:$E,$B11,'Coded Passages'!$H:$H,CB$2)</f>
        <v>0</v>
      </c>
      <c r="CC11">
        <f>COUNTIFS('Coded Passages'!$B:$B,$A11,'Coded Passages'!$E:$E,$B11,'Coded Passages'!$H:$H,CC$2)</f>
        <v>0</v>
      </c>
      <c r="CD11">
        <f>COUNTIFS('Coded Passages'!$B:$B,$A11,'Coded Passages'!$E:$E,$B11,'Coded Passages'!$H:$H,CD$2)</f>
        <v>0</v>
      </c>
      <c r="CE11">
        <f>COUNTIFS('Coded Passages'!$B:$B,$A11,'Coded Passages'!$E:$E,$B11,'Coded Passages'!$H:$H,CE$2)</f>
        <v>1</v>
      </c>
      <c r="CF11">
        <f>COUNTIFS('Coded Passages'!$B:$B,$A11,'Coded Passages'!$E:$E,$B11,'Coded Passages'!$H:$H,CF$2)</f>
        <v>0</v>
      </c>
      <c r="CG11">
        <f>COUNTIFS('Coded Passages'!$B:$B,$A11,'Coded Passages'!$E:$E,$B11,'Coded Passages'!$H:$H,CG$2)</f>
        <v>0</v>
      </c>
      <c r="CH11">
        <f>COUNTIFS('Coded Passages'!$B:$B,$A11,'Coded Passages'!$E:$E,$B11,'Coded Passages'!$H:$H,CH$2)</f>
        <v>0</v>
      </c>
      <c r="CI11">
        <f>COUNTIFS('Coded Passages'!$B:$B,$A11,'Coded Passages'!$E:$E,$B11,'Coded Passages'!$H:$H,CI$2)</f>
        <v>1</v>
      </c>
      <c r="CJ11">
        <f>COUNTIFS('Coded Passages'!$B:$B,$A11,'Coded Passages'!$E:$E,$B11,'Coded Passages'!$H:$H,CJ$2)</f>
        <v>0</v>
      </c>
      <c r="CK11">
        <f>COUNTIFS('Coded Passages'!$B:$B,$A11,'Coded Passages'!$E:$E,$B11,'Coded Passages'!$H:$H,CK$2)</f>
        <v>0</v>
      </c>
      <c r="CL11">
        <f>COUNTIFS('Coded Passages'!$B:$B,$A11,'Coded Passages'!$E:$E,$B11,'Coded Passages'!$H:$H,CL$2)</f>
        <v>0</v>
      </c>
      <c r="CM11">
        <f>COUNTIFS('Coded Passages'!$B:$B,$A11,'Coded Passages'!$E:$E,$B11,'Coded Passages'!$H:$H,CM$2)</f>
        <v>0</v>
      </c>
      <c r="CN11">
        <f>COUNTIFS('Coded Passages'!$B:$B,$A11,'Coded Passages'!$E:$E,$B11,'Coded Passages'!$H:$H,CN$2)</f>
        <v>0</v>
      </c>
      <c r="CO11">
        <f>COUNTIFS('Coded Passages'!$B:$B,$A11,'Coded Passages'!$E:$E,$B11,'Coded Passages'!$H:$H,CO$2)</f>
        <v>0</v>
      </c>
      <c r="CP11">
        <f>COUNTIFS('Coded Passages'!$B:$B,$A11,'Coded Passages'!$E:$E,$B11,'Coded Passages'!$H:$H,CP$2)</f>
        <v>0</v>
      </c>
      <c r="CQ11">
        <f>COUNTIFS('Coded Passages'!$B:$B,$A11,'Coded Passages'!$E:$E,$B11,'Coded Passages'!$H:$H,CQ$2)</f>
        <v>0</v>
      </c>
      <c r="CR11">
        <f>COUNTIFS('Coded Passages'!$B:$B,$A11,'Coded Passages'!$E:$E,$B11,'Coded Passages'!$H:$H,CR$2)</f>
        <v>0</v>
      </c>
      <c r="CS11">
        <f>COUNTIFS('Coded Passages'!$B:$B,$A11,'Coded Passages'!$E:$E,$B11,'Coded Passages'!$H:$H,CS$2)</f>
        <v>0</v>
      </c>
      <c r="CT11">
        <f>COUNTIFS('Coded Passages'!$B:$B,$A11,'Coded Passages'!$E:$E,$B11,'Coded Passages'!$H:$H,CT$2)</f>
        <v>0</v>
      </c>
      <c r="CU11">
        <f>COUNTIFS('Coded Passages'!$B:$B,$A11,'Coded Passages'!$E:$E,$B11,'Coded Passages'!$H:$H,CU$2)</f>
        <v>0</v>
      </c>
      <c r="CV11">
        <f>COUNTIFS('Coded Passages'!$B:$B,$A11,'Coded Passages'!$E:$E,$B11,'Coded Passages'!$H:$H,CV$2)</f>
        <v>0</v>
      </c>
      <c r="CW11">
        <f>COUNTIFS('Coded Passages'!$B:$B,$A11,'Coded Passages'!$E:$E,$B11,'Coded Passages'!$H:$H,CW$2)</f>
        <v>0</v>
      </c>
      <c r="CX11">
        <f>COUNTIFS('Coded Passages'!$B:$B,$A11,'Coded Passages'!$E:$E,$B11,'Coded Passages'!$H:$H,CX$2)</f>
        <v>0</v>
      </c>
      <c r="CY11">
        <f>COUNTIFS('Coded Passages'!$B:$B,$A11,'Coded Passages'!$E:$E,$B11,'Coded Passages'!$H:$H,CY$2)</f>
        <v>0</v>
      </c>
      <c r="CZ11">
        <f>COUNTIFS('Coded Passages'!$B:$B,$A11,'Coded Passages'!$E:$E,$B11,'Coded Passages'!$H:$H,CZ$2)</f>
        <v>0</v>
      </c>
      <c r="DA11">
        <f>COUNTIFS('Coded Passages'!$B:$B,$A11,'Coded Passages'!$E:$E,$B11,'Coded Passages'!$H:$H,DA$2)</f>
        <v>0</v>
      </c>
      <c r="DB11">
        <f>COUNTIFS('Coded Passages'!$B:$B,$A11,'Coded Passages'!$E:$E,$B11,'Coded Passages'!$H:$H,DB$2)</f>
        <v>0</v>
      </c>
      <c r="DC11">
        <f>COUNTIFS('Coded Passages'!$B:$B,$A11,'Coded Passages'!$E:$E,$B11,'Coded Passages'!$H:$H,DC$2)</f>
        <v>0</v>
      </c>
      <c r="DD11">
        <f>COUNTIFS('Coded Passages'!$B:$B,$A11,'Coded Passages'!$E:$E,$B11,'Coded Passages'!$H:$H,DD$2)</f>
        <v>0</v>
      </c>
      <c r="DE11">
        <f>COUNTIFS('Coded Passages'!$B:$B,$A11,'Coded Passages'!$E:$E,$B11,'Coded Passages'!$H:$H,DE$2)</f>
        <v>0</v>
      </c>
      <c r="DF11">
        <f>COUNTIFS('Coded Passages'!$B:$B,$A11,'Coded Passages'!$E:$E,$B11,'Coded Passages'!$H:$H,DF$2)</f>
        <v>0</v>
      </c>
      <c r="DG11">
        <f>COUNTIFS('Coded Passages'!$B:$B,$A11,'Coded Passages'!$E:$E,$B11,'Coded Passages'!$H:$H,DG$2)</f>
        <v>0</v>
      </c>
      <c r="DH11">
        <f>COUNTIFS('Coded Passages'!$B:$B,$A11,'Coded Passages'!$E:$E,$B11,'Coded Passages'!$H:$H,DH$2)</f>
        <v>0</v>
      </c>
      <c r="DI11">
        <f>COUNTIFS('Coded Passages'!$B:$B,$A11,'Coded Passages'!$E:$E,$B11,'Coded Passages'!$H:$H,DI$2)</f>
        <v>0</v>
      </c>
      <c r="DJ11">
        <f>COUNTIFS('Coded Passages'!$B:$B,$A11,'Coded Passages'!$E:$E,$B11,'Coded Passages'!$H:$H,DJ$2)</f>
        <v>1</v>
      </c>
      <c r="DK11">
        <f>COUNTIFS('Coded Passages'!$B:$B,$A11,'Coded Passages'!$E:$E,$B11,'Coded Passages'!$H:$H,DK$2)</f>
        <v>1</v>
      </c>
      <c r="DL11">
        <f>COUNTIFS('Coded Passages'!$B:$B,$A11,'Coded Passages'!$E:$E,$B11,'Coded Passages'!$H:$H,DL$2)</f>
        <v>0</v>
      </c>
      <c r="DM11">
        <f>COUNTIFS('Coded Passages'!$B:$B,$A11,'Coded Passages'!$E:$E,$B11,'Coded Passages'!$H:$H,DM$2)</f>
        <v>0</v>
      </c>
      <c r="DN11">
        <f>COUNTIFS('Coded Passages'!$B:$B,$A11,'Coded Passages'!$E:$E,$B11,'Coded Passages'!$H:$H,DN$2)</f>
        <v>0</v>
      </c>
      <c r="DO11">
        <f>COUNTIFS('Coded Passages'!$B:$B,$A11,'Coded Passages'!$E:$E,$B11,'Coded Passages'!$H:$H,DO$2)</f>
        <v>0</v>
      </c>
      <c r="DP11">
        <f>COUNTIFS('Coded Passages'!$B:$B,$A11,'Coded Passages'!$E:$E,$B11,'Coded Passages'!$H:$H,DP$2)</f>
        <v>0</v>
      </c>
      <c r="DQ11">
        <f>COUNTIFS('Coded Passages'!$B:$B,$A11,'Coded Passages'!$E:$E,$B11,'Coded Passages'!$H:$H,DQ$2)</f>
        <v>0</v>
      </c>
      <c r="DR11">
        <f>COUNTIFS('Coded Passages'!$B:$B,$A11,'Coded Passages'!$E:$E,$B11,'Coded Passages'!$H:$H,DR$2)</f>
        <v>0</v>
      </c>
      <c r="DS11">
        <f>COUNTIFS('Coded Passages'!$B:$B,$A11,'Coded Passages'!$E:$E,$B11,'Coded Passages'!$H:$H,DS$2)</f>
        <v>0</v>
      </c>
      <c r="DT11">
        <f>COUNTIFS('Coded Passages'!$B:$B,$A11,'Coded Passages'!$E:$E,$B11,'Coded Passages'!$H:$H,DT$2)</f>
        <v>0</v>
      </c>
      <c r="DU11">
        <f>COUNTIFS('Coded Passages'!$B:$B,$A11,'Coded Passages'!$E:$E,$B11,'Coded Passages'!$H:$H,DU$2)</f>
        <v>0</v>
      </c>
      <c r="DV11">
        <f>COUNTIFS('Coded Passages'!$B:$B,$A11,'Coded Passages'!$E:$E,$B11,'Coded Passages'!$H:$H,DV$2)</f>
        <v>0</v>
      </c>
      <c r="DW11">
        <f>COUNTIFS('Coded Passages'!$B:$B,$A11,'Coded Passages'!$E:$E,$B11,'Coded Passages'!$H:$H,DW$2)</f>
        <v>0</v>
      </c>
      <c r="DX11">
        <f>COUNTIFS('Coded Passages'!$B:$B,$A11,'Coded Passages'!$E:$E,$B11,'Coded Passages'!$H:$H,DX$2)</f>
        <v>0</v>
      </c>
      <c r="DY11">
        <f>COUNTIFS('Coded Passages'!$B:$B,$A11,'Coded Passages'!$E:$E,$B11,'Coded Passages'!$H:$H,DY$2)</f>
        <v>2</v>
      </c>
      <c r="DZ11">
        <f>COUNTIFS('Coded Passages'!$B:$B,$A11,'Coded Passages'!$E:$E,$B11,'Coded Passages'!$H:$H,DZ$2)</f>
        <v>1</v>
      </c>
      <c r="EA11">
        <f>COUNTIFS('Coded Passages'!$B:$B,$A11,'Coded Passages'!$E:$E,$B11,'Coded Passages'!$H:$H,EA$2)</f>
        <v>0</v>
      </c>
      <c r="EB11">
        <f>COUNTIFS('Coded Passages'!$B:$B,$A11,'Coded Passages'!$E:$E,$B11,'Coded Passages'!$H:$H,EB$2)</f>
        <v>0</v>
      </c>
      <c r="EC11">
        <f>COUNTIFS('Coded Passages'!$B:$B,$A11,'Coded Passages'!$E:$E,$B11,'Coded Passages'!$H:$H,EC$2)</f>
        <v>0</v>
      </c>
      <c r="ED11">
        <f>COUNTIFS('Coded Passages'!$B:$B,$A11,'Coded Passages'!$E:$E,$B11,'Coded Passages'!$H:$H,ED$2)</f>
        <v>0</v>
      </c>
      <c r="EE11">
        <f>COUNTIFS('Coded Passages'!$B:$B,$A11,'Coded Passages'!$E:$E,$B11,'Coded Passages'!$H:$H,EE$2)</f>
        <v>0</v>
      </c>
      <c r="EF11">
        <f>COUNTIFS('Coded Passages'!$B:$B,$A11,'Coded Passages'!$E:$E,$B11,'Coded Passages'!$H:$H,EF$2)</f>
        <v>0</v>
      </c>
      <c r="EG11">
        <f>COUNTIFS('Coded Passages'!$B:$B,$A11,'Coded Passages'!$E:$E,$B11,'Coded Passages'!$H:$H,EG$2)</f>
        <v>0</v>
      </c>
      <c r="EH11">
        <f>COUNTIFS('Coded Passages'!$B:$B,$A11,'Coded Passages'!$E:$E,$B11,'Coded Passages'!$H:$H,EH$2)</f>
        <v>0</v>
      </c>
      <c r="EI11">
        <f>COUNTIFS('Coded Passages'!$B:$B,$A11,'Coded Passages'!$E:$E,$B11,'Coded Passages'!$H:$H,EI$2)</f>
        <v>0</v>
      </c>
      <c r="EJ11">
        <f>COUNTIFS('Coded Passages'!$B:$B,$A11,'Coded Passages'!$E:$E,$B11,'Coded Passages'!$H:$H,EJ$2)</f>
        <v>0</v>
      </c>
      <c r="EK11">
        <f>COUNTIFS('Coded Passages'!$B:$B,$A11,'Coded Passages'!$E:$E,$B11,'Coded Passages'!$H:$H,EK$2)</f>
        <v>2</v>
      </c>
      <c r="EL11">
        <f>COUNTIFS('Coded Passages'!$B:$B,$A11,'Coded Passages'!$E:$E,$B11,'Coded Passages'!$H:$H,EL$2)</f>
        <v>0</v>
      </c>
      <c r="EM11">
        <f>COUNTIFS('Coded Passages'!$B:$B,$A11,'Coded Passages'!$E:$E,$B11,'Coded Passages'!$H:$H,EM$2)</f>
        <v>0</v>
      </c>
      <c r="EN11">
        <f>COUNTIFS('Coded Passages'!$B:$B,$A11,'Coded Passages'!$E:$E,$B11,'Coded Passages'!$H:$H,EN$2)</f>
        <v>0</v>
      </c>
      <c r="EO11">
        <f>COUNTIFS('Coded Passages'!$B:$B,$A11,'Coded Passages'!$E:$E,$B11,'Coded Passages'!$H:$H,EO$2)</f>
        <v>0</v>
      </c>
      <c r="EP11">
        <f>COUNTIFS('Coded Passages'!$B:$B,$A11,'Coded Passages'!$E:$E,$B11,'Coded Passages'!$H:$H,EP$2)</f>
        <v>0</v>
      </c>
      <c r="EQ11">
        <f>COUNTIFS('Coded Passages'!$B:$B,$A11,'Coded Passages'!$E:$E,$B11,'Coded Passages'!$H:$H,EQ$2)</f>
        <v>0</v>
      </c>
      <c r="ER11">
        <f>COUNTIFS('Coded Passages'!$B:$B,$A11,'Coded Passages'!$E:$E,$B11,'Coded Passages'!$H:$H,ER$2)</f>
        <v>0</v>
      </c>
      <c r="ES11">
        <f>COUNTIFS('Coded Passages'!$B:$B,$A11,'Coded Passages'!$E:$E,$B11,'Coded Passages'!$H:$H,ES$2)</f>
        <v>0</v>
      </c>
      <c r="ET11">
        <f>COUNTIFS('Coded Passages'!$B:$B,$A11,'Coded Passages'!$E:$E,$B11,'Coded Passages'!$H:$H,ET$2)</f>
        <v>0</v>
      </c>
      <c r="EU11">
        <f>COUNTIFS('Coded Passages'!$B:$B,$A11,'Coded Passages'!$E:$E,$B11,'Coded Passages'!$H:$H,EU$2)</f>
        <v>0</v>
      </c>
      <c r="EV11">
        <f>COUNTIFS('Coded Passages'!$B:$B,$A11,'Coded Passages'!$E:$E,$B11,'Coded Passages'!$H:$H,EV$2)</f>
        <v>0</v>
      </c>
      <c r="EW11">
        <f>COUNTIFS('Coded Passages'!$B:$B,$A11,'Coded Passages'!$E:$E,$B11,'Coded Passages'!$H:$H,EW$2)</f>
        <v>1</v>
      </c>
      <c r="EX11">
        <f>COUNTIFS('Coded Passages'!$B:$B,$A11,'Coded Passages'!$E:$E,$B11,'Coded Passages'!$H:$H,EX$2)</f>
        <v>0</v>
      </c>
      <c r="EY11">
        <f>COUNTIFS('Coded Passages'!$B:$B,$A11,'Coded Passages'!$E:$E,$B11,'Coded Passages'!$H:$H,EY$2)</f>
        <v>0</v>
      </c>
      <c r="EZ11">
        <f>COUNTIFS('Coded Passages'!$B:$B,$A11,'Coded Passages'!$E:$E,$B11,'Coded Passages'!$H:$H,EZ$2)</f>
        <v>0</v>
      </c>
      <c r="FA11">
        <f>COUNTIFS('Coded Passages'!$B:$B,$A11,'Coded Passages'!$E:$E,$B11,'Coded Passages'!$H:$H,FA$2)</f>
        <v>0</v>
      </c>
      <c r="FB11">
        <f>COUNTIFS('Coded Passages'!$B:$B,$A11,'Coded Passages'!$E:$E,$B11,'Coded Passages'!$H:$H,FB$2)</f>
        <v>0</v>
      </c>
      <c r="FC11">
        <f>COUNTIFS('Coded Passages'!$B:$B,$A11,'Coded Passages'!$E:$E,$B11,'Coded Passages'!$H:$H,FC$2)</f>
        <v>0</v>
      </c>
      <c r="FD11">
        <f>COUNTIFS('Coded Passages'!$B:$B,$A11,'Coded Passages'!$E:$E,$B11,'Coded Passages'!$H:$H,FD$2)</f>
        <v>0</v>
      </c>
      <c r="FE11">
        <f>COUNTIFS('Coded Passages'!$B:$B,$A11,'Coded Passages'!$E:$E,$B11,'Coded Passages'!$H:$H,FE$2)</f>
        <v>0</v>
      </c>
      <c r="FF11">
        <f>COUNTIFS('Coded Passages'!$B:$B,$A11,'Coded Passages'!$E:$E,$B11,'Coded Passages'!$H:$H,FF$2)</f>
        <v>0</v>
      </c>
      <c r="FG11">
        <f>COUNTIFS('Coded Passages'!$B:$B,$A11,'Coded Passages'!$E:$E,$B11,'Coded Passages'!$H:$H,FG$2)</f>
        <v>0</v>
      </c>
      <c r="FH11">
        <f>COUNTIFS('Coded Passages'!$B:$B,$A11,'Coded Passages'!$E:$E,$B11,'Coded Passages'!$H:$H,FH$2)</f>
        <v>0</v>
      </c>
      <c r="FI11">
        <f>COUNTIFS('Coded Passages'!$B:$B,$A11,'Coded Passages'!$E:$E,$B11,'Coded Passages'!$H:$H,FI$2)</f>
        <v>0</v>
      </c>
      <c r="FJ11">
        <f>COUNTIFS('Coded Passages'!$B:$B,$A11,'Coded Passages'!$E:$E,$B11,'Coded Passages'!$H:$H,FJ$2)</f>
        <v>0</v>
      </c>
      <c r="FK11">
        <f>COUNTIFS('Coded Passages'!$B:$B,$A11,'Coded Passages'!$E:$E,$B11,'Coded Passages'!$H:$H,FK$2)</f>
        <v>0</v>
      </c>
      <c r="FL11">
        <f>COUNTIFS('Coded Passages'!$B:$B,$A11,'Coded Passages'!$E:$E,$B11,'Coded Passages'!$H:$H,FL$2)</f>
        <v>0</v>
      </c>
      <c r="FM11">
        <f>COUNTIFS('Coded Passages'!$B:$B,$A11,'Coded Passages'!$E:$E,$B11,'Coded Passages'!$H:$H,FM$2)</f>
        <v>0</v>
      </c>
      <c r="FN11">
        <f>COUNTIFS('Coded Passages'!$B:$B,$A11,'Coded Passages'!$E:$E,$B11,'Coded Passages'!$H:$H,FN$2)</f>
        <v>1</v>
      </c>
      <c r="FO11">
        <f>COUNTIFS('Coded Passages'!$B:$B,$A11,'Coded Passages'!$E:$E,$B11,'Coded Passages'!$H:$H,FO$2)</f>
        <v>0</v>
      </c>
      <c r="FP11">
        <f t="shared" si="0"/>
        <v>24</v>
      </c>
    </row>
    <row r="12" spans="1:172" x14ac:dyDescent="0.45">
      <c r="A12" s="9" t="s">
        <v>25</v>
      </c>
      <c r="B12" s="16" t="s">
        <v>114</v>
      </c>
      <c r="C12">
        <f>COUNTIFS('Coded Passages'!$B:$B,$A12,'Coded Passages'!$E:$E,$B12,'Coded Passages'!$H:$H,C$2)</f>
        <v>0</v>
      </c>
      <c r="D12">
        <f>COUNTIFS('Coded Passages'!$B:$B,$A12,'Coded Passages'!$E:$E,$B12,'Coded Passages'!$H:$H,D$2)</f>
        <v>0</v>
      </c>
      <c r="E12">
        <f>COUNTIFS('Coded Passages'!$B:$B,$A12,'Coded Passages'!$E:$E,$B12,'Coded Passages'!$H:$H,E$2)</f>
        <v>0</v>
      </c>
      <c r="F12">
        <f>COUNTIFS('Coded Passages'!$B:$B,$A12,'Coded Passages'!$E:$E,$B12,'Coded Passages'!$H:$H,F$2)</f>
        <v>0</v>
      </c>
      <c r="G12">
        <f>COUNTIFS('Coded Passages'!$B:$B,$A12,'Coded Passages'!$E:$E,$B12,'Coded Passages'!$H:$H,G$2)</f>
        <v>1</v>
      </c>
      <c r="H12">
        <f>COUNTIFS('Coded Passages'!$B:$B,$A12,'Coded Passages'!$E:$E,$B12,'Coded Passages'!$H:$H,H$2)</f>
        <v>0</v>
      </c>
      <c r="I12">
        <f>COUNTIFS('Coded Passages'!$B:$B,$A12,'Coded Passages'!$E:$E,$B12,'Coded Passages'!$H:$H,I$2)</f>
        <v>0</v>
      </c>
      <c r="J12">
        <f>COUNTIFS('Coded Passages'!$B:$B,$A12,'Coded Passages'!$E:$E,$B12,'Coded Passages'!$H:$H,J$2)</f>
        <v>0</v>
      </c>
      <c r="K12">
        <f>COUNTIFS('Coded Passages'!$B:$B,$A12,'Coded Passages'!$E:$E,$B12,'Coded Passages'!$H:$H,K$2)</f>
        <v>0</v>
      </c>
      <c r="L12">
        <f>COUNTIFS('Coded Passages'!$B:$B,$A12,'Coded Passages'!$E:$E,$B12,'Coded Passages'!$H:$H,L$2)</f>
        <v>0</v>
      </c>
      <c r="M12">
        <f>COUNTIFS('Coded Passages'!$B:$B,$A12,'Coded Passages'!$E:$E,$B12,'Coded Passages'!$H:$H,M$2)</f>
        <v>0</v>
      </c>
      <c r="N12">
        <f>COUNTIFS('Coded Passages'!$B:$B,$A12,'Coded Passages'!$E:$E,$B12,'Coded Passages'!$H:$H,N$2)</f>
        <v>0</v>
      </c>
      <c r="O12">
        <f>COUNTIFS('Coded Passages'!$B:$B,$A12,'Coded Passages'!$E:$E,$B12,'Coded Passages'!$H:$H,O$2)</f>
        <v>0</v>
      </c>
      <c r="P12">
        <f>COUNTIFS('Coded Passages'!$B:$B,$A12,'Coded Passages'!$E:$E,$B12,'Coded Passages'!$H:$H,P$2)</f>
        <v>0</v>
      </c>
      <c r="Q12">
        <f>COUNTIFS('Coded Passages'!$B:$B,$A12,'Coded Passages'!$E:$E,$B12,'Coded Passages'!$H:$H,Q$2)</f>
        <v>0</v>
      </c>
      <c r="R12">
        <f>COUNTIFS('Coded Passages'!$B:$B,$A12,'Coded Passages'!$E:$E,$B12,'Coded Passages'!$H:$H,R$2)</f>
        <v>0</v>
      </c>
      <c r="S12">
        <f>COUNTIFS('Coded Passages'!$B:$B,$A12,'Coded Passages'!$E:$E,$B12,'Coded Passages'!$H:$H,S$2)</f>
        <v>0</v>
      </c>
      <c r="T12">
        <f>COUNTIFS('Coded Passages'!$B:$B,$A12,'Coded Passages'!$E:$E,$B12,'Coded Passages'!$H:$H,T$2)</f>
        <v>0</v>
      </c>
      <c r="U12">
        <f>COUNTIFS('Coded Passages'!$B:$B,$A12,'Coded Passages'!$E:$E,$B12,'Coded Passages'!$H:$H,U$2)</f>
        <v>0</v>
      </c>
      <c r="V12">
        <f>COUNTIFS('Coded Passages'!$B:$B,$A12,'Coded Passages'!$E:$E,$B12,'Coded Passages'!$H:$H,V$2)</f>
        <v>0</v>
      </c>
      <c r="W12">
        <f>COUNTIFS('Coded Passages'!$B:$B,$A12,'Coded Passages'!$E:$E,$B12,'Coded Passages'!$H:$H,W$2)</f>
        <v>0</v>
      </c>
      <c r="X12">
        <f>COUNTIFS('Coded Passages'!$B:$B,$A12,'Coded Passages'!$E:$E,$B12,'Coded Passages'!$H:$H,X$2)</f>
        <v>0</v>
      </c>
      <c r="Y12">
        <f>COUNTIFS('Coded Passages'!$B:$B,$A12,'Coded Passages'!$E:$E,$B12,'Coded Passages'!$H:$H,Y$2)</f>
        <v>0</v>
      </c>
      <c r="Z12">
        <f>COUNTIFS('Coded Passages'!$B:$B,$A12,'Coded Passages'!$E:$E,$B12,'Coded Passages'!$H:$H,Z$2)</f>
        <v>0</v>
      </c>
      <c r="AA12">
        <f>COUNTIFS('Coded Passages'!$B:$B,$A12,'Coded Passages'!$E:$E,$B12,'Coded Passages'!$H:$H,AA$2)</f>
        <v>0</v>
      </c>
      <c r="AB12">
        <f>COUNTIFS('Coded Passages'!$B:$B,$A12,'Coded Passages'!$E:$E,$B12,'Coded Passages'!$H:$H,AB$2)</f>
        <v>0</v>
      </c>
      <c r="AC12">
        <f>COUNTIFS('Coded Passages'!$B:$B,$A12,'Coded Passages'!$E:$E,$B12,'Coded Passages'!$H:$H,AC$2)</f>
        <v>0</v>
      </c>
      <c r="AD12">
        <f>COUNTIFS('Coded Passages'!$B:$B,$A12,'Coded Passages'!$E:$E,$B12,'Coded Passages'!$H:$H,AD$2)</f>
        <v>0</v>
      </c>
      <c r="AE12">
        <f>COUNTIFS('Coded Passages'!$B:$B,$A12,'Coded Passages'!$E:$E,$B12,'Coded Passages'!$H:$H,AE$2)</f>
        <v>0</v>
      </c>
      <c r="AF12">
        <f>COUNTIFS('Coded Passages'!$B:$B,$A12,'Coded Passages'!$E:$E,$B12,'Coded Passages'!$H:$H,AF$2)</f>
        <v>0</v>
      </c>
      <c r="AG12">
        <f>COUNTIFS('Coded Passages'!$B:$B,$A12,'Coded Passages'!$E:$E,$B12,'Coded Passages'!$H:$H,AG$2)</f>
        <v>0</v>
      </c>
      <c r="AH12">
        <f>COUNTIFS('Coded Passages'!$B:$B,$A12,'Coded Passages'!$E:$E,$B12,'Coded Passages'!$H:$H,AH$2)</f>
        <v>0</v>
      </c>
      <c r="AI12">
        <f>COUNTIFS('Coded Passages'!$B:$B,$A12,'Coded Passages'!$E:$E,$B12,'Coded Passages'!$H:$H,AI$2)</f>
        <v>0</v>
      </c>
      <c r="AJ12">
        <f>COUNTIFS('Coded Passages'!$B:$B,$A12,'Coded Passages'!$E:$E,$B12,'Coded Passages'!$H:$H,AJ$2)</f>
        <v>0</v>
      </c>
      <c r="AK12">
        <f>COUNTIFS('Coded Passages'!$B:$B,$A12,'Coded Passages'!$E:$E,$B12,'Coded Passages'!$H:$H,AK$2)</f>
        <v>0</v>
      </c>
      <c r="AL12">
        <f>COUNTIFS('Coded Passages'!$B:$B,$A12,'Coded Passages'!$E:$E,$B12,'Coded Passages'!$H:$H,AL$2)</f>
        <v>0</v>
      </c>
      <c r="AM12">
        <f>COUNTIFS('Coded Passages'!$B:$B,$A12,'Coded Passages'!$E:$E,$B12,'Coded Passages'!$H:$H,AM$2)</f>
        <v>0</v>
      </c>
      <c r="AN12">
        <f>COUNTIFS('Coded Passages'!$B:$B,$A12,'Coded Passages'!$E:$E,$B12,'Coded Passages'!$H:$H,AN$2)</f>
        <v>0</v>
      </c>
      <c r="AO12">
        <f>COUNTIFS('Coded Passages'!$B:$B,$A12,'Coded Passages'!$E:$E,$B12,'Coded Passages'!$H:$H,AO$2)</f>
        <v>0</v>
      </c>
      <c r="AP12">
        <f>COUNTIFS('Coded Passages'!$B:$B,$A12,'Coded Passages'!$E:$E,$B12,'Coded Passages'!$H:$H,AP$2)</f>
        <v>0</v>
      </c>
      <c r="AQ12">
        <f>COUNTIFS('Coded Passages'!$B:$B,$A12,'Coded Passages'!$E:$E,$B12,'Coded Passages'!$H:$H,AQ$2)</f>
        <v>0</v>
      </c>
      <c r="AR12">
        <f>COUNTIFS('Coded Passages'!$B:$B,$A12,'Coded Passages'!$E:$E,$B12,'Coded Passages'!$H:$H,AR$2)</f>
        <v>0</v>
      </c>
      <c r="AS12">
        <f>COUNTIFS('Coded Passages'!$B:$B,$A12,'Coded Passages'!$E:$E,$B12,'Coded Passages'!$H:$H,AS$2)</f>
        <v>0</v>
      </c>
      <c r="AT12">
        <f>COUNTIFS('Coded Passages'!$B:$B,$A12,'Coded Passages'!$E:$E,$B12,'Coded Passages'!$H:$H,AT$2)</f>
        <v>0</v>
      </c>
      <c r="AU12">
        <f>COUNTIFS('Coded Passages'!$B:$B,$A12,'Coded Passages'!$E:$E,$B12,'Coded Passages'!$H:$H,AU$2)</f>
        <v>0</v>
      </c>
      <c r="AV12">
        <f>COUNTIFS('Coded Passages'!$B:$B,$A12,'Coded Passages'!$E:$E,$B12,'Coded Passages'!$H:$H,AV$2)</f>
        <v>0</v>
      </c>
      <c r="AW12">
        <f>COUNTIFS('Coded Passages'!$B:$B,$A12,'Coded Passages'!$E:$E,$B12,'Coded Passages'!$H:$H,AW$2)</f>
        <v>2</v>
      </c>
      <c r="AX12">
        <f>COUNTIFS('Coded Passages'!$B:$B,$A12,'Coded Passages'!$E:$E,$B12,'Coded Passages'!$H:$H,AX$2)</f>
        <v>5</v>
      </c>
      <c r="AY12">
        <f>COUNTIFS('Coded Passages'!$B:$B,$A12,'Coded Passages'!$E:$E,$B12,'Coded Passages'!$H:$H,AY$2)</f>
        <v>0</v>
      </c>
      <c r="AZ12">
        <f>COUNTIFS('Coded Passages'!$B:$B,$A12,'Coded Passages'!$E:$E,$B12,'Coded Passages'!$H:$H,AZ$2)</f>
        <v>0</v>
      </c>
      <c r="BA12">
        <f>COUNTIFS('Coded Passages'!$B:$B,$A12,'Coded Passages'!$E:$E,$B12,'Coded Passages'!$H:$H,BA$2)</f>
        <v>0</v>
      </c>
      <c r="BB12">
        <f>COUNTIFS('Coded Passages'!$B:$B,$A12,'Coded Passages'!$E:$E,$B12,'Coded Passages'!$H:$H,BB$2)</f>
        <v>0</v>
      </c>
      <c r="BC12">
        <f>COUNTIFS('Coded Passages'!$B:$B,$A12,'Coded Passages'!$E:$E,$B12,'Coded Passages'!$H:$H,BC$2)</f>
        <v>0</v>
      </c>
      <c r="BD12">
        <f>COUNTIFS('Coded Passages'!$B:$B,$A12,'Coded Passages'!$E:$E,$B12,'Coded Passages'!$H:$H,BD$2)</f>
        <v>0</v>
      </c>
      <c r="BE12">
        <f>COUNTIFS('Coded Passages'!$B:$B,$A12,'Coded Passages'!$E:$E,$B12,'Coded Passages'!$H:$H,BE$2)</f>
        <v>0</v>
      </c>
      <c r="BF12">
        <f>COUNTIFS('Coded Passages'!$B:$B,$A12,'Coded Passages'!$E:$E,$B12,'Coded Passages'!$H:$H,BF$2)</f>
        <v>0</v>
      </c>
      <c r="BG12">
        <f>COUNTIFS('Coded Passages'!$B:$B,$A12,'Coded Passages'!$E:$E,$B12,'Coded Passages'!$H:$H,BG$2)</f>
        <v>0</v>
      </c>
      <c r="BH12">
        <f>COUNTIFS('Coded Passages'!$B:$B,$A12,'Coded Passages'!$E:$E,$B12,'Coded Passages'!$H:$H,BH$2)</f>
        <v>0</v>
      </c>
      <c r="BI12">
        <f>COUNTIFS('Coded Passages'!$B:$B,$A12,'Coded Passages'!$E:$E,$B12,'Coded Passages'!$H:$H,BI$2)</f>
        <v>0</v>
      </c>
      <c r="BJ12">
        <f>COUNTIFS('Coded Passages'!$B:$B,$A12,'Coded Passages'!$E:$E,$B12,'Coded Passages'!$H:$H,BJ$2)</f>
        <v>0</v>
      </c>
      <c r="BK12">
        <f>COUNTIFS('Coded Passages'!$B:$B,$A12,'Coded Passages'!$E:$E,$B12,'Coded Passages'!$H:$H,BK$2)</f>
        <v>0</v>
      </c>
      <c r="BL12">
        <f>COUNTIFS('Coded Passages'!$B:$B,$A12,'Coded Passages'!$E:$E,$B12,'Coded Passages'!$H:$H,BL$2)</f>
        <v>0</v>
      </c>
      <c r="BM12">
        <f>COUNTIFS('Coded Passages'!$B:$B,$A12,'Coded Passages'!$E:$E,$B12,'Coded Passages'!$H:$H,BM$2)</f>
        <v>0</v>
      </c>
      <c r="BN12">
        <f>COUNTIFS('Coded Passages'!$B:$B,$A12,'Coded Passages'!$E:$E,$B12,'Coded Passages'!$H:$H,BN$2)</f>
        <v>0</v>
      </c>
      <c r="BO12">
        <f>COUNTIFS('Coded Passages'!$B:$B,$A12,'Coded Passages'!$E:$E,$B12,'Coded Passages'!$H:$H,BO$2)</f>
        <v>2</v>
      </c>
      <c r="BP12">
        <f>COUNTIFS('Coded Passages'!$B:$B,$A12,'Coded Passages'!$E:$E,$B12,'Coded Passages'!$H:$H,BP$2)</f>
        <v>1</v>
      </c>
      <c r="BQ12">
        <f>COUNTIFS('Coded Passages'!$B:$B,$A12,'Coded Passages'!$E:$E,$B12,'Coded Passages'!$H:$H,BQ$2)</f>
        <v>0</v>
      </c>
      <c r="BR12">
        <f>COUNTIFS('Coded Passages'!$B:$B,$A12,'Coded Passages'!$E:$E,$B12,'Coded Passages'!$H:$H,BR$2)</f>
        <v>0</v>
      </c>
      <c r="BS12">
        <f>COUNTIFS('Coded Passages'!$B:$B,$A12,'Coded Passages'!$E:$E,$B12,'Coded Passages'!$H:$H,BS$2)</f>
        <v>0</v>
      </c>
      <c r="BT12">
        <f>COUNTIFS('Coded Passages'!$B:$B,$A12,'Coded Passages'!$E:$E,$B12,'Coded Passages'!$H:$H,BT$2)</f>
        <v>0</v>
      </c>
      <c r="BU12">
        <f>COUNTIFS('Coded Passages'!$B:$B,$A12,'Coded Passages'!$E:$E,$B12,'Coded Passages'!$H:$H,BU$2)</f>
        <v>0</v>
      </c>
      <c r="BV12">
        <f>COUNTIFS('Coded Passages'!$B:$B,$A12,'Coded Passages'!$E:$E,$B12,'Coded Passages'!$H:$H,BV$2)</f>
        <v>0</v>
      </c>
      <c r="BW12">
        <f>COUNTIFS('Coded Passages'!$B:$B,$A12,'Coded Passages'!$E:$E,$B12,'Coded Passages'!$H:$H,BW$2)</f>
        <v>0</v>
      </c>
      <c r="BX12">
        <f>COUNTIFS('Coded Passages'!$B:$B,$A12,'Coded Passages'!$E:$E,$B12,'Coded Passages'!$H:$H,BX$2)</f>
        <v>0</v>
      </c>
      <c r="BY12">
        <f>COUNTIFS('Coded Passages'!$B:$B,$A12,'Coded Passages'!$E:$E,$B12,'Coded Passages'!$H:$H,BY$2)</f>
        <v>0</v>
      </c>
      <c r="BZ12">
        <f>COUNTIFS('Coded Passages'!$B:$B,$A12,'Coded Passages'!$E:$E,$B12,'Coded Passages'!$H:$H,BZ$2)</f>
        <v>0</v>
      </c>
      <c r="CA12">
        <f>COUNTIFS('Coded Passages'!$B:$B,$A12,'Coded Passages'!$E:$E,$B12,'Coded Passages'!$H:$H,CA$2)</f>
        <v>0</v>
      </c>
      <c r="CB12">
        <f>COUNTIFS('Coded Passages'!$B:$B,$A12,'Coded Passages'!$E:$E,$B12,'Coded Passages'!$H:$H,CB$2)</f>
        <v>0</v>
      </c>
      <c r="CC12">
        <f>COUNTIFS('Coded Passages'!$B:$B,$A12,'Coded Passages'!$E:$E,$B12,'Coded Passages'!$H:$H,CC$2)</f>
        <v>0</v>
      </c>
      <c r="CD12">
        <f>COUNTIFS('Coded Passages'!$B:$B,$A12,'Coded Passages'!$E:$E,$B12,'Coded Passages'!$H:$H,CD$2)</f>
        <v>0</v>
      </c>
      <c r="CE12">
        <f>COUNTIFS('Coded Passages'!$B:$B,$A12,'Coded Passages'!$E:$E,$B12,'Coded Passages'!$H:$H,CE$2)</f>
        <v>0</v>
      </c>
      <c r="CF12">
        <f>COUNTIFS('Coded Passages'!$B:$B,$A12,'Coded Passages'!$E:$E,$B12,'Coded Passages'!$H:$H,CF$2)</f>
        <v>0</v>
      </c>
      <c r="CG12">
        <f>COUNTIFS('Coded Passages'!$B:$B,$A12,'Coded Passages'!$E:$E,$B12,'Coded Passages'!$H:$H,CG$2)</f>
        <v>0</v>
      </c>
      <c r="CH12">
        <f>COUNTIFS('Coded Passages'!$B:$B,$A12,'Coded Passages'!$E:$E,$B12,'Coded Passages'!$H:$H,CH$2)</f>
        <v>0</v>
      </c>
      <c r="CI12">
        <f>COUNTIFS('Coded Passages'!$B:$B,$A12,'Coded Passages'!$E:$E,$B12,'Coded Passages'!$H:$H,CI$2)</f>
        <v>1</v>
      </c>
      <c r="CJ12">
        <f>COUNTIFS('Coded Passages'!$B:$B,$A12,'Coded Passages'!$E:$E,$B12,'Coded Passages'!$H:$H,CJ$2)</f>
        <v>0</v>
      </c>
      <c r="CK12">
        <f>COUNTIFS('Coded Passages'!$B:$B,$A12,'Coded Passages'!$E:$E,$B12,'Coded Passages'!$H:$H,CK$2)</f>
        <v>0</v>
      </c>
      <c r="CL12">
        <f>COUNTIFS('Coded Passages'!$B:$B,$A12,'Coded Passages'!$E:$E,$B12,'Coded Passages'!$H:$H,CL$2)</f>
        <v>1</v>
      </c>
      <c r="CM12">
        <f>COUNTIFS('Coded Passages'!$B:$B,$A12,'Coded Passages'!$E:$E,$B12,'Coded Passages'!$H:$H,CM$2)</f>
        <v>1</v>
      </c>
      <c r="CN12">
        <f>COUNTIFS('Coded Passages'!$B:$B,$A12,'Coded Passages'!$E:$E,$B12,'Coded Passages'!$H:$H,CN$2)</f>
        <v>0</v>
      </c>
      <c r="CO12">
        <f>COUNTIFS('Coded Passages'!$B:$B,$A12,'Coded Passages'!$E:$E,$B12,'Coded Passages'!$H:$H,CO$2)</f>
        <v>0</v>
      </c>
      <c r="CP12">
        <f>COUNTIFS('Coded Passages'!$B:$B,$A12,'Coded Passages'!$E:$E,$B12,'Coded Passages'!$H:$H,CP$2)</f>
        <v>0</v>
      </c>
      <c r="CQ12">
        <f>COUNTIFS('Coded Passages'!$B:$B,$A12,'Coded Passages'!$E:$E,$B12,'Coded Passages'!$H:$H,CQ$2)</f>
        <v>0</v>
      </c>
      <c r="CR12">
        <f>COUNTIFS('Coded Passages'!$B:$B,$A12,'Coded Passages'!$E:$E,$B12,'Coded Passages'!$H:$H,CR$2)</f>
        <v>0</v>
      </c>
      <c r="CS12">
        <f>COUNTIFS('Coded Passages'!$B:$B,$A12,'Coded Passages'!$E:$E,$B12,'Coded Passages'!$H:$H,CS$2)</f>
        <v>0</v>
      </c>
      <c r="CT12">
        <f>COUNTIFS('Coded Passages'!$B:$B,$A12,'Coded Passages'!$E:$E,$B12,'Coded Passages'!$H:$H,CT$2)</f>
        <v>0</v>
      </c>
      <c r="CU12">
        <f>COUNTIFS('Coded Passages'!$B:$B,$A12,'Coded Passages'!$E:$E,$B12,'Coded Passages'!$H:$H,CU$2)</f>
        <v>0</v>
      </c>
      <c r="CV12">
        <f>COUNTIFS('Coded Passages'!$B:$B,$A12,'Coded Passages'!$E:$E,$B12,'Coded Passages'!$H:$H,CV$2)</f>
        <v>0</v>
      </c>
      <c r="CW12">
        <f>COUNTIFS('Coded Passages'!$B:$B,$A12,'Coded Passages'!$E:$E,$B12,'Coded Passages'!$H:$H,CW$2)</f>
        <v>0</v>
      </c>
      <c r="CX12">
        <f>COUNTIFS('Coded Passages'!$B:$B,$A12,'Coded Passages'!$E:$E,$B12,'Coded Passages'!$H:$H,CX$2)</f>
        <v>0</v>
      </c>
      <c r="CY12">
        <f>COUNTIFS('Coded Passages'!$B:$B,$A12,'Coded Passages'!$E:$E,$B12,'Coded Passages'!$H:$H,CY$2)</f>
        <v>0</v>
      </c>
      <c r="CZ12">
        <f>COUNTIFS('Coded Passages'!$B:$B,$A12,'Coded Passages'!$E:$E,$B12,'Coded Passages'!$H:$H,CZ$2)</f>
        <v>0</v>
      </c>
      <c r="DA12">
        <f>COUNTIFS('Coded Passages'!$B:$B,$A12,'Coded Passages'!$E:$E,$B12,'Coded Passages'!$H:$H,DA$2)</f>
        <v>1</v>
      </c>
      <c r="DB12">
        <f>COUNTIFS('Coded Passages'!$B:$B,$A12,'Coded Passages'!$E:$E,$B12,'Coded Passages'!$H:$H,DB$2)</f>
        <v>0</v>
      </c>
      <c r="DC12">
        <f>COUNTIFS('Coded Passages'!$B:$B,$A12,'Coded Passages'!$E:$E,$B12,'Coded Passages'!$H:$H,DC$2)</f>
        <v>0</v>
      </c>
      <c r="DD12">
        <f>COUNTIFS('Coded Passages'!$B:$B,$A12,'Coded Passages'!$E:$E,$B12,'Coded Passages'!$H:$H,DD$2)</f>
        <v>0</v>
      </c>
      <c r="DE12">
        <f>COUNTIFS('Coded Passages'!$B:$B,$A12,'Coded Passages'!$E:$E,$B12,'Coded Passages'!$H:$H,DE$2)</f>
        <v>0</v>
      </c>
      <c r="DF12">
        <f>COUNTIFS('Coded Passages'!$B:$B,$A12,'Coded Passages'!$E:$E,$B12,'Coded Passages'!$H:$H,DF$2)</f>
        <v>1</v>
      </c>
      <c r="DG12">
        <f>COUNTIFS('Coded Passages'!$B:$B,$A12,'Coded Passages'!$E:$E,$B12,'Coded Passages'!$H:$H,DG$2)</f>
        <v>0</v>
      </c>
      <c r="DH12">
        <f>COUNTIFS('Coded Passages'!$B:$B,$A12,'Coded Passages'!$E:$E,$B12,'Coded Passages'!$H:$H,DH$2)</f>
        <v>0</v>
      </c>
      <c r="DI12">
        <f>COUNTIFS('Coded Passages'!$B:$B,$A12,'Coded Passages'!$E:$E,$B12,'Coded Passages'!$H:$H,DI$2)</f>
        <v>0</v>
      </c>
      <c r="DJ12">
        <f>COUNTIFS('Coded Passages'!$B:$B,$A12,'Coded Passages'!$E:$E,$B12,'Coded Passages'!$H:$H,DJ$2)</f>
        <v>0</v>
      </c>
      <c r="DK12">
        <f>COUNTIFS('Coded Passages'!$B:$B,$A12,'Coded Passages'!$E:$E,$B12,'Coded Passages'!$H:$H,DK$2)</f>
        <v>0</v>
      </c>
      <c r="DL12">
        <f>COUNTIFS('Coded Passages'!$B:$B,$A12,'Coded Passages'!$E:$E,$B12,'Coded Passages'!$H:$H,DL$2)</f>
        <v>0</v>
      </c>
      <c r="DM12">
        <f>COUNTIFS('Coded Passages'!$B:$B,$A12,'Coded Passages'!$E:$E,$B12,'Coded Passages'!$H:$H,DM$2)</f>
        <v>0</v>
      </c>
      <c r="DN12">
        <f>COUNTIFS('Coded Passages'!$B:$B,$A12,'Coded Passages'!$E:$E,$B12,'Coded Passages'!$H:$H,DN$2)</f>
        <v>0</v>
      </c>
      <c r="DO12">
        <f>COUNTIFS('Coded Passages'!$B:$B,$A12,'Coded Passages'!$E:$E,$B12,'Coded Passages'!$H:$H,DO$2)</f>
        <v>0</v>
      </c>
      <c r="DP12">
        <f>COUNTIFS('Coded Passages'!$B:$B,$A12,'Coded Passages'!$E:$E,$B12,'Coded Passages'!$H:$H,DP$2)</f>
        <v>0</v>
      </c>
      <c r="DQ12">
        <f>COUNTIFS('Coded Passages'!$B:$B,$A12,'Coded Passages'!$E:$E,$B12,'Coded Passages'!$H:$H,DQ$2)</f>
        <v>0</v>
      </c>
      <c r="DR12">
        <f>COUNTIFS('Coded Passages'!$B:$B,$A12,'Coded Passages'!$E:$E,$B12,'Coded Passages'!$H:$H,DR$2)</f>
        <v>0</v>
      </c>
      <c r="DS12">
        <f>COUNTIFS('Coded Passages'!$B:$B,$A12,'Coded Passages'!$E:$E,$B12,'Coded Passages'!$H:$H,DS$2)</f>
        <v>0</v>
      </c>
      <c r="DT12">
        <f>COUNTIFS('Coded Passages'!$B:$B,$A12,'Coded Passages'!$E:$E,$B12,'Coded Passages'!$H:$H,DT$2)</f>
        <v>0</v>
      </c>
      <c r="DU12">
        <f>COUNTIFS('Coded Passages'!$B:$B,$A12,'Coded Passages'!$E:$E,$B12,'Coded Passages'!$H:$H,DU$2)</f>
        <v>0</v>
      </c>
      <c r="DV12">
        <f>COUNTIFS('Coded Passages'!$B:$B,$A12,'Coded Passages'!$E:$E,$B12,'Coded Passages'!$H:$H,DV$2)</f>
        <v>0</v>
      </c>
      <c r="DW12">
        <f>COUNTIFS('Coded Passages'!$B:$B,$A12,'Coded Passages'!$E:$E,$B12,'Coded Passages'!$H:$H,DW$2)</f>
        <v>0</v>
      </c>
      <c r="DX12">
        <f>COUNTIFS('Coded Passages'!$B:$B,$A12,'Coded Passages'!$E:$E,$B12,'Coded Passages'!$H:$H,DX$2)</f>
        <v>0</v>
      </c>
      <c r="DY12">
        <f>COUNTIFS('Coded Passages'!$B:$B,$A12,'Coded Passages'!$E:$E,$B12,'Coded Passages'!$H:$H,DY$2)</f>
        <v>0</v>
      </c>
      <c r="DZ12">
        <f>COUNTIFS('Coded Passages'!$B:$B,$A12,'Coded Passages'!$E:$E,$B12,'Coded Passages'!$H:$H,DZ$2)</f>
        <v>4</v>
      </c>
      <c r="EA12">
        <f>COUNTIFS('Coded Passages'!$B:$B,$A12,'Coded Passages'!$E:$E,$B12,'Coded Passages'!$H:$H,EA$2)</f>
        <v>0</v>
      </c>
      <c r="EB12">
        <f>COUNTIFS('Coded Passages'!$B:$B,$A12,'Coded Passages'!$E:$E,$B12,'Coded Passages'!$H:$H,EB$2)</f>
        <v>0</v>
      </c>
      <c r="EC12">
        <f>COUNTIFS('Coded Passages'!$B:$B,$A12,'Coded Passages'!$E:$E,$B12,'Coded Passages'!$H:$H,EC$2)</f>
        <v>0</v>
      </c>
      <c r="ED12">
        <f>COUNTIFS('Coded Passages'!$B:$B,$A12,'Coded Passages'!$E:$E,$B12,'Coded Passages'!$H:$H,ED$2)</f>
        <v>0</v>
      </c>
      <c r="EE12">
        <f>COUNTIFS('Coded Passages'!$B:$B,$A12,'Coded Passages'!$E:$E,$B12,'Coded Passages'!$H:$H,EE$2)</f>
        <v>0</v>
      </c>
      <c r="EF12">
        <f>COUNTIFS('Coded Passages'!$B:$B,$A12,'Coded Passages'!$E:$E,$B12,'Coded Passages'!$H:$H,EF$2)</f>
        <v>0</v>
      </c>
      <c r="EG12">
        <f>COUNTIFS('Coded Passages'!$B:$B,$A12,'Coded Passages'!$E:$E,$B12,'Coded Passages'!$H:$H,EG$2)</f>
        <v>0</v>
      </c>
      <c r="EH12">
        <f>COUNTIFS('Coded Passages'!$B:$B,$A12,'Coded Passages'!$E:$E,$B12,'Coded Passages'!$H:$H,EH$2)</f>
        <v>0</v>
      </c>
      <c r="EI12">
        <f>COUNTIFS('Coded Passages'!$B:$B,$A12,'Coded Passages'!$E:$E,$B12,'Coded Passages'!$H:$H,EI$2)</f>
        <v>0</v>
      </c>
      <c r="EJ12">
        <f>COUNTIFS('Coded Passages'!$B:$B,$A12,'Coded Passages'!$E:$E,$B12,'Coded Passages'!$H:$H,EJ$2)</f>
        <v>0</v>
      </c>
      <c r="EK12">
        <f>COUNTIFS('Coded Passages'!$B:$B,$A12,'Coded Passages'!$E:$E,$B12,'Coded Passages'!$H:$H,EK$2)</f>
        <v>0</v>
      </c>
      <c r="EL12">
        <f>COUNTIFS('Coded Passages'!$B:$B,$A12,'Coded Passages'!$E:$E,$B12,'Coded Passages'!$H:$H,EL$2)</f>
        <v>0</v>
      </c>
      <c r="EM12">
        <f>COUNTIFS('Coded Passages'!$B:$B,$A12,'Coded Passages'!$E:$E,$B12,'Coded Passages'!$H:$H,EM$2)</f>
        <v>0</v>
      </c>
      <c r="EN12">
        <f>COUNTIFS('Coded Passages'!$B:$B,$A12,'Coded Passages'!$E:$E,$B12,'Coded Passages'!$H:$H,EN$2)</f>
        <v>0</v>
      </c>
      <c r="EO12">
        <f>COUNTIFS('Coded Passages'!$B:$B,$A12,'Coded Passages'!$E:$E,$B12,'Coded Passages'!$H:$H,EO$2)</f>
        <v>0</v>
      </c>
      <c r="EP12">
        <f>COUNTIFS('Coded Passages'!$B:$B,$A12,'Coded Passages'!$E:$E,$B12,'Coded Passages'!$H:$H,EP$2)</f>
        <v>0</v>
      </c>
      <c r="EQ12">
        <f>COUNTIFS('Coded Passages'!$B:$B,$A12,'Coded Passages'!$E:$E,$B12,'Coded Passages'!$H:$H,EQ$2)</f>
        <v>0</v>
      </c>
      <c r="ER12">
        <f>COUNTIFS('Coded Passages'!$B:$B,$A12,'Coded Passages'!$E:$E,$B12,'Coded Passages'!$H:$H,ER$2)</f>
        <v>0</v>
      </c>
      <c r="ES12">
        <f>COUNTIFS('Coded Passages'!$B:$B,$A12,'Coded Passages'!$E:$E,$B12,'Coded Passages'!$H:$H,ES$2)</f>
        <v>0</v>
      </c>
      <c r="ET12">
        <f>COUNTIFS('Coded Passages'!$B:$B,$A12,'Coded Passages'!$E:$E,$B12,'Coded Passages'!$H:$H,ET$2)</f>
        <v>0</v>
      </c>
      <c r="EU12">
        <f>COUNTIFS('Coded Passages'!$B:$B,$A12,'Coded Passages'!$E:$E,$B12,'Coded Passages'!$H:$H,EU$2)</f>
        <v>0</v>
      </c>
      <c r="EV12">
        <f>COUNTIFS('Coded Passages'!$B:$B,$A12,'Coded Passages'!$E:$E,$B12,'Coded Passages'!$H:$H,EV$2)</f>
        <v>0</v>
      </c>
      <c r="EW12">
        <f>COUNTIFS('Coded Passages'!$B:$B,$A12,'Coded Passages'!$E:$E,$B12,'Coded Passages'!$H:$H,EW$2)</f>
        <v>1</v>
      </c>
      <c r="EX12">
        <f>COUNTIFS('Coded Passages'!$B:$B,$A12,'Coded Passages'!$E:$E,$B12,'Coded Passages'!$H:$H,EX$2)</f>
        <v>0</v>
      </c>
      <c r="EY12">
        <f>COUNTIFS('Coded Passages'!$B:$B,$A12,'Coded Passages'!$E:$E,$B12,'Coded Passages'!$H:$H,EY$2)</f>
        <v>0</v>
      </c>
      <c r="EZ12">
        <f>COUNTIFS('Coded Passages'!$B:$B,$A12,'Coded Passages'!$E:$E,$B12,'Coded Passages'!$H:$H,EZ$2)</f>
        <v>0</v>
      </c>
      <c r="FA12">
        <f>COUNTIFS('Coded Passages'!$B:$B,$A12,'Coded Passages'!$E:$E,$B12,'Coded Passages'!$H:$H,FA$2)</f>
        <v>0</v>
      </c>
      <c r="FB12">
        <f>COUNTIFS('Coded Passages'!$B:$B,$A12,'Coded Passages'!$E:$E,$B12,'Coded Passages'!$H:$H,FB$2)</f>
        <v>0</v>
      </c>
      <c r="FC12">
        <f>COUNTIFS('Coded Passages'!$B:$B,$A12,'Coded Passages'!$E:$E,$B12,'Coded Passages'!$H:$H,FC$2)</f>
        <v>0</v>
      </c>
      <c r="FD12">
        <f>COUNTIFS('Coded Passages'!$B:$B,$A12,'Coded Passages'!$E:$E,$B12,'Coded Passages'!$H:$H,FD$2)</f>
        <v>0</v>
      </c>
      <c r="FE12">
        <f>COUNTIFS('Coded Passages'!$B:$B,$A12,'Coded Passages'!$E:$E,$B12,'Coded Passages'!$H:$H,FE$2)</f>
        <v>3</v>
      </c>
      <c r="FF12">
        <f>COUNTIFS('Coded Passages'!$B:$B,$A12,'Coded Passages'!$E:$E,$B12,'Coded Passages'!$H:$H,FF$2)</f>
        <v>0</v>
      </c>
      <c r="FG12">
        <f>COUNTIFS('Coded Passages'!$B:$B,$A12,'Coded Passages'!$E:$E,$B12,'Coded Passages'!$H:$H,FG$2)</f>
        <v>0</v>
      </c>
      <c r="FH12">
        <f>COUNTIFS('Coded Passages'!$B:$B,$A12,'Coded Passages'!$E:$E,$B12,'Coded Passages'!$H:$H,FH$2)</f>
        <v>0</v>
      </c>
      <c r="FI12">
        <f>COUNTIFS('Coded Passages'!$B:$B,$A12,'Coded Passages'!$E:$E,$B12,'Coded Passages'!$H:$H,FI$2)</f>
        <v>0</v>
      </c>
      <c r="FJ12">
        <f>COUNTIFS('Coded Passages'!$B:$B,$A12,'Coded Passages'!$E:$E,$B12,'Coded Passages'!$H:$H,FJ$2)</f>
        <v>0</v>
      </c>
      <c r="FK12">
        <f>COUNTIFS('Coded Passages'!$B:$B,$A12,'Coded Passages'!$E:$E,$B12,'Coded Passages'!$H:$H,FK$2)</f>
        <v>0</v>
      </c>
      <c r="FL12">
        <f>COUNTIFS('Coded Passages'!$B:$B,$A12,'Coded Passages'!$E:$E,$B12,'Coded Passages'!$H:$H,FL$2)</f>
        <v>0</v>
      </c>
      <c r="FM12">
        <f>COUNTIFS('Coded Passages'!$B:$B,$A12,'Coded Passages'!$E:$E,$B12,'Coded Passages'!$H:$H,FM$2)</f>
        <v>0</v>
      </c>
      <c r="FN12">
        <f>COUNTIFS('Coded Passages'!$B:$B,$A12,'Coded Passages'!$E:$E,$B12,'Coded Passages'!$H:$H,FN$2)</f>
        <v>0</v>
      </c>
      <c r="FO12">
        <f>COUNTIFS('Coded Passages'!$B:$B,$A12,'Coded Passages'!$E:$E,$B12,'Coded Passages'!$H:$H,FO$2)</f>
        <v>0</v>
      </c>
      <c r="FP12">
        <f t="shared" si="0"/>
        <v>24</v>
      </c>
    </row>
    <row r="13" spans="1:172" x14ac:dyDescent="0.45">
      <c r="A13" s="11" t="s">
        <v>14</v>
      </c>
      <c r="B13" s="16" t="s">
        <v>137</v>
      </c>
      <c r="C13">
        <f>COUNTIFS('Coded Passages'!$B:$B,$A13,'Coded Passages'!$E:$E,$B13,'Coded Passages'!$H:$H,C$2)</f>
        <v>0</v>
      </c>
      <c r="D13">
        <f>COUNTIFS('Coded Passages'!$B:$B,$A13,'Coded Passages'!$E:$E,$B13,'Coded Passages'!$H:$H,D$2)</f>
        <v>0</v>
      </c>
      <c r="E13">
        <f>COUNTIFS('Coded Passages'!$B:$B,$A13,'Coded Passages'!$E:$E,$B13,'Coded Passages'!$H:$H,E$2)</f>
        <v>0</v>
      </c>
      <c r="F13">
        <f>COUNTIFS('Coded Passages'!$B:$B,$A13,'Coded Passages'!$E:$E,$B13,'Coded Passages'!$H:$H,F$2)</f>
        <v>0</v>
      </c>
      <c r="G13">
        <f>COUNTIFS('Coded Passages'!$B:$B,$A13,'Coded Passages'!$E:$E,$B13,'Coded Passages'!$H:$H,G$2)</f>
        <v>0</v>
      </c>
      <c r="H13">
        <f>COUNTIFS('Coded Passages'!$B:$B,$A13,'Coded Passages'!$E:$E,$B13,'Coded Passages'!$H:$H,H$2)</f>
        <v>0</v>
      </c>
      <c r="I13">
        <f>COUNTIFS('Coded Passages'!$B:$B,$A13,'Coded Passages'!$E:$E,$B13,'Coded Passages'!$H:$H,I$2)</f>
        <v>1</v>
      </c>
      <c r="J13">
        <f>COUNTIFS('Coded Passages'!$B:$B,$A13,'Coded Passages'!$E:$E,$B13,'Coded Passages'!$H:$H,J$2)</f>
        <v>1</v>
      </c>
      <c r="K13">
        <f>COUNTIFS('Coded Passages'!$B:$B,$A13,'Coded Passages'!$E:$E,$B13,'Coded Passages'!$H:$H,K$2)</f>
        <v>1</v>
      </c>
      <c r="L13">
        <f>COUNTIFS('Coded Passages'!$B:$B,$A13,'Coded Passages'!$E:$E,$B13,'Coded Passages'!$H:$H,L$2)</f>
        <v>0</v>
      </c>
      <c r="M13">
        <f>COUNTIFS('Coded Passages'!$B:$B,$A13,'Coded Passages'!$E:$E,$B13,'Coded Passages'!$H:$H,M$2)</f>
        <v>0</v>
      </c>
      <c r="N13">
        <f>COUNTIFS('Coded Passages'!$B:$B,$A13,'Coded Passages'!$E:$E,$B13,'Coded Passages'!$H:$H,N$2)</f>
        <v>0</v>
      </c>
      <c r="O13">
        <f>COUNTIFS('Coded Passages'!$B:$B,$A13,'Coded Passages'!$E:$E,$B13,'Coded Passages'!$H:$H,O$2)</f>
        <v>0</v>
      </c>
      <c r="P13">
        <f>COUNTIFS('Coded Passages'!$B:$B,$A13,'Coded Passages'!$E:$E,$B13,'Coded Passages'!$H:$H,P$2)</f>
        <v>0</v>
      </c>
      <c r="Q13">
        <f>COUNTIFS('Coded Passages'!$B:$B,$A13,'Coded Passages'!$E:$E,$B13,'Coded Passages'!$H:$H,Q$2)</f>
        <v>0</v>
      </c>
      <c r="R13">
        <f>COUNTIFS('Coded Passages'!$B:$B,$A13,'Coded Passages'!$E:$E,$B13,'Coded Passages'!$H:$H,R$2)</f>
        <v>0</v>
      </c>
      <c r="S13">
        <f>COUNTIFS('Coded Passages'!$B:$B,$A13,'Coded Passages'!$E:$E,$B13,'Coded Passages'!$H:$H,S$2)</f>
        <v>0</v>
      </c>
      <c r="T13">
        <f>COUNTIFS('Coded Passages'!$B:$B,$A13,'Coded Passages'!$E:$E,$B13,'Coded Passages'!$H:$H,T$2)</f>
        <v>0</v>
      </c>
      <c r="U13">
        <f>COUNTIFS('Coded Passages'!$B:$B,$A13,'Coded Passages'!$E:$E,$B13,'Coded Passages'!$H:$H,U$2)</f>
        <v>0</v>
      </c>
      <c r="V13">
        <f>COUNTIFS('Coded Passages'!$B:$B,$A13,'Coded Passages'!$E:$E,$B13,'Coded Passages'!$H:$H,V$2)</f>
        <v>0</v>
      </c>
      <c r="W13">
        <f>COUNTIFS('Coded Passages'!$B:$B,$A13,'Coded Passages'!$E:$E,$B13,'Coded Passages'!$H:$H,W$2)</f>
        <v>0</v>
      </c>
      <c r="X13">
        <f>COUNTIFS('Coded Passages'!$B:$B,$A13,'Coded Passages'!$E:$E,$B13,'Coded Passages'!$H:$H,X$2)</f>
        <v>0</v>
      </c>
      <c r="Y13">
        <f>COUNTIFS('Coded Passages'!$B:$B,$A13,'Coded Passages'!$E:$E,$B13,'Coded Passages'!$H:$H,Y$2)</f>
        <v>0</v>
      </c>
      <c r="Z13">
        <f>COUNTIFS('Coded Passages'!$B:$B,$A13,'Coded Passages'!$E:$E,$B13,'Coded Passages'!$H:$H,Z$2)</f>
        <v>0</v>
      </c>
      <c r="AA13">
        <f>COUNTIFS('Coded Passages'!$B:$B,$A13,'Coded Passages'!$E:$E,$B13,'Coded Passages'!$H:$H,AA$2)</f>
        <v>0</v>
      </c>
      <c r="AB13">
        <f>COUNTIFS('Coded Passages'!$B:$B,$A13,'Coded Passages'!$E:$E,$B13,'Coded Passages'!$H:$H,AB$2)</f>
        <v>0</v>
      </c>
      <c r="AC13">
        <f>COUNTIFS('Coded Passages'!$B:$B,$A13,'Coded Passages'!$E:$E,$B13,'Coded Passages'!$H:$H,AC$2)</f>
        <v>0</v>
      </c>
      <c r="AD13">
        <f>COUNTIFS('Coded Passages'!$B:$B,$A13,'Coded Passages'!$E:$E,$B13,'Coded Passages'!$H:$H,AD$2)</f>
        <v>0</v>
      </c>
      <c r="AE13">
        <f>COUNTIFS('Coded Passages'!$B:$B,$A13,'Coded Passages'!$E:$E,$B13,'Coded Passages'!$H:$H,AE$2)</f>
        <v>1</v>
      </c>
      <c r="AF13">
        <f>COUNTIFS('Coded Passages'!$B:$B,$A13,'Coded Passages'!$E:$E,$B13,'Coded Passages'!$H:$H,AF$2)</f>
        <v>0</v>
      </c>
      <c r="AG13">
        <f>COUNTIFS('Coded Passages'!$B:$B,$A13,'Coded Passages'!$E:$E,$B13,'Coded Passages'!$H:$H,AG$2)</f>
        <v>1</v>
      </c>
      <c r="AH13">
        <f>COUNTIFS('Coded Passages'!$B:$B,$A13,'Coded Passages'!$E:$E,$B13,'Coded Passages'!$H:$H,AH$2)</f>
        <v>0</v>
      </c>
      <c r="AI13">
        <f>COUNTIFS('Coded Passages'!$B:$B,$A13,'Coded Passages'!$E:$E,$B13,'Coded Passages'!$H:$H,AI$2)</f>
        <v>1</v>
      </c>
      <c r="AJ13">
        <f>COUNTIFS('Coded Passages'!$B:$B,$A13,'Coded Passages'!$E:$E,$B13,'Coded Passages'!$H:$H,AJ$2)</f>
        <v>0</v>
      </c>
      <c r="AK13">
        <f>COUNTIFS('Coded Passages'!$B:$B,$A13,'Coded Passages'!$E:$E,$B13,'Coded Passages'!$H:$H,AK$2)</f>
        <v>0</v>
      </c>
      <c r="AL13">
        <f>COUNTIFS('Coded Passages'!$B:$B,$A13,'Coded Passages'!$E:$E,$B13,'Coded Passages'!$H:$H,AL$2)</f>
        <v>0</v>
      </c>
      <c r="AM13">
        <f>COUNTIFS('Coded Passages'!$B:$B,$A13,'Coded Passages'!$E:$E,$B13,'Coded Passages'!$H:$H,AM$2)</f>
        <v>0</v>
      </c>
      <c r="AN13">
        <f>COUNTIFS('Coded Passages'!$B:$B,$A13,'Coded Passages'!$E:$E,$B13,'Coded Passages'!$H:$H,AN$2)</f>
        <v>0</v>
      </c>
      <c r="AO13">
        <f>COUNTIFS('Coded Passages'!$B:$B,$A13,'Coded Passages'!$E:$E,$B13,'Coded Passages'!$H:$H,AO$2)</f>
        <v>0</v>
      </c>
      <c r="AP13">
        <f>COUNTIFS('Coded Passages'!$B:$B,$A13,'Coded Passages'!$E:$E,$B13,'Coded Passages'!$H:$H,AP$2)</f>
        <v>0</v>
      </c>
      <c r="AQ13">
        <f>COUNTIFS('Coded Passages'!$B:$B,$A13,'Coded Passages'!$E:$E,$B13,'Coded Passages'!$H:$H,AQ$2)</f>
        <v>0</v>
      </c>
      <c r="AR13">
        <f>COUNTIFS('Coded Passages'!$B:$B,$A13,'Coded Passages'!$E:$E,$B13,'Coded Passages'!$H:$H,AR$2)</f>
        <v>0</v>
      </c>
      <c r="AS13">
        <f>COUNTIFS('Coded Passages'!$B:$B,$A13,'Coded Passages'!$E:$E,$B13,'Coded Passages'!$H:$H,AS$2)</f>
        <v>0</v>
      </c>
      <c r="AT13">
        <f>COUNTIFS('Coded Passages'!$B:$B,$A13,'Coded Passages'!$E:$E,$B13,'Coded Passages'!$H:$H,AT$2)</f>
        <v>0</v>
      </c>
      <c r="AU13">
        <f>COUNTIFS('Coded Passages'!$B:$B,$A13,'Coded Passages'!$E:$E,$B13,'Coded Passages'!$H:$H,AU$2)</f>
        <v>0</v>
      </c>
      <c r="AV13">
        <f>COUNTIFS('Coded Passages'!$B:$B,$A13,'Coded Passages'!$E:$E,$B13,'Coded Passages'!$H:$H,AV$2)</f>
        <v>0</v>
      </c>
      <c r="AW13">
        <f>COUNTIFS('Coded Passages'!$B:$B,$A13,'Coded Passages'!$E:$E,$B13,'Coded Passages'!$H:$H,AW$2)</f>
        <v>0</v>
      </c>
      <c r="AX13">
        <f>COUNTIFS('Coded Passages'!$B:$B,$A13,'Coded Passages'!$E:$E,$B13,'Coded Passages'!$H:$H,AX$2)</f>
        <v>0</v>
      </c>
      <c r="AY13">
        <f>COUNTIFS('Coded Passages'!$B:$B,$A13,'Coded Passages'!$E:$E,$B13,'Coded Passages'!$H:$H,AY$2)</f>
        <v>1</v>
      </c>
      <c r="AZ13">
        <f>COUNTIFS('Coded Passages'!$B:$B,$A13,'Coded Passages'!$E:$E,$B13,'Coded Passages'!$H:$H,AZ$2)</f>
        <v>1</v>
      </c>
      <c r="BA13">
        <f>COUNTIFS('Coded Passages'!$B:$B,$A13,'Coded Passages'!$E:$E,$B13,'Coded Passages'!$H:$H,BA$2)</f>
        <v>0</v>
      </c>
      <c r="BB13">
        <f>COUNTIFS('Coded Passages'!$B:$B,$A13,'Coded Passages'!$E:$E,$B13,'Coded Passages'!$H:$H,BB$2)</f>
        <v>0</v>
      </c>
      <c r="BC13">
        <f>COUNTIFS('Coded Passages'!$B:$B,$A13,'Coded Passages'!$E:$E,$B13,'Coded Passages'!$H:$H,BC$2)</f>
        <v>0</v>
      </c>
      <c r="BD13">
        <f>COUNTIFS('Coded Passages'!$B:$B,$A13,'Coded Passages'!$E:$E,$B13,'Coded Passages'!$H:$H,BD$2)</f>
        <v>0</v>
      </c>
      <c r="BE13">
        <f>COUNTIFS('Coded Passages'!$B:$B,$A13,'Coded Passages'!$E:$E,$B13,'Coded Passages'!$H:$H,BE$2)</f>
        <v>0</v>
      </c>
      <c r="BF13">
        <f>COUNTIFS('Coded Passages'!$B:$B,$A13,'Coded Passages'!$E:$E,$B13,'Coded Passages'!$H:$H,BF$2)</f>
        <v>0</v>
      </c>
      <c r="BG13">
        <f>COUNTIFS('Coded Passages'!$B:$B,$A13,'Coded Passages'!$E:$E,$B13,'Coded Passages'!$H:$H,BG$2)</f>
        <v>0</v>
      </c>
      <c r="BH13">
        <f>COUNTIFS('Coded Passages'!$B:$B,$A13,'Coded Passages'!$E:$E,$B13,'Coded Passages'!$H:$H,BH$2)</f>
        <v>0</v>
      </c>
      <c r="BI13">
        <f>COUNTIFS('Coded Passages'!$B:$B,$A13,'Coded Passages'!$E:$E,$B13,'Coded Passages'!$H:$H,BI$2)</f>
        <v>0</v>
      </c>
      <c r="BJ13">
        <f>COUNTIFS('Coded Passages'!$B:$B,$A13,'Coded Passages'!$E:$E,$B13,'Coded Passages'!$H:$H,BJ$2)</f>
        <v>0</v>
      </c>
      <c r="BK13">
        <f>COUNTIFS('Coded Passages'!$B:$B,$A13,'Coded Passages'!$E:$E,$B13,'Coded Passages'!$H:$H,BK$2)</f>
        <v>1</v>
      </c>
      <c r="BL13">
        <f>COUNTIFS('Coded Passages'!$B:$B,$A13,'Coded Passages'!$E:$E,$B13,'Coded Passages'!$H:$H,BL$2)</f>
        <v>0</v>
      </c>
      <c r="BM13">
        <f>COUNTIFS('Coded Passages'!$B:$B,$A13,'Coded Passages'!$E:$E,$B13,'Coded Passages'!$H:$H,BM$2)</f>
        <v>0</v>
      </c>
      <c r="BN13">
        <f>COUNTIFS('Coded Passages'!$B:$B,$A13,'Coded Passages'!$E:$E,$B13,'Coded Passages'!$H:$H,BN$2)</f>
        <v>0</v>
      </c>
      <c r="BO13">
        <f>COUNTIFS('Coded Passages'!$B:$B,$A13,'Coded Passages'!$E:$E,$B13,'Coded Passages'!$H:$H,BO$2)</f>
        <v>0</v>
      </c>
      <c r="BP13">
        <f>COUNTIFS('Coded Passages'!$B:$B,$A13,'Coded Passages'!$E:$E,$B13,'Coded Passages'!$H:$H,BP$2)</f>
        <v>0</v>
      </c>
      <c r="BQ13">
        <f>COUNTIFS('Coded Passages'!$B:$B,$A13,'Coded Passages'!$E:$E,$B13,'Coded Passages'!$H:$H,BQ$2)</f>
        <v>0</v>
      </c>
      <c r="BR13">
        <f>COUNTIFS('Coded Passages'!$B:$B,$A13,'Coded Passages'!$E:$E,$B13,'Coded Passages'!$H:$H,BR$2)</f>
        <v>0</v>
      </c>
      <c r="BS13">
        <f>COUNTIFS('Coded Passages'!$B:$B,$A13,'Coded Passages'!$E:$E,$B13,'Coded Passages'!$H:$H,BS$2)</f>
        <v>0</v>
      </c>
      <c r="BT13">
        <f>COUNTIFS('Coded Passages'!$B:$B,$A13,'Coded Passages'!$E:$E,$B13,'Coded Passages'!$H:$H,BT$2)</f>
        <v>1</v>
      </c>
      <c r="BU13">
        <f>COUNTIFS('Coded Passages'!$B:$B,$A13,'Coded Passages'!$E:$E,$B13,'Coded Passages'!$H:$H,BU$2)</f>
        <v>1</v>
      </c>
      <c r="BV13">
        <f>COUNTIFS('Coded Passages'!$B:$B,$A13,'Coded Passages'!$E:$E,$B13,'Coded Passages'!$H:$H,BV$2)</f>
        <v>0</v>
      </c>
      <c r="BW13">
        <f>COUNTIFS('Coded Passages'!$B:$B,$A13,'Coded Passages'!$E:$E,$B13,'Coded Passages'!$H:$H,BW$2)</f>
        <v>0</v>
      </c>
      <c r="BX13">
        <f>COUNTIFS('Coded Passages'!$B:$B,$A13,'Coded Passages'!$E:$E,$B13,'Coded Passages'!$H:$H,BX$2)</f>
        <v>0</v>
      </c>
      <c r="BY13">
        <f>COUNTIFS('Coded Passages'!$B:$B,$A13,'Coded Passages'!$E:$E,$B13,'Coded Passages'!$H:$H,BY$2)</f>
        <v>0</v>
      </c>
      <c r="BZ13">
        <f>COUNTIFS('Coded Passages'!$B:$B,$A13,'Coded Passages'!$E:$E,$B13,'Coded Passages'!$H:$H,BZ$2)</f>
        <v>0</v>
      </c>
      <c r="CA13">
        <f>COUNTIFS('Coded Passages'!$B:$B,$A13,'Coded Passages'!$E:$E,$B13,'Coded Passages'!$H:$H,CA$2)</f>
        <v>0</v>
      </c>
      <c r="CB13">
        <f>COUNTIFS('Coded Passages'!$B:$B,$A13,'Coded Passages'!$E:$E,$B13,'Coded Passages'!$H:$H,CB$2)</f>
        <v>0</v>
      </c>
      <c r="CC13">
        <f>COUNTIFS('Coded Passages'!$B:$B,$A13,'Coded Passages'!$E:$E,$B13,'Coded Passages'!$H:$H,CC$2)</f>
        <v>0</v>
      </c>
      <c r="CD13">
        <f>COUNTIFS('Coded Passages'!$B:$B,$A13,'Coded Passages'!$E:$E,$B13,'Coded Passages'!$H:$H,CD$2)</f>
        <v>0</v>
      </c>
      <c r="CE13">
        <f>COUNTIFS('Coded Passages'!$B:$B,$A13,'Coded Passages'!$E:$E,$B13,'Coded Passages'!$H:$H,CE$2)</f>
        <v>0</v>
      </c>
      <c r="CF13">
        <f>COUNTIFS('Coded Passages'!$B:$B,$A13,'Coded Passages'!$E:$E,$B13,'Coded Passages'!$H:$H,CF$2)</f>
        <v>0</v>
      </c>
      <c r="CG13">
        <f>COUNTIFS('Coded Passages'!$B:$B,$A13,'Coded Passages'!$E:$E,$B13,'Coded Passages'!$H:$H,CG$2)</f>
        <v>0</v>
      </c>
      <c r="CH13">
        <f>COUNTIFS('Coded Passages'!$B:$B,$A13,'Coded Passages'!$E:$E,$B13,'Coded Passages'!$H:$H,CH$2)</f>
        <v>0</v>
      </c>
      <c r="CI13">
        <f>COUNTIFS('Coded Passages'!$B:$B,$A13,'Coded Passages'!$E:$E,$B13,'Coded Passages'!$H:$H,CI$2)</f>
        <v>1</v>
      </c>
      <c r="CJ13">
        <f>COUNTIFS('Coded Passages'!$B:$B,$A13,'Coded Passages'!$E:$E,$B13,'Coded Passages'!$H:$H,CJ$2)</f>
        <v>0</v>
      </c>
      <c r="CK13">
        <f>COUNTIFS('Coded Passages'!$B:$B,$A13,'Coded Passages'!$E:$E,$B13,'Coded Passages'!$H:$H,CK$2)</f>
        <v>0</v>
      </c>
      <c r="CL13">
        <f>COUNTIFS('Coded Passages'!$B:$B,$A13,'Coded Passages'!$E:$E,$B13,'Coded Passages'!$H:$H,CL$2)</f>
        <v>1</v>
      </c>
      <c r="CM13">
        <f>COUNTIFS('Coded Passages'!$B:$B,$A13,'Coded Passages'!$E:$E,$B13,'Coded Passages'!$H:$H,CM$2)</f>
        <v>0</v>
      </c>
      <c r="CN13">
        <f>COUNTIFS('Coded Passages'!$B:$B,$A13,'Coded Passages'!$E:$E,$B13,'Coded Passages'!$H:$H,CN$2)</f>
        <v>0</v>
      </c>
      <c r="CO13">
        <f>COUNTIFS('Coded Passages'!$B:$B,$A13,'Coded Passages'!$E:$E,$B13,'Coded Passages'!$H:$H,CO$2)</f>
        <v>0</v>
      </c>
      <c r="CP13">
        <f>COUNTIFS('Coded Passages'!$B:$B,$A13,'Coded Passages'!$E:$E,$B13,'Coded Passages'!$H:$H,CP$2)</f>
        <v>0</v>
      </c>
      <c r="CQ13">
        <f>COUNTIFS('Coded Passages'!$B:$B,$A13,'Coded Passages'!$E:$E,$B13,'Coded Passages'!$H:$H,CQ$2)</f>
        <v>0</v>
      </c>
      <c r="CR13">
        <f>COUNTIFS('Coded Passages'!$B:$B,$A13,'Coded Passages'!$E:$E,$B13,'Coded Passages'!$H:$H,CR$2)</f>
        <v>0</v>
      </c>
      <c r="CS13">
        <f>COUNTIFS('Coded Passages'!$B:$B,$A13,'Coded Passages'!$E:$E,$B13,'Coded Passages'!$H:$H,CS$2)</f>
        <v>0</v>
      </c>
      <c r="CT13">
        <f>COUNTIFS('Coded Passages'!$B:$B,$A13,'Coded Passages'!$E:$E,$B13,'Coded Passages'!$H:$H,CT$2)</f>
        <v>0</v>
      </c>
      <c r="CU13">
        <f>COUNTIFS('Coded Passages'!$B:$B,$A13,'Coded Passages'!$E:$E,$B13,'Coded Passages'!$H:$H,CU$2)</f>
        <v>0</v>
      </c>
      <c r="CV13">
        <f>COUNTIFS('Coded Passages'!$B:$B,$A13,'Coded Passages'!$E:$E,$B13,'Coded Passages'!$H:$H,CV$2)</f>
        <v>0</v>
      </c>
      <c r="CW13">
        <f>COUNTIFS('Coded Passages'!$B:$B,$A13,'Coded Passages'!$E:$E,$B13,'Coded Passages'!$H:$H,CW$2)</f>
        <v>0</v>
      </c>
      <c r="CX13">
        <f>COUNTIFS('Coded Passages'!$B:$B,$A13,'Coded Passages'!$E:$E,$B13,'Coded Passages'!$H:$H,CX$2)</f>
        <v>0</v>
      </c>
      <c r="CY13">
        <f>COUNTIFS('Coded Passages'!$B:$B,$A13,'Coded Passages'!$E:$E,$B13,'Coded Passages'!$H:$H,CY$2)</f>
        <v>0</v>
      </c>
      <c r="CZ13">
        <f>COUNTIFS('Coded Passages'!$B:$B,$A13,'Coded Passages'!$E:$E,$B13,'Coded Passages'!$H:$H,CZ$2)</f>
        <v>0</v>
      </c>
      <c r="DA13">
        <f>COUNTIFS('Coded Passages'!$B:$B,$A13,'Coded Passages'!$E:$E,$B13,'Coded Passages'!$H:$H,DA$2)</f>
        <v>0</v>
      </c>
      <c r="DB13">
        <f>COUNTIFS('Coded Passages'!$B:$B,$A13,'Coded Passages'!$E:$E,$B13,'Coded Passages'!$H:$H,DB$2)</f>
        <v>0</v>
      </c>
      <c r="DC13">
        <f>COUNTIFS('Coded Passages'!$B:$B,$A13,'Coded Passages'!$E:$E,$B13,'Coded Passages'!$H:$H,DC$2)</f>
        <v>0</v>
      </c>
      <c r="DD13">
        <f>COUNTIFS('Coded Passages'!$B:$B,$A13,'Coded Passages'!$E:$E,$B13,'Coded Passages'!$H:$H,DD$2)</f>
        <v>0</v>
      </c>
      <c r="DE13">
        <f>COUNTIFS('Coded Passages'!$B:$B,$A13,'Coded Passages'!$E:$E,$B13,'Coded Passages'!$H:$H,DE$2)</f>
        <v>0</v>
      </c>
      <c r="DF13">
        <f>COUNTIFS('Coded Passages'!$B:$B,$A13,'Coded Passages'!$E:$E,$B13,'Coded Passages'!$H:$H,DF$2)</f>
        <v>0</v>
      </c>
      <c r="DG13">
        <f>COUNTIFS('Coded Passages'!$B:$B,$A13,'Coded Passages'!$E:$E,$B13,'Coded Passages'!$H:$H,DG$2)</f>
        <v>0</v>
      </c>
      <c r="DH13">
        <f>COUNTIFS('Coded Passages'!$B:$B,$A13,'Coded Passages'!$E:$E,$B13,'Coded Passages'!$H:$H,DH$2)</f>
        <v>0</v>
      </c>
      <c r="DI13">
        <f>COUNTIFS('Coded Passages'!$B:$B,$A13,'Coded Passages'!$E:$E,$B13,'Coded Passages'!$H:$H,DI$2)</f>
        <v>0</v>
      </c>
      <c r="DJ13">
        <f>COUNTIFS('Coded Passages'!$B:$B,$A13,'Coded Passages'!$E:$E,$B13,'Coded Passages'!$H:$H,DJ$2)</f>
        <v>0</v>
      </c>
      <c r="DK13">
        <f>COUNTIFS('Coded Passages'!$B:$B,$A13,'Coded Passages'!$E:$E,$B13,'Coded Passages'!$H:$H,DK$2)</f>
        <v>1</v>
      </c>
      <c r="DL13">
        <f>COUNTIFS('Coded Passages'!$B:$B,$A13,'Coded Passages'!$E:$E,$B13,'Coded Passages'!$H:$H,DL$2)</f>
        <v>0</v>
      </c>
      <c r="DM13">
        <f>COUNTIFS('Coded Passages'!$B:$B,$A13,'Coded Passages'!$E:$E,$B13,'Coded Passages'!$H:$H,DM$2)</f>
        <v>0</v>
      </c>
      <c r="DN13">
        <f>COUNTIFS('Coded Passages'!$B:$B,$A13,'Coded Passages'!$E:$E,$B13,'Coded Passages'!$H:$H,DN$2)</f>
        <v>0</v>
      </c>
      <c r="DO13">
        <f>COUNTIFS('Coded Passages'!$B:$B,$A13,'Coded Passages'!$E:$E,$B13,'Coded Passages'!$H:$H,DO$2)</f>
        <v>0</v>
      </c>
      <c r="DP13">
        <f>COUNTIFS('Coded Passages'!$B:$B,$A13,'Coded Passages'!$E:$E,$B13,'Coded Passages'!$H:$H,DP$2)</f>
        <v>0</v>
      </c>
      <c r="DQ13">
        <f>COUNTIFS('Coded Passages'!$B:$B,$A13,'Coded Passages'!$E:$E,$B13,'Coded Passages'!$H:$H,DQ$2)</f>
        <v>0</v>
      </c>
      <c r="DR13">
        <f>COUNTIFS('Coded Passages'!$B:$B,$A13,'Coded Passages'!$E:$E,$B13,'Coded Passages'!$H:$H,DR$2)</f>
        <v>0</v>
      </c>
      <c r="DS13">
        <f>COUNTIFS('Coded Passages'!$B:$B,$A13,'Coded Passages'!$E:$E,$B13,'Coded Passages'!$H:$H,DS$2)</f>
        <v>0</v>
      </c>
      <c r="DT13">
        <f>COUNTIFS('Coded Passages'!$B:$B,$A13,'Coded Passages'!$E:$E,$B13,'Coded Passages'!$H:$H,DT$2)</f>
        <v>0</v>
      </c>
      <c r="DU13">
        <f>COUNTIFS('Coded Passages'!$B:$B,$A13,'Coded Passages'!$E:$E,$B13,'Coded Passages'!$H:$H,DU$2)</f>
        <v>0</v>
      </c>
      <c r="DV13">
        <f>COUNTIFS('Coded Passages'!$B:$B,$A13,'Coded Passages'!$E:$E,$B13,'Coded Passages'!$H:$H,DV$2)</f>
        <v>0</v>
      </c>
      <c r="DW13">
        <f>COUNTIFS('Coded Passages'!$B:$B,$A13,'Coded Passages'!$E:$E,$B13,'Coded Passages'!$H:$H,DW$2)</f>
        <v>0</v>
      </c>
      <c r="DX13">
        <f>COUNTIFS('Coded Passages'!$B:$B,$A13,'Coded Passages'!$E:$E,$B13,'Coded Passages'!$H:$H,DX$2)</f>
        <v>0</v>
      </c>
      <c r="DY13">
        <f>COUNTIFS('Coded Passages'!$B:$B,$A13,'Coded Passages'!$E:$E,$B13,'Coded Passages'!$H:$H,DY$2)</f>
        <v>0</v>
      </c>
      <c r="DZ13">
        <f>COUNTIFS('Coded Passages'!$B:$B,$A13,'Coded Passages'!$E:$E,$B13,'Coded Passages'!$H:$H,DZ$2)</f>
        <v>0</v>
      </c>
      <c r="EA13">
        <f>COUNTIFS('Coded Passages'!$B:$B,$A13,'Coded Passages'!$E:$E,$B13,'Coded Passages'!$H:$H,EA$2)</f>
        <v>0</v>
      </c>
      <c r="EB13">
        <f>COUNTIFS('Coded Passages'!$B:$B,$A13,'Coded Passages'!$E:$E,$B13,'Coded Passages'!$H:$H,EB$2)</f>
        <v>0</v>
      </c>
      <c r="EC13">
        <f>COUNTIFS('Coded Passages'!$B:$B,$A13,'Coded Passages'!$E:$E,$B13,'Coded Passages'!$H:$H,EC$2)</f>
        <v>0</v>
      </c>
      <c r="ED13">
        <f>COUNTIFS('Coded Passages'!$B:$B,$A13,'Coded Passages'!$E:$E,$B13,'Coded Passages'!$H:$H,ED$2)</f>
        <v>0</v>
      </c>
      <c r="EE13">
        <f>COUNTIFS('Coded Passages'!$B:$B,$A13,'Coded Passages'!$E:$E,$B13,'Coded Passages'!$H:$H,EE$2)</f>
        <v>0</v>
      </c>
      <c r="EF13">
        <f>COUNTIFS('Coded Passages'!$B:$B,$A13,'Coded Passages'!$E:$E,$B13,'Coded Passages'!$H:$H,EF$2)</f>
        <v>0</v>
      </c>
      <c r="EG13">
        <f>COUNTIFS('Coded Passages'!$B:$B,$A13,'Coded Passages'!$E:$E,$B13,'Coded Passages'!$H:$H,EG$2)</f>
        <v>0</v>
      </c>
      <c r="EH13">
        <f>COUNTIFS('Coded Passages'!$B:$B,$A13,'Coded Passages'!$E:$E,$B13,'Coded Passages'!$H:$H,EH$2)</f>
        <v>0</v>
      </c>
      <c r="EI13">
        <f>COUNTIFS('Coded Passages'!$B:$B,$A13,'Coded Passages'!$E:$E,$B13,'Coded Passages'!$H:$H,EI$2)</f>
        <v>0</v>
      </c>
      <c r="EJ13">
        <f>COUNTIFS('Coded Passages'!$B:$B,$A13,'Coded Passages'!$E:$E,$B13,'Coded Passages'!$H:$H,EJ$2)</f>
        <v>0</v>
      </c>
      <c r="EK13">
        <f>COUNTIFS('Coded Passages'!$B:$B,$A13,'Coded Passages'!$E:$E,$B13,'Coded Passages'!$H:$H,EK$2)</f>
        <v>0</v>
      </c>
      <c r="EL13">
        <f>COUNTIFS('Coded Passages'!$B:$B,$A13,'Coded Passages'!$E:$E,$B13,'Coded Passages'!$H:$H,EL$2)</f>
        <v>0</v>
      </c>
      <c r="EM13">
        <f>COUNTIFS('Coded Passages'!$B:$B,$A13,'Coded Passages'!$E:$E,$B13,'Coded Passages'!$H:$H,EM$2)</f>
        <v>0</v>
      </c>
      <c r="EN13">
        <f>COUNTIFS('Coded Passages'!$B:$B,$A13,'Coded Passages'!$E:$E,$B13,'Coded Passages'!$H:$H,EN$2)</f>
        <v>0</v>
      </c>
      <c r="EO13">
        <f>COUNTIFS('Coded Passages'!$B:$B,$A13,'Coded Passages'!$E:$E,$B13,'Coded Passages'!$H:$H,EO$2)</f>
        <v>0</v>
      </c>
      <c r="EP13">
        <f>COUNTIFS('Coded Passages'!$B:$B,$A13,'Coded Passages'!$E:$E,$B13,'Coded Passages'!$H:$H,EP$2)</f>
        <v>0</v>
      </c>
      <c r="EQ13">
        <f>COUNTIFS('Coded Passages'!$B:$B,$A13,'Coded Passages'!$E:$E,$B13,'Coded Passages'!$H:$H,EQ$2)</f>
        <v>0</v>
      </c>
      <c r="ER13">
        <f>COUNTIFS('Coded Passages'!$B:$B,$A13,'Coded Passages'!$E:$E,$B13,'Coded Passages'!$H:$H,ER$2)</f>
        <v>0</v>
      </c>
      <c r="ES13">
        <f>COUNTIFS('Coded Passages'!$B:$B,$A13,'Coded Passages'!$E:$E,$B13,'Coded Passages'!$H:$H,ES$2)</f>
        <v>0</v>
      </c>
      <c r="ET13">
        <f>COUNTIFS('Coded Passages'!$B:$B,$A13,'Coded Passages'!$E:$E,$B13,'Coded Passages'!$H:$H,ET$2)</f>
        <v>0</v>
      </c>
      <c r="EU13">
        <f>COUNTIFS('Coded Passages'!$B:$B,$A13,'Coded Passages'!$E:$E,$B13,'Coded Passages'!$H:$H,EU$2)</f>
        <v>0</v>
      </c>
      <c r="EV13">
        <f>COUNTIFS('Coded Passages'!$B:$B,$A13,'Coded Passages'!$E:$E,$B13,'Coded Passages'!$H:$H,EV$2)</f>
        <v>0</v>
      </c>
      <c r="EW13">
        <f>COUNTIFS('Coded Passages'!$B:$B,$A13,'Coded Passages'!$E:$E,$B13,'Coded Passages'!$H:$H,EW$2)</f>
        <v>0</v>
      </c>
      <c r="EX13">
        <f>COUNTIFS('Coded Passages'!$B:$B,$A13,'Coded Passages'!$E:$E,$B13,'Coded Passages'!$H:$H,EX$2)</f>
        <v>0</v>
      </c>
      <c r="EY13">
        <f>COUNTIFS('Coded Passages'!$B:$B,$A13,'Coded Passages'!$E:$E,$B13,'Coded Passages'!$H:$H,EY$2)</f>
        <v>0</v>
      </c>
      <c r="EZ13">
        <f>COUNTIFS('Coded Passages'!$B:$B,$A13,'Coded Passages'!$E:$E,$B13,'Coded Passages'!$H:$H,EZ$2)</f>
        <v>0</v>
      </c>
      <c r="FA13">
        <f>COUNTIFS('Coded Passages'!$B:$B,$A13,'Coded Passages'!$E:$E,$B13,'Coded Passages'!$H:$H,FA$2)</f>
        <v>0</v>
      </c>
      <c r="FB13">
        <f>COUNTIFS('Coded Passages'!$B:$B,$A13,'Coded Passages'!$E:$E,$B13,'Coded Passages'!$H:$H,FB$2)</f>
        <v>0</v>
      </c>
      <c r="FC13">
        <f>COUNTIFS('Coded Passages'!$B:$B,$A13,'Coded Passages'!$E:$E,$B13,'Coded Passages'!$H:$H,FC$2)</f>
        <v>0</v>
      </c>
      <c r="FD13">
        <f>COUNTIFS('Coded Passages'!$B:$B,$A13,'Coded Passages'!$E:$E,$B13,'Coded Passages'!$H:$H,FD$2)</f>
        <v>0</v>
      </c>
      <c r="FE13">
        <f>COUNTIFS('Coded Passages'!$B:$B,$A13,'Coded Passages'!$E:$E,$B13,'Coded Passages'!$H:$H,FE$2)</f>
        <v>0</v>
      </c>
      <c r="FF13">
        <f>COUNTIFS('Coded Passages'!$B:$B,$A13,'Coded Passages'!$E:$E,$B13,'Coded Passages'!$H:$H,FF$2)</f>
        <v>0</v>
      </c>
      <c r="FG13">
        <f>COUNTIFS('Coded Passages'!$B:$B,$A13,'Coded Passages'!$E:$E,$B13,'Coded Passages'!$H:$H,FG$2)</f>
        <v>0</v>
      </c>
      <c r="FH13">
        <f>COUNTIFS('Coded Passages'!$B:$B,$A13,'Coded Passages'!$E:$E,$B13,'Coded Passages'!$H:$H,FH$2)</f>
        <v>0</v>
      </c>
      <c r="FI13">
        <f>COUNTIFS('Coded Passages'!$B:$B,$A13,'Coded Passages'!$E:$E,$B13,'Coded Passages'!$H:$H,FI$2)</f>
        <v>0</v>
      </c>
      <c r="FJ13">
        <f>COUNTIFS('Coded Passages'!$B:$B,$A13,'Coded Passages'!$E:$E,$B13,'Coded Passages'!$H:$H,FJ$2)</f>
        <v>0</v>
      </c>
      <c r="FK13">
        <f>COUNTIFS('Coded Passages'!$B:$B,$A13,'Coded Passages'!$E:$E,$B13,'Coded Passages'!$H:$H,FK$2)</f>
        <v>0</v>
      </c>
      <c r="FL13">
        <f>COUNTIFS('Coded Passages'!$B:$B,$A13,'Coded Passages'!$E:$E,$B13,'Coded Passages'!$H:$H,FL$2)</f>
        <v>0</v>
      </c>
      <c r="FM13">
        <f>COUNTIFS('Coded Passages'!$B:$B,$A13,'Coded Passages'!$E:$E,$B13,'Coded Passages'!$H:$H,FM$2)</f>
        <v>0</v>
      </c>
      <c r="FN13">
        <f>COUNTIFS('Coded Passages'!$B:$B,$A13,'Coded Passages'!$E:$E,$B13,'Coded Passages'!$H:$H,FN$2)</f>
        <v>0</v>
      </c>
      <c r="FO13">
        <f>COUNTIFS('Coded Passages'!$B:$B,$A13,'Coded Passages'!$E:$E,$B13,'Coded Passages'!$H:$H,FO$2)</f>
        <v>0</v>
      </c>
      <c r="FP13">
        <f t="shared" si="0"/>
        <v>14</v>
      </c>
    </row>
    <row r="14" spans="1:172" x14ac:dyDescent="0.45">
      <c r="A14" s="11" t="s">
        <v>14</v>
      </c>
      <c r="B14" s="16" t="s">
        <v>96</v>
      </c>
      <c r="C14">
        <f>COUNTIFS('Coded Passages'!$B:$B,$A14,'Coded Passages'!$E:$E,$B14,'Coded Passages'!$H:$H,C$2)</f>
        <v>0</v>
      </c>
      <c r="D14">
        <f>COUNTIFS('Coded Passages'!$B:$B,$A14,'Coded Passages'!$E:$E,$B14,'Coded Passages'!$H:$H,D$2)</f>
        <v>0</v>
      </c>
      <c r="E14">
        <f>COUNTIFS('Coded Passages'!$B:$B,$A14,'Coded Passages'!$E:$E,$B14,'Coded Passages'!$H:$H,E$2)</f>
        <v>0</v>
      </c>
      <c r="F14">
        <f>COUNTIFS('Coded Passages'!$B:$B,$A14,'Coded Passages'!$E:$E,$B14,'Coded Passages'!$H:$H,F$2)</f>
        <v>0</v>
      </c>
      <c r="G14">
        <f>COUNTIFS('Coded Passages'!$B:$B,$A14,'Coded Passages'!$E:$E,$B14,'Coded Passages'!$H:$H,G$2)</f>
        <v>2</v>
      </c>
      <c r="H14">
        <f>COUNTIFS('Coded Passages'!$B:$B,$A14,'Coded Passages'!$E:$E,$B14,'Coded Passages'!$H:$H,H$2)</f>
        <v>0</v>
      </c>
      <c r="I14">
        <f>COUNTIFS('Coded Passages'!$B:$B,$A14,'Coded Passages'!$E:$E,$B14,'Coded Passages'!$H:$H,I$2)</f>
        <v>0</v>
      </c>
      <c r="J14">
        <f>COUNTIFS('Coded Passages'!$B:$B,$A14,'Coded Passages'!$E:$E,$B14,'Coded Passages'!$H:$H,J$2)</f>
        <v>0</v>
      </c>
      <c r="K14">
        <f>COUNTIFS('Coded Passages'!$B:$B,$A14,'Coded Passages'!$E:$E,$B14,'Coded Passages'!$H:$H,K$2)</f>
        <v>0</v>
      </c>
      <c r="L14">
        <f>COUNTIFS('Coded Passages'!$B:$B,$A14,'Coded Passages'!$E:$E,$B14,'Coded Passages'!$H:$H,L$2)</f>
        <v>0</v>
      </c>
      <c r="M14">
        <f>COUNTIFS('Coded Passages'!$B:$B,$A14,'Coded Passages'!$E:$E,$B14,'Coded Passages'!$H:$H,M$2)</f>
        <v>0</v>
      </c>
      <c r="N14">
        <f>COUNTIFS('Coded Passages'!$B:$B,$A14,'Coded Passages'!$E:$E,$B14,'Coded Passages'!$H:$H,N$2)</f>
        <v>0</v>
      </c>
      <c r="O14">
        <f>COUNTIFS('Coded Passages'!$B:$B,$A14,'Coded Passages'!$E:$E,$B14,'Coded Passages'!$H:$H,O$2)</f>
        <v>0</v>
      </c>
      <c r="P14">
        <f>COUNTIFS('Coded Passages'!$B:$B,$A14,'Coded Passages'!$E:$E,$B14,'Coded Passages'!$H:$H,P$2)</f>
        <v>0</v>
      </c>
      <c r="Q14">
        <f>COUNTIFS('Coded Passages'!$B:$B,$A14,'Coded Passages'!$E:$E,$B14,'Coded Passages'!$H:$H,Q$2)</f>
        <v>0</v>
      </c>
      <c r="R14">
        <f>COUNTIFS('Coded Passages'!$B:$B,$A14,'Coded Passages'!$E:$E,$B14,'Coded Passages'!$H:$H,R$2)</f>
        <v>0</v>
      </c>
      <c r="S14">
        <f>COUNTIFS('Coded Passages'!$B:$B,$A14,'Coded Passages'!$E:$E,$B14,'Coded Passages'!$H:$H,S$2)</f>
        <v>0</v>
      </c>
      <c r="T14">
        <f>COUNTIFS('Coded Passages'!$B:$B,$A14,'Coded Passages'!$E:$E,$B14,'Coded Passages'!$H:$H,T$2)</f>
        <v>0</v>
      </c>
      <c r="U14">
        <f>COUNTIFS('Coded Passages'!$B:$B,$A14,'Coded Passages'!$E:$E,$B14,'Coded Passages'!$H:$H,U$2)</f>
        <v>0</v>
      </c>
      <c r="V14">
        <f>COUNTIFS('Coded Passages'!$B:$B,$A14,'Coded Passages'!$E:$E,$B14,'Coded Passages'!$H:$H,V$2)</f>
        <v>0</v>
      </c>
      <c r="W14">
        <f>COUNTIFS('Coded Passages'!$B:$B,$A14,'Coded Passages'!$E:$E,$B14,'Coded Passages'!$H:$H,W$2)</f>
        <v>0</v>
      </c>
      <c r="X14">
        <f>COUNTIFS('Coded Passages'!$B:$B,$A14,'Coded Passages'!$E:$E,$B14,'Coded Passages'!$H:$H,X$2)</f>
        <v>0</v>
      </c>
      <c r="Y14">
        <f>COUNTIFS('Coded Passages'!$B:$B,$A14,'Coded Passages'!$E:$E,$B14,'Coded Passages'!$H:$H,Y$2)</f>
        <v>0</v>
      </c>
      <c r="Z14">
        <f>COUNTIFS('Coded Passages'!$B:$B,$A14,'Coded Passages'!$E:$E,$B14,'Coded Passages'!$H:$H,Z$2)</f>
        <v>0</v>
      </c>
      <c r="AA14">
        <f>COUNTIFS('Coded Passages'!$B:$B,$A14,'Coded Passages'!$E:$E,$B14,'Coded Passages'!$H:$H,AA$2)</f>
        <v>0</v>
      </c>
      <c r="AB14">
        <f>COUNTIFS('Coded Passages'!$B:$B,$A14,'Coded Passages'!$E:$E,$B14,'Coded Passages'!$H:$H,AB$2)</f>
        <v>0</v>
      </c>
      <c r="AC14">
        <f>COUNTIFS('Coded Passages'!$B:$B,$A14,'Coded Passages'!$E:$E,$B14,'Coded Passages'!$H:$H,AC$2)</f>
        <v>0</v>
      </c>
      <c r="AD14">
        <f>COUNTIFS('Coded Passages'!$B:$B,$A14,'Coded Passages'!$E:$E,$B14,'Coded Passages'!$H:$H,AD$2)</f>
        <v>1</v>
      </c>
      <c r="AE14">
        <f>COUNTIFS('Coded Passages'!$B:$B,$A14,'Coded Passages'!$E:$E,$B14,'Coded Passages'!$H:$H,AE$2)</f>
        <v>0</v>
      </c>
      <c r="AF14">
        <f>COUNTIFS('Coded Passages'!$B:$B,$A14,'Coded Passages'!$E:$E,$B14,'Coded Passages'!$H:$H,AF$2)</f>
        <v>0</v>
      </c>
      <c r="AG14">
        <f>COUNTIFS('Coded Passages'!$B:$B,$A14,'Coded Passages'!$E:$E,$B14,'Coded Passages'!$H:$H,AG$2)</f>
        <v>0</v>
      </c>
      <c r="AH14">
        <f>COUNTIFS('Coded Passages'!$B:$B,$A14,'Coded Passages'!$E:$E,$B14,'Coded Passages'!$H:$H,AH$2)</f>
        <v>0</v>
      </c>
      <c r="AI14">
        <f>COUNTIFS('Coded Passages'!$B:$B,$A14,'Coded Passages'!$E:$E,$B14,'Coded Passages'!$H:$H,AI$2)</f>
        <v>0</v>
      </c>
      <c r="AJ14">
        <f>COUNTIFS('Coded Passages'!$B:$B,$A14,'Coded Passages'!$E:$E,$B14,'Coded Passages'!$H:$H,AJ$2)</f>
        <v>0</v>
      </c>
      <c r="AK14">
        <f>COUNTIFS('Coded Passages'!$B:$B,$A14,'Coded Passages'!$E:$E,$B14,'Coded Passages'!$H:$H,AK$2)</f>
        <v>0</v>
      </c>
      <c r="AL14">
        <f>COUNTIFS('Coded Passages'!$B:$B,$A14,'Coded Passages'!$E:$E,$B14,'Coded Passages'!$H:$H,AL$2)</f>
        <v>0</v>
      </c>
      <c r="AM14">
        <f>COUNTIFS('Coded Passages'!$B:$B,$A14,'Coded Passages'!$E:$E,$B14,'Coded Passages'!$H:$H,AM$2)</f>
        <v>0</v>
      </c>
      <c r="AN14">
        <f>COUNTIFS('Coded Passages'!$B:$B,$A14,'Coded Passages'!$E:$E,$B14,'Coded Passages'!$H:$H,AN$2)</f>
        <v>0</v>
      </c>
      <c r="AO14">
        <f>COUNTIFS('Coded Passages'!$B:$B,$A14,'Coded Passages'!$E:$E,$B14,'Coded Passages'!$H:$H,AO$2)</f>
        <v>0</v>
      </c>
      <c r="AP14">
        <f>COUNTIFS('Coded Passages'!$B:$B,$A14,'Coded Passages'!$E:$E,$B14,'Coded Passages'!$H:$H,AP$2)</f>
        <v>0</v>
      </c>
      <c r="AQ14">
        <f>COUNTIFS('Coded Passages'!$B:$B,$A14,'Coded Passages'!$E:$E,$B14,'Coded Passages'!$H:$H,AQ$2)</f>
        <v>0</v>
      </c>
      <c r="AR14">
        <f>COUNTIFS('Coded Passages'!$B:$B,$A14,'Coded Passages'!$E:$E,$B14,'Coded Passages'!$H:$H,AR$2)</f>
        <v>0</v>
      </c>
      <c r="AS14">
        <f>COUNTIFS('Coded Passages'!$B:$B,$A14,'Coded Passages'!$E:$E,$B14,'Coded Passages'!$H:$H,AS$2)</f>
        <v>0</v>
      </c>
      <c r="AT14">
        <f>COUNTIFS('Coded Passages'!$B:$B,$A14,'Coded Passages'!$E:$E,$B14,'Coded Passages'!$H:$H,AT$2)</f>
        <v>1</v>
      </c>
      <c r="AU14">
        <f>COUNTIFS('Coded Passages'!$B:$B,$A14,'Coded Passages'!$E:$E,$B14,'Coded Passages'!$H:$H,AU$2)</f>
        <v>0</v>
      </c>
      <c r="AV14">
        <f>COUNTIFS('Coded Passages'!$B:$B,$A14,'Coded Passages'!$E:$E,$B14,'Coded Passages'!$H:$H,AV$2)</f>
        <v>0</v>
      </c>
      <c r="AW14">
        <f>COUNTIFS('Coded Passages'!$B:$B,$A14,'Coded Passages'!$E:$E,$B14,'Coded Passages'!$H:$H,AW$2)</f>
        <v>0</v>
      </c>
      <c r="AX14">
        <f>COUNTIFS('Coded Passages'!$B:$B,$A14,'Coded Passages'!$E:$E,$B14,'Coded Passages'!$H:$H,AX$2)</f>
        <v>0</v>
      </c>
      <c r="AY14">
        <f>COUNTIFS('Coded Passages'!$B:$B,$A14,'Coded Passages'!$E:$E,$B14,'Coded Passages'!$H:$H,AY$2)</f>
        <v>0</v>
      </c>
      <c r="AZ14">
        <f>COUNTIFS('Coded Passages'!$B:$B,$A14,'Coded Passages'!$E:$E,$B14,'Coded Passages'!$H:$H,AZ$2)</f>
        <v>0</v>
      </c>
      <c r="BA14">
        <f>COUNTIFS('Coded Passages'!$B:$B,$A14,'Coded Passages'!$E:$E,$B14,'Coded Passages'!$H:$H,BA$2)</f>
        <v>0</v>
      </c>
      <c r="BB14">
        <f>COUNTIFS('Coded Passages'!$B:$B,$A14,'Coded Passages'!$E:$E,$B14,'Coded Passages'!$H:$H,BB$2)</f>
        <v>0</v>
      </c>
      <c r="BC14">
        <f>COUNTIFS('Coded Passages'!$B:$B,$A14,'Coded Passages'!$E:$E,$B14,'Coded Passages'!$H:$H,BC$2)</f>
        <v>1</v>
      </c>
      <c r="BD14">
        <f>COUNTIFS('Coded Passages'!$B:$B,$A14,'Coded Passages'!$E:$E,$B14,'Coded Passages'!$H:$H,BD$2)</f>
        <v>0</v>
      </c>
      <c r="BE14">
        <f>COUNTIFS('Coded Passages'!$B:$B,$A14,'Coded Passages'!$E:$E,$B14,'Coded Passages'!$H:$H,BE$2)</f>
        <v>0</v>
      </c>
      <c r="BF14">
        <f>COUNTIFS('Coded Passages'!$B:$B,$A14,'Coded Passages'!$E:$E,$B14,'Coded Passages'!$H:$H,BF$2)</f>
        <v>0</v>
      </c>
      <c r="BG14">
        <f>COUNTIFS('Coded Passages'!$B:$B,$A14,'Coded Passages'!$E:$E,$B14,'Coded Passages'!$H:$H,BG$2)</f>
        <v>0</v>
      </c>
      <c r="BH14">
        <f>COUNTIFS('Coded Passages'!$B:$B,$A14,'Coded Passages'!$E:$E,$B14,'Coded Passages'!$H:$H,BH$2)</f>
        <v>0</v>
      </c>
      <c r="BI14">
        <f>COUNTIFS('Coded Passages'!$B:$B,$A14,'Coded Passages'!$E:$E,$B14,'Coded Passages'!$H:$H,BI$2)</f>
        <v>0</v>
      </c>
      <c r="BJ14">
        <f>COUNTIFS('Coded Passages'!$B:$B,$A14,'Coded Passages'!$E:$E,$B14,'Coded Passages'!$H:$H,BJ$2)</f>
        <v>0</v>
      </c>
      <c r="BK14">
        <f>COUNTIFS('Coded Passages'!$B:$B,$A14,'Coded Passages'!$E:$E,$B14,'Coded Passages'!$H:$H,BK$2)</f>
        <v>0</v>
      </c>
      <c r="BL14">
        <f>COUNTIFS('Coded Passages'!$B:$B,$A14,'Coded Passages'!$E:$E,$B14,'Coded Passages'!$H:$H,BL$2)</f>
        <v>0</v>
      </c>
      <c r="BM14">
        <f>COUNTIFS('Coded Passages'!$B:$B,$A14,'Coded Passages'!$E:$E,$B14,'Coded Passages'!$H:$H,BM$2)</f>
        <v>0</v>
      </c>
      <c r="BN14">
        <f>COUNTIFS('Coded Passages'!$B:$B,$A14,'Coded Passages'!$E:$E,$B14,'Coded Passages'!$H:$H,BN$2)</f>
        <v>0</v>
      </c>
      <c r="BO14">
        <f>COUNTIFS('Coded Passages'!$B:$B,$A14,'Coded Passages'!$E:$E,$B14,'Coded Passages'!$H:$H,BO$2)</f>
        <v>0</v>
      </c>
      <c r="BP14">
        <f>COUNTIFS('Coded Passages'!$B:$B,$A14,'Coded Passages'!$E:$E,$B14,'Coded Passages'!$H:$H,BP$2)</f>
        <v>0</v>
      </c>
      <c r="BQ14">
        <f>COUNTIFS('Coded Passages'!$B:$B,$A14,'Coded Passages'!$E:$E,$B14,'Coded Passages'!$H:$H,BQ$2)</f>
        <v>0</v>
      </c>
      <c r="BR14">
        <f>COUNTIFS('Coded Passages'!$B:$B,$A14,'Coded Passages'!$E:$E,$B14,'Coded Passages'!$H:$H,BR$2)</f>
        <v>0</v>
      </c>
      <c r="BS14">
        <f>COUNTIFS('Coded Passages'!$B:$B,$A14,'Coded Passages'!$E:$E,$B14,'Coded Passages'!$H:$H,BS$2)</f>
        <v>0</v>
      </c>
      <c r="BT14">
        <f>COUNTIFS('Coded Passages'!$B:$B,$A14,'Coded Passages'!$E:$E,$B14,'Coded Passages'!$H:$H,BT$2)</f>
        <v>0</v>
      </c>
      <c r="BU14">
        <f>COUNTIFS('Coded Passages'!$B:$B,$A14,'Coded Passages'!$E:$E,$B14,'Coded Passages'!$H:$H,BU$2)</f>
        <v>0</v>
      </c>
      <c r="BV14">
        <f>COUNTIFS('Coded Passages'!$B:$B,$A14,'Coded Passages'!$E:$E,$B14,'Coded Passages'!$H:$H,BV$2)</f>
        <v>0</v>
      </c>
      <c r="BW14">
        <f>COUNTIFS('Coded Passages'!$B:$B,$A14,'Coded Passages'!$E:$E,$B14,'Coded Passages'!$H:$H,BW$2)</f>
        <v>0</v>
      </c>
      <c r="BX14">
        <f>COUNTIFS('Coded Passages'!$B:$B,$A14,'Coded Passages'!$E:$E,$B14,'Coded Passages'!$H:$H,BX$2)</f>
        <v>0</v>
      </c>
      <c r="BY14">
        <f>COUNTIFS('Coded Passages'!$B:$B,$A14,'Coded Passages'!$E:$E,$B14,'Coded Passages'!$H:$H,BY$2)</f>
        <v>0</v>
      </c>
      <c r="BZ14">
        <f>COUNTIFS('Coded Passages'!$B:$B,$A14,'Coded Passages'!$E:$E,$B14,'Coded Passages'!$H:$H,BZ$2)</f>
        <v>0</v>
      </c>
      <c r="CA14">
        <f>COUNTIFS('Coded Passages'!$B:$B,$A14,'Coded Passages'!$E:$E,$B14,'Coded Passages'!$H:$H,CA$2)</f>
        <v>0</v>
      </c>
      <c r="CB14">
        <f>COUNTIFS('Coded Passages'!$B:$B,$A14,'Coded Passages'!$E:$E,$B14,'Coded Passages'!$H:$H,CB$2)</f>
        <v>0</v>
      </c>
      <c r="CC14">
        <f>COUNTIFS('Coded Passages'!$B:$B,$A14,'Coded Passages'!$E:$E,$B14,'Coded Passages'!$H:$H,CC$2)</f>
        <v>0</v>
      </c>
      <c r="CD14">
        <f>COUNTIFS('Coded Passages'!$B:$B,$A14,'Coded Passages'!$E:$E,$B14,'Coded Passages'!$H:$H,CD$2)</f>
        <v>0</v>
      </c>
      <c r="CE14">
        <f>COUNTIFS('Coded Passages'!$B:$B,$A14,'Coded Passages'!$E:$E,$B14,'Coded Passages'!$H:$H,CE$2)</f>
        <v>0</v>
      </c>
      <c r="CF14">
        <f>COUNTIFS('Coded Passages'!$B:$B,$A14,'Coded Passages'!$E:$E,$B14,'Coded Passages'!$H:$H,CF$2)</f>
        <v>0</v>
      </c>
      <c r="CG14">
        <f>COUNTIFS('Coded Passages'!$B:$B,$A14,'Coded Passages'!$E:$E,$B14,'Coded Passages'!$H:$H,CG$2)</f>
        <v>0</v>
      </c>
      <c r="CH14">
        <f>COUNTIFS('Coded Passages'!$B:$B,$A14,'Coded Passages'!$E:$E,$B14,'Coded Passages'!$H:$H,CH$2)</f>
        <v>0</v>
      </c>
      <c r="CI14">
        <f>COUNTIFS('Coded Passages'!$B:$B,$A14,'Coded Passages'!$E:$E,$B14,'Coded Passages'!$H:$H,CI$2)</f>
        <v>1</v>
      </c>
      <c r="CJ14">
        <f>COUNTIFS('Coded Passages'!$B:$B,$A14,'Coded Passages'!$E:$E,$B14,'Coded Passages'!$H:$H,CJ$2)</f>
        <v>0</v>
      </c>
      <c r="CK14">
        <f>COUNTIFS('Coded Passages'!$B:$B,$A14,'Coded Passages'!$E:$E,$B14,'Coded Passages'!$H:$H,CK$2)</f>
        <v>0</v>
      </c>
      <c r="CL14">
        <f>COUNTIFS('Coded Passages'!$B:$B,$A14,'Coded Passages'!$E:$E,$B14,'Coded Passages'!$H:$H,CL$2)</f>
        <v>0</v>
      </c>
      <c r="CM14">
        <f>COUNTIFS('Coded Passages'!$B:$B,$A14,'Coded Passages'!$E:$E,$B14,'Coded Passages'!$H:$H,CM$2)</f>
        <v>0</v>
      </c>
      <c r="CN14">
        <f>COUNTIFS('Coded Passages'!$B:$B,$A14,'Coded Passages'!$E:$E,$B14,'Coded Passages'!$H:$H,CN$2)</f>
        <v>0</v>
      </c>
      <c r="CO14">
        <f>COUNTIFS('Coded Passages'!$B:$B,$A14,'Coded Passages'!$E:$E,$B14,'Coded Passages'!$H:$H,CO$2)</f>
        <v>0</v>
      </c>
      <c r="CP14">
        <f>COUNTIFS('Coded Passages'!$B:$B,$A14,'Coded Passages'!$E:$E,$B14,'Coded Passages'!$H:$H,CP$2)</f>
        <v>0</v>
      </c>
      <c r="CQ14">
        <f>COUNTIFS('Coded Passages'!$B:$B,$A14,'Coded Passages'!$E:$E,$B14,'Coded Passages'!$H:$H,CQ$2)</f>
        <v>0</v>
      </c>
      <c r="CR14">
        <f>COUNTIFS('Coded Passages'!$B:$B,$A14,'Coded Passages'!$E:$E,$B14,'Coded Passages'!$H:$H,CR$2)</f>
        <v>0</v>
      </c>
      <c r="CS14">
        <f>COUNTIFS('Coded Passages'!$B:$B,$A14,'Coded Passages'!$E:$E,$B14,'Coded Passages'!$H:$H,CS$2)</f>
        <v>0</v>
      </c>
      <c r="CT14">
        <f>COUNTIFS('Coded Passages'!$B:$B,$A14,'Coded Passages'!$E:$E,$B14,'Coded Passages'!$H:$H,CT$2)</f>
        <v>0</v>
      </c>
      <c r="CU14">
        <f>COUNTIFS('Coded Passages'!$B:$B,$A14,'Coded Passages'!$E:$E,$B14,'Coded Passages'!$H:$H,CU$2)</f>
        <v>0</v>
      </c>
      <c r="CV14">
        <f>COUNTIFS('Coded Passages'!$B:$B,$A14,'Coded Passages'!$E:$E,$B14,'Coded Passages'!$H:$H,CV$2)</f>
        <v>0</v>
      </c>
      <c r="CW14">
        <f>COUNTIFS('Coded Passages'!$B:$B,$A14,'Coded Passages'!$E:$E,$B14,'Coded Passages'!$H:$H,CW$2)</f>
        <v>0</v>
      </c>
      <c r="CX14">
        <f>COUNTIFS('Coded Passages'!$B:$B,$A14,'Coded Passages'!$E:$E,$B14,'Coded Passages'!$H:$H,CX$2)</f>
        <v>0</v>
      </c>
      <c r="CY14">
        <f>COUNTIFS('Coded Passages'!$B:$B,$A14,'Coded Passages'!$E:$E,$B14,'Coded Passages'!$H:$H,CY$2)</f>
        <v>0</v>
      </c>
      <c r="CZ14">
        <f>COUNTIFS('Coded Passages'!$B:$B,$A14,'Coded Passages'!$E:$E,$B14,'Coded Passages'!$H:$H,CZ$2)</f>
        <v>0</v>
      </c>
      <c r="DA14">
        <f>COUNTIFS('Coded Passages'!$B:$B,$A14,'Coded Passages'!$E:$E,$B14,'Coded Passages'!$H:$H,DA$2)</f>
        <v>0</v>
      </c>
      <c r="DB14">
        <f>COUNTIFS('Coded Passages'!$B:$B,$A14,'Coded Passages'!$E:$E,$B14,'Coded Passages'!$H:$H,DB$2)</f>
        <v>0</v>
      </c>
      <c r="DC14">
        <f>COUNTIFS('Coded Passages'!$B:$B,$A14,'Coded Passages'!$E:$E,$B14,'Coded Passages'!$H:$H,DC$2)</f>
        <v>0</v>
      </c>
      <c r="DD14">
        <f>COUNTIFS('Coded Passages'!$B:$B,$A14,'Coded Passages'!$E:$E,$B14,'Coded Passages'!$H:$H,DD$2)</f>
        <v>0</v>
      </c>
      <c r="DE14">
        <f>COUNTIFS('Coded Passages'!$B:$B,$A14,'Coded Passages'!$E:$E,$B14,'Coded Passages'!$H:$H,DE$2)</f>
        <v>0</v>
      </c>
      <c r="DF14">
        <f>COUNTIFS('Coded Passages'!$B:$B,$A14,'Coded Passages'!$E:$E,$B14,'Coded Passages'!$H:$H,DF$2)</f>
        <v>0</v>
      </c>
      <c r="DG14">
        <f>COUNTIFS('Coded Passages'!$B:$B,$A14,'Coded Passages'!$E:$E,$B14,'Coded Passages'!$H:$H,DG$2)</f>
        <v>0</v>
      </c>
      <c r="DH14">
        <f>COUNTIFS('Coded Passages'!$B:$B,$A14,'Coded Passages'!$E:$E,$B14,'Coded Passages'!$H:$H,DH$2)</f>
        <v>0</v>
      </c>
      <c r="DI14">
        <f>COUNTIFS('Coded Passages'!$B:$B,$A14,'Coded Passages'!$E:$E,$B14,'Coded Passages'!$H:$H,DI$2)</f>
        <v>0</v>
      </c>
      <c r="DJ14">
        <f>COUNTIFS('Coded Passages'!$B:$B,$A14,'Coded Passages'!$E:$E,$B14,'Coded Passages'!$H:$H,DJ$2)</f>
        <v>0</v>
      </c>
      <c r="DK14">
        <f>COUNTIFS('Coded Passages'!$B:$B,$A14,'Coded Passages'!$E:$E,$B14,'Coded Passages'!$H:$H,DK$2)</f>
        <v>0</v>
      </c>
      <c r="DL14">
        <f>COUNTIFS('Coded Passages'!$B:$B,$A14,'Coded Passages'!$E:$E,$B14,'Coded Passages'!$H:$H,DL$2)</f>
        <v>0</v>
      </c>
      <c r="DM14">
        <f>COUNTIFS('Coded Passages'!$B:$B,$A14,'Coded Passages'!$E:$E,$B14,'Coded Passages'!$H:$H,DM$2)</f>
        <v>0</v>
      </c>
      <c r="DN14">
        <f>COUNTIFS('Coded Passages'!$B:$B,$A14,'Coded Passages'!$E:$E,$B14,'Coded Passages'!$H:$H,DN$2)</f>
        <v>0</v>
      </c>
      <c r="DO14">
        <f>COUNTIFS('Coded Passages'!$B:$B,$A14,'Coded Passages'!$E:$E,$B14,'Coded Passages'!$H:$H,DO$2)</f>
        <v>0</v>
      </c>
      <c r="DP14">
        <f>COUNTIFS('Coded Passages'!$B:$B,$A14,'Coded Passages'!$E:$E,$B14,'Coded Passages'!$H:$H,DP$2)</f>
        <v>0</v>
      </c>
      <c r="DQ14">
        <f>COUNTIFS('Coded Passages'!$B:$B,$A14,'Coded Passages'!$E:$E,$B14,'Coded Passages'!$H:$H,DQ$2)</f>
        <v>0</v>
      </c>
      <c r="DR14">
        <f>COUNTIFS('Coded Passages'!$B:$B,$A14,'Coded Passages'!$E:$E,$B14,'Coded Passages'!$H:$H,DR$2)</f>
        <v>0</v>
      </c>
      <c r="DS14">
        <f>COUNTIFS('Coded Passages'!$B:$B,$A14,'Coded Passages'!$E:$E,$B14,'Coded Passages'!$H:$H,DS$2)</f>
        <v>0</v>
      </c>
      <c r="DT14">
        <f>COUNTIFS('Coded Passages'!$B:$B,$A14,'Coded Passages'!$E:$E,$B14,'Coded Passages'!$H:$H,DT$2)</f>
        <v>0</v>
      </c>
      <c r="DU14">
        <f>COUNTIFS('Coded Passages'!$B:$B,$A14,'Coded Passages'!$E:$E,$B14,'Coded Passages'!$H:$H,DU$2)</f>
        <v>0</v>
      </c>
      <c r="DV14">
        <f>COUNTIFS('Coded Passages'!$B:$B,$A14,'Coded Passages'!$E:$E,$B14,'Coded Passages'!$H:$H,DV$2)</f>
        <v>0</v>
      </c>
      <c r="DW14">
        <f>COUNTIFS('Coded Passages'!$B:$B,$A14,'Coded Passages'!$E:$E,$B14,'Coded Passages'!$H:$H,DW$2)</f>
        <v>0</v>
      </c>
      <c r="DX14">
        <f>COUNTIFS('Coded Passages'!$B:$B,$A14,'Coded Passages'!$E:$E,$B14,'Coded Passages'!$H:$H,DX$2)</f>
        <v>0</v>
      </c>
      <c r="DY14">
        <f>COUNTIFS('Coded Passages'!$B:$B,$A14,'Coded Passages'!$E:$E,$B14,'Coded Passages'!$H:$H,DY$2)</f>
        <v>0</v>
      </c>
      <c r="DZ14">
        <f>COUNTIFS('Coded Passages'!$B:$B,$A14,'Coded Passages'!$E:$E,$B14,'Coded Passages'!$H:$H,DZ$2)</f>
        <v>0</v>
      </c>
      <c r="EA14">
        <f>COUNTIFS('Coded Passages'!$B:$B,$A14,'Coded Passages'!$E:$E,$B14,'Coded Passages'!$H:$H,EA$2)</f>
        <v>0</v>
      </c>
      <c r="EB14">
        <f>COUNTIFS('Coded Passages'!$B:$B,$A14,'Coded Passages'!$E:$E,$B14,'Coded Passages'!$H:$H,EB$2)</f>
        <v>0</v>
      </c>
      <c r="EC14">
        <f>COUNTIFS('Coded Passages'!$B:$B,$A14,'Coded Passages'!$E:$E,$B14,'Coded Passages'!$H:$H,EC$2)</f>
        <v>1</v>
      </c>
      <c r="ED14">
        <f>COUNTIFS('Coded Passages'!$B:$B,$A14,'Coded Passages'!$E:$E,$B14,'Coded Passages'!$H:$H,ED$2)</f>
        <v>0</v>
      </c>
      <c r="EE14">
        <f>COUNTIFS('Coded Passages'!$B:$B,$A14,'Coded Passages'!$E:$E,$B14,'Coded Passages'!$H:$H,EE$2)</f>
        <v>0</v>
      </c>
      <c r="EF14">
        <f>COUNTIFS('Coded Passages'!$B:$B,$A14,'Coded Passages'!$E:$E,$B14,'Coded Passages'!$H:$H,EF$2)</f>
        <v>0</v>
      </c>
      <c r="EG14">
        <f>COUNTIFS('Coded Passages'!$B:$B,$A14,'Coded Passages'!$E:$E,$B14,'Coded Passages'!$H:$H,EG$2)</f>
        <v>1</v>
      </c>
      <c r="EH14">
        <f>COUNTIFS('Coded Passages'!$B:$B,$A14,'Coded Passages'!$E:$E,$B14,'Coded Passages'!$H:$H,EH$2)</f>
        <v>0</v>
      </c>
      <c r="EI14">
        <f>COUNTIFS('Coded Passages'!$B:$B,$A14,'Coded Passages'!$E:$E,$B14,'Coded Passages'!$H:$H,EI$2)</f>
        <v>0</v>
      </c>
      <c r="EJ14">
        <f>COUNTIFS('Coded Passages'!$B:$B,$A14,'Coded Passages'!$E:$E,$B14,'Coded Passages'!$H:$H,EJ$2)</f>
        <v>0</v>
      </c>
      <c r="EK14">
        <f>COUNTIFS('Coded Passages'!$B:$B,$A14,'Coded Passages'!$E:$E,$B14,'Coded Passages'!$H:$H,EK$2)</f>
        <v>0</v>
      </c>
      <c r="EL14">
        <f>COUNTIFS('Coded Passages'!$B:$B,$A14,'Coded Passages'!$E:$E,$B14,'Coded Passages'!$H:$H,EL$2)</f>
        <v>0</v>
      </c>
      <c r="EM14">
        <f>COUNTIFS('Coded Passages'!$B:$B,$A14,'Coded Passages'!$E:$E,$B14,'Coded Passages'!$H:$H,EM$2)</f>
        <v>0</v>
      </c>
      <c r="EN14">
        <f>COUNTIFS('Coded Passages'!$B:$B,$A14,'Coded Passages'!$E:$E,$B14,'Coded Passages'!$H:$H,EN$2)</f>
        <v>0</v>
      </c>
      <c r="EO14">
        <f>COUNTIFS('Coded Passages'!$B:$B,$A14,'Coded Passages'!$E:$E,$B14,'Coded Passages'!$H:$H,EO$2)</f>
        <v>0</v>
      </c>
      <c r="EP14">
        <f>COUNTIFS('Coded Passages'!$B:$B,$A14,'Coded Passages'!$E:$E,$B14,'Coded Passages'!$H:$H,EP$2)</f>
        <v>1</v>
      </c>
      <c r="EQ14">
        <f>COUNTIFS('Coded Passages'!$B:$B,$A14,'Coded Passages'!$E:$E,$B14,'Coded Passages'!$H:$H,EQ$2)</f>
        <v>0</v>
      </c>
      <c r="ER14">
        <f>COUNTIFS('Coded Passages'!$B:$B,$A14,'Coded Passages'!$E:$E,$B14,'Coded Passages'!$H:$H,ER$2)</f>
        <v>0</v>
      </c>
      <c r="ES14">
        <f>COUNTIFS('Coded Passages'!$B:$B,$A14,'Coded Passages'!$E:$E,$B14,'Coded Passages'!$H:$H,ES$2)</f>
        <v>0</v>
      </c>
      <c r="ET14">
        <f>COUNTIFS('Coded Passages'!$B:$B,$A14,'Coded Passages'!$E:$E,$B14,'Coded Passages'!$H:$H,ET$2)</f>
        <v>0</v>
      </c>
      <c r="EU14">
        <f>COUNTIFS('Coded Passages'!$B:$B,$A14,'Coded Passages'!$E:$E,$B14,'Coded Passages'!$H:$H,EU$2)</f>
        <v>0</v>
      </c>
      <c r="EV14">
        <f>COUNTIFS('Coded Passages'!$B:$B,$A14,'Coded Passages'!$E:$E,$B14,'Coded Passages'!$H:$H,EV$2)</f>
        <v>0</v>
      </c>
      <c r="EW14">
        <f>COUNTIFS('Coded Passages'!$B:$B,$A14,'Coded Passages'!$E:$E,$B14,'Coded Passages'!$H:$H,EW$2)</f>
        <v>0</v>
      </c>
      <c r="EX14">
        <f>COUNTIFS('Coded Passages'!$B:$B,$A14,'Coded Passages'!$E:$E,$B14,'Coded Passages'!$H:$H,EX$2)</f>
        <v>0</v>
      </c>
      <c r="EY14">
        <f>COUNTIFS('Coded Passages'!$B:$B,$A14,'Coded Passages'!$E:$E,$B14,'Coded Passages'!$H:$H,EY$2)</f>
        <v>0</v>
      </c>
      <c r="EZ14">
        <f>COUNTIFS('Coded Passages'!$B:$B,$A14,'Coded Passages'!$E:$E,$B14,'Coded Passages'!$H:$H,EZ$2)</f>
        <v>0</v>
      </c>
      <c r="FA14">
        <f>COUNTIFS('Coded Passages'!$B:$B,$A14,'Coded Passages'!$E:$E,$B14,'Coded Passages'!$H:$H,FA$2)</f>
        <v>0</v>
      </c>
      <c r="FB14">
        <f>COUNTIFS('Coded Passages'!$B:$B,$A14,'Coded Passages'!$E:$E,$B14,'Coded Passages'!$H:$H,FB$2)</f>
        <v>1</v>
      </c>
      <c r="FC14">
        <f>COUNTIFS('Coded Passages'!$B:$B,$A14,'Coded Passages'!$E:$E,$B14,'Coded Passages'!$H:$H,FC$2)</f>
        <v>0</v>
      </c>
      <c r="FD14">
        <f>COUNTIFS('Coded Passages'!$B:$B,$A14,'Coded Passages'!$E:$E,$B14,'Coded Passages'!$H:$H,FD$2)</f>
        <v>0</v>
      </c>
      <c r="FE14">
        <f>COUNTIFS('Coded Passages'!$B:$B,$A14,'Coded Passages'!$E:$E,$B14,'Coded Passages'!$H:$H,FE$2)</f>
        <v>0</v>
      </c>
      <c r="FF14">
        <f>COUNTIFS('Coded Passages'!$B:$B,$A14,'Coded Passages'!$E:$E,$B14,'Coded Passages'!$H:$H,FF$2)</f>
        <v>0</v>
      </c>
      <c r="FG14">
        <f>COUNTIFS('Coded Passages'!$B:$B,$A14,'Coded Passages'!$E:$E,$B14,'Coded Passages'!$H:$H,FG$2)</f>
        <v>0</v>
      </c>
      <c r="FH14">
        <f>COUNTIFS('Coded Passages'!$B:$B,$A14,'Coded Passages'!$E:$E,$B14,'Coded Passages'!$H:$H,FH$2)</f>
        <v>0</v>
      </c>
      <c r="FI14">
        <f>COUNTIFS('Coded Passages'!$B:$B,$A14,'Coded Passages'!$E:$E,$B14,'Coded Passages'!$H:$H,FI$2)</f>
        <v>0</v>
      </c>
      <c r="FJ14">
        <f>COUNTIFS('Coded Passages'!$B:$B,$A14,'Coded Passages'!$E:$E,$B14,'Coded Passages'!$H:$H,FJ$2)</f>
        <v>0</v>
      </c>
      <c r="FK14">
        <f>COUNTIFS('Coded Passages'!$B:$B,$A14,'Coded Passages'!$E:$E,$B14,'Coded Passages'!$H:$H,FK$2)</f>
        <v>0</v>
      </c>
      <c r="FL14">
        <f>COUNTIFS('Coded Passages'!$B:$B,$A14,'Coded Passages'!$E:$E,$B14,'Coded Passages'!$H:$H,FL$2)</f>
        <v>0</v>
      </c>
      <c r="FM14">
        <f>COUNTIFS('Coded Passages'!$B:$B,$A14,'Coded Passages'!$E:$E,$B14,'Coded Passages'!$H:$H,FM$2)</f>
        <v>0</v>
      </c>
      <c r="FN14">
        <f>COUNTIFS('Coded Passages'!$B:$B,$A14,'Coded Passages'!$E:$E,$B14,'Coded Passages'!$H:$H,FN$2)</f>
        <v>0</v>
      </c>
      <c r="FO14">
        <f>COUNTIFS('Coded Passages'!$B:$B,$A14,'Coded Passages'!$E:$E,$B14,'Coded Passages'!$H:$H,FO$2)</f>
        <v>0</v>
      </c>
      <c r="FP14">
        <f t="shared" si="0"/>
        <v>10</v>
      </c>
    </row>
    <row r="15" spans="1:172" x14ac:dyDescent="0.45">
      <c r="A15" s="11" t="s">
        <v>14</v>
      </c>
      <c r="B15" s="16" t="s">
        <v>15</v>
      </c>
      <c r="C15">
        <f>COUNTIFS('Coded Passages'!$B:$B,$A15,'Coded Passages'!$E:$E,$B15,'Coded Passages'!$H:$H,C$2)</f>
        <v>1</v>
      </c>
      <c r="D15">
        <f>COUNTIFS('Coded Passages'!$B:$B,$A15,'Coded Passages'!$E:$E,$B15,'Coded Passages'!$H:$H,D$2)</f>
        <v>0</v>
      </c>
      <c r="E15">
        <f>COUNTIFS('Coded Passages'!$B:$B,$A15,'Coded Passages'!$E:$E,$B15,'Coded Passages'!$H:$H,E$2)</f>
        <v>0</v>
      </c>
      <c r="F15">
        <f>COUNTIFS('Coded Passages'!$B:$B,$A15,'Coded Passages'!$E:$E,$B15,'Coded Passages'!$H:$H,F$2)</f>
        <v>0</v>
      </c>
      <c r="G15">
        <f>COUNTIFS('Coded Passages'!$B:$B,$A15,'Coded Passages'!$E:$E,$B15,'Coded Passages'!$H:$H,G$2)</f>
        <v>0</v>
      </c>
      <c r="H15">
        <f>COUNTIFS('Coded Passages'!$B:$B,$A15,'Coded Passages'!$E:$E,$B15,'Coded Passages'!$H:$H,H$2)</f>
        <v>1</v>
      </c>
      <c r="I15">
        <f>COUNTIFS('Coded Passages'!$B:$B,$A15,'Coded Passages'!$E:$E,$B15,'Coded Passages'!$H:$H,I$2)</f>
        <v>0</v>
      </c>
      <c r="J15">
        <f>COUNTIFS('Coded Passages'!$B:$B,$A15,'Coded Passages'!$E:$E,$B15,'Coded Passages'!$H:$H,J$2)</f>
        <v>0</v>
      </c>
      <c r="K15">
        <f>COUNTIFS('Coded Passages'!$B:$B,$A15,'Coded Passages'!$E:$E,$B15,'Coded Passages'!$H:$H,K$2)</f>
        <v>0</v>
      </c>
      <c r="L15">
        <f>COUNTIFS('Coded Passages'!$B:$B,$A15,'Coded Passages'!$E:$E,$B15,'Coded Passages'!$H:$H,L$2)</f>
        <v>0</v>
      </c>
      <c r="M15">
        <f>COUNTIFS('Coded Passages'!$B:$B,$A15,'Coded Passages'!$E:$E,$B15,'Coded Passages'!$H:$H,M$2)</f>
        <v>0</v>
      </c>
      <c r="N15">
        <f>COUNTIFS('Coded Passages'!$B:$B,$A15,'Coded Passages'!$E:$E,$B15,'Coded Passages'!$H:$H,N$2)</f>
        <v>0</v>
      </c>
      <c r="O15">
        <f>COUNTIFS('Coded Passages'!$B:$B,$A15,'Coded Passages'!$E:$E,$B15,'Coded Passages'!$H:$H,O$2)</f>
        <v>0</v>
      </c>
      <c r="P15">
        <f>COUNTIFS('Coded Passages'!$B:$B,$A15,'Coded Passages'!$E:$E,$B15,'Coded Passages'!$H:$H,P$2)</f>
        <v>0</v>
      </c>
      <c r="Q15">
        <f>COUNTIFS('Coded Passages'!$B:$B,$A15,'Coded Passages'!$E:$E,$B15,'Coded Passages'!$H:$H,Q$2)</f>
        <v>0</v>
      </c>
      <c r="R15">
        <f>COUNTIFS('Coded Passages'!$B:$B,$A15,'Coded Passages'!$E:$E,$B15,'Coded Passages'!$H:$H,R$2)</f>
        <v>0</v>
      </c>
      <c r="S15">
        <f>COUNTIFS('Coded Passages'!$B:$B,$A15,'Coded Passages'!$E:$E,$B15,'Coded Passages'!$H:$H,S$2)</f>
        <v>0</v>
      </c>
      <c r="T15">
        <f>COUNTIFS('Coded Passages'!$B:$B,$A15,'Coded Passages'!$E:$E,$B15,'Coded Passages'!$H:$H,T$2)</f>
        <v>0</v>
      </c>
      <c r="U15">
        <f>COUNTIFS('Coded Passages'!$B:$B,$A15,'Coded Passages'!$E:$E,$B15,'Coded Passages'!$H:$H,U$2)</f>
        <v>1</v>
      </c>
      <c r="V15">
        <f>COUNTIFS('Coded Passages'!$B:$B,$A15,'Coded Passages'!$E:$E,$B15,'Coded Passages'!$H:$H,V$2)</f>
        <v>0</v>
      </c>
      <c r="W15">
        <f>COUNTIFS('Coded Passages'!$B:$B,$A15,'Coded Passages'!$E:$E,$B15,'Coded Passages'!$H:$H,W$2)</f>
        <v>0</v>
      </c>
      <c r="X15">
        <f>COUNTIFS('Coded Passages'!$B:$B,$A15,'Coded Passages'!$E:$E,$B15,'Coded Passages'!$H:$H,X$2)</f>
        <v>0</v>
      </c>
      <c r="Y15">
        <f>COUNTIFS('Coded Passages'!$B:$B,$A15,'Coded Passages'!$E:$E,$B15,'Coded Passages'!$H:$H,Y$2)</f>
        <v>0</v>
      </c>
      <c r="Z15">
        <f>COUNTIFS('Coded Passages'!$B:$B,$A15,'Coded Passages'!$E:$E,$B15,'Coded Passages'!$H:$H,Z$2)</f>
        <v>0</v>
      </c>
      <c r="AA15">
        <f>COUNTIFS('Coded Passages'!$B:$B,$A15,'Coded Passages'!$E:$E,$B15,'Coded Passages'!$H:$H,AA$2)</f>
        <v>0</v>
      </c>
      <c r="AB15">
        <f>COUNTIFS('Coded Passages'!$B:$B,$A15,'Coded Passages'!$E:$E,$B15,'Coded Passages'!$H:$H,AB$2)</f>
        <v>0</v>
      </c>
      <c r="AC15">
        <f>COUNTIFS('Coded Passages'!$B:$B,$A15,'Coded Passages'!$E:$E,$B15,'Coded Passages'!$H:$H,AC$2)</f>
        <v>0</v>
      </c>
      <c r="AD15">
        <f>COUNTIFS('Coded Passages'!$B:$B,$A15,'Coded Passages'!$E:$E,$B15,'Coded Passages'!$H:$H,AD$2)</f>
        <v>0</v>
      </c>
      <c r="AE15">
        <f>COUNTIFS('Coded Passages'!$B:$B,$A15,'Coded Passages'!$E:$E,$B15,'Coded Passages'!$H:$H,AE$2)</f>
        <v>0</v>
      </c>
      <c r="AF15">
        <f>COUNTIFS('Coded Passages'!$B:$B,$A15,'Coded Passages'!$E:$E,$B15,'Coded Passages'!$H:$H,AF$2)</f>
        <v>0</v>
      </c>
      <c r="AG15">
        <f>COUNTIFS('Coded Passages'!$B:$B,$A15,'Coded Passages'!$E:$E,$B15,'Coded Passages'!$H:$H,AG$2)</f>
        <v>0</v>
      </c>
      <c r="AH15">
        <f>COUNTIFS('Coded Passages'!$B:$B,$A15,'Coded Passages'!$E:$E,$B15,'Coded Passages'!$H:$H,AH$2)</f>
        <v>0</v>
      </c>
      <c r="AI15">
        <f>COUNTIFS('Coded Passages'!$B:$B,$A15,'Coded Passages'!$E:$E,$B15,'Coded Passages'!$H:$H,AI$2)</f>
        <v>0</v>
      </c>
      <c r="AJ15">
        <f>COUNTIFS('Coded Passages'!$B:$B,$A15,'Coded Passages'!$E:$E,$B15,'Coded Passages'!$H:$H,AJ$2)</f>
        <v>0</v>
      </c>
      <c r="AK15">
        <f>COUNTIFS('Coded Passages'!$B:$B,$A15,'Coded Passages'!$E:$E,$B15,'Coded Passages'!$H:$H,AK$2)</f>
        <v>0</v>
      </c>
      <c r="AL15">
        <f>COUNTIFS('Coded Passages'!$B:$B,$A15,'Coded Passages'!$E:$E,$B15,'Coded Passages'!$H:$H,AL$2)</f>
        <v>1</v>
      </c>
      <c r="AM15">
        <f>COUNTIFS('Coded Passages'!$B:$B,$A15,'Coded Passages'!$E:$E,$B15,'Coded Passages'!$H:$H,AM$2)</f>
        <v>0</v>
      </c>
      <c r="AN15">
        <f>COUNTIFS('Coded Passages'!$B:$B,$A15,'Coded Passages'!$E:$E,$B15,'Coded Passages'!$H:$H,AN$2)</f>
        <v>0</v>
      </c>
      <c r="AO15">
        <f>COUNTIFS('Coded Passages'!$B:$B,$A15,'Coded Passages'!$E:$E,$B15,'Coded Passages'!$H:$H,AO$2)</f>
        <v>0</v>
      </c>
      <c r="AP15">
        <f>COUNTIFS('Coded Passages'!$B:$B,$A15,'Coded Passages'!$E:$E,$B15,'Coded Passages'!$H:$H,AP$2)</f>
        <v>0</v>
      </c>
      <c r="AQ15">
        <f>COUNTIFS('Coded Passages'!$B:$B,$A15,'Coded Passages'!$E:$E,$B15,'Coded Passages'!$H:$H,AQ$2)</f>
        <v>0</v>
      </c>
      <c r="AR15">
        <f>COUNTIFS('Coded Passages'!$B:$B,$A15,'Coded Passages'!$E:$E,$B15,'Coded Passages'!$H:$H,AR$2)</f>
        <v>0</v>
      </c>
      <c r="AS15">
        <f>COUNTIFS('Coded Passages'!$B:$B,$A15,'Coded Passages'!$E:$E,$B15,'Coded Passages'!$H:$H,AS$2)</f>
        <v>0</v>
      </c>
      <c r="AT15">
        <f>COUNTIFS('Coded Passages'!$B:$B,$A15,'Coded Passages'!$E:$E,$B15,'Coded Passages'!$H:$H,AT$2)</f>
        <v>0</v>
      </c>
      <c r="AU15">
        <f>COUNTIFS('Coded Passages'!$B:$B,$A15,'Coded Passages'!$E:$E,$B15,'Coded Passages'!$H:$H,AU$2)</f>
        <v>0</v>
      </c>
      <c r="AV15">
        <f>COUNTIFS('Coded Passages'!$B:$B,$A15,'Coded Passages'!$E:$E,$B15,'Coded Passages'!$H:$H,AV$2)</f>
        <v>0</v>
      </c>
      <c r="AW15">
        <f>COUNTIFS('Coded Passages'!$B:$B,$A15,'Coded Passages'!$E:$E,$B15,'Coded Passages'!$H:$H,AW$2)</f>
        <v>0</v>
      </c>
      <c r="AX15">
        <f>COUNTIFS('Coded Passages'!$B:$B,$A15,'Coded Passages'!$E:$E,$B15,'Coded Passages'!$H:$H,AX$2)</f>
        <v>0</v>
      </c>
      <c r="AY15">
        <f>COUNTIFS('Coded Passages'!$B:$B,$A15,'Coded Passages'!$E:$E,$B15,'Coded Passages'!$H:$H,AY$2)</f>
        <v>0</v>
      </c>
      <c r="AZ15">
        <f>COUNTIFS('Coded Passages'!$B:$B,$A15,'Coded Passages'!$E:$E,$B15,'Coded Passages'!$H:$H,AZ$2)</f>
        <v>0</v>
      </c>
      <c r="BA15">
        <f>COUNTIFS('Coded Passages'!$B:$B,$A15,'Coded Passages'!$E:$E,$B15,'Coded Passages'!$H:$H,BA$2)</f>
        <v>0</v>
      </c>
      <c r="BB15">
        <f>COUNTIFS('Coded Passages'!$B:$B,$A15,'Coded Passages'!$E:$E,$B15,'Coded Passages'!$H:$H,BB$2)</f>
        <v>0</v>
      </c>
      <c r="BC15">
        <f>COUNTIFS('Coded Passages'!$B:$B,$A15,'Coded Passages'!$E:$E,$B15,'Coded Passages'!$H:$H,BC$2)</f>
        <v>0</v>
      </c>
      <c r="BD15">
        <f>COUNTIFS('Coded Passages'!$B:$B,$A15,'Coded Passages'!$E:$E,$B15,'Coded Passages'!$H:$H,BD$2)</f>
        <v>0</v>
      </c>
      <c r="BE15">
        <f>COUNTIFS('Coded Passages'!$B:$B,$A15,'Coded Passages'!$E:$E,$B15,'Coded Passages'!$H:$H,BE$2)</f>
        <v>0</v>
      </c>
      <c r="BF15">
        <f>COUNTIFS('Coded Passages'!$B:$B,$A15,'Coded Passages'!$E:$E,$B15,'Coded Passages'!$H:$H,BF$2)</f>
        <v>0</v>
      </c>
      <c r="BG15">
        <f>COUNTIFS('Coded Passages'!$B:$B,$A15,'Coded Passages'!$E:$E,$B15,'Coded Passages'!$H:$H,BG$2)</f>
        <v>0</v>
      </c>
      <c r="BH15">
        <f>COUNTIFS('Coded Passages'!$B:$B,$A15,'Coded Passages'!$E:$E,$B15,'Coded Passages'!$H:$H,BH$2)</f>
        <v>0</v>
      </c>
      <c r="BI15">
        <f>COUNTIFS('Coded Passages'!$B:$B,$A15,'Coded Passages'!$E:$E,$B15,'Coded Passages'!$H:$H,BI$2)</f>
        <v>0</v>
      </c>
      <c r="BJ15">
        <f>COUNTIFS('Coded Passages'!$B:$B,$A15,'Coded Passages'!$E:$E,$B15,'Coded Passages'!$H:$H,BJ$2)</f>
        <v>0</v>
      </c>
      <c r="BK15">
        <f>COUNTIFS('Coded Passages'!$B:$B,$A15,'Coded Passages'!$E:$E,$B15,'Coded Passages'!$H:$H,BK$2)</f>
        <v>1</v>
      </c>
      <c r="BL15">
        <f>COUNTIFS('Coded Passages'!$B:$B,$A15,'Coded Passages'!$E:$E,$B15,'Coded Passages'!$H:$H,BL$2)</f>
        <v>0</v>
      </c>
      <c r="BM15">
        <f>COUNTIFS('Coded Passages'!$B:$B,$A15,'Coded Passages'!$E:$E,$B15,'Coded Passages'!$H:$H,BM$2)</f>
        <v>0</v>
      </c>
      <c r="BN15">
        <f>COUNTIFS('Coded Passages'!$B:$B,$A15,'Coded Passages'!$E:$E,$B15,'Coded Passages'!$H:$H,BN$2)</f>
        <v>0</v>
      </c>
      <c r="BO15">
        <f>COUNTIFS('Coded Passages'!$B:$B,$A15,'Coded Passages'!$E:$E,$B15,'Coded Passages'!$H:$H,BO$2)</f>
        <v>0</v>
      </c>
      <c r="BP15">
        <f>COUNTIFS('Coded Passages'!$B:$B,$A15,'Coded Passages'!$E:$E,$B15,'Coded Passages'!$H:$H,BP$2)</f>
        <v>0</v>
      </c>
      <c r="BQ15">
        <f>COUNTIFS('Coded Passages'!$B:$B,$A15,'Coded Passages'!$E:$E,$B15,'Coded Passages'!$H:$H,BQ$2)</f>
        <v>0</v>
      </c>
      <c r="BR15">
        <f>COUNTIFS('Coded Passages'!$B:$B,$A15,'Coded Passages'!$E:$E,$B15,'Coded Passages'!$H:$H,BR$2)</f>
        <v>0</v>
      </c>
      <c r="BS15">
        <f>COUNTIFS('Coded Passages'!$B:$B,$A15,'Coded Passages'!$E:$E,$B15,'Coded Passages'!$H:$H,BS$2)</f>
        <v>0</v>
      </c>
      <c r="BT15">
        <f>COUNTIFS('Coded Passages'!$B:$B,$A15,'Coded Passages'!$E:$E,$B15,'Coded Passages'!$H:$H,BT$2)</f>
        <v>0</v>
      </c>
      <c r="BU15">
        <f>COUNTIFS('Coded Passages'!$B:$B,$A15,'Coded Passages'!$E:$E,$B15,'Coded Passages'!$H:$H,BU$2)</f>
        <v>0</v>
      </c>
      <c r="BV15">
        <f>COUNTIFS('Coded Passages'!$B:$B,$A15,'Coded Passages'!$E:$E,$B15,'Coded Passages'!$H:$H,BV$2)</f>
        <v>0</v>
      </c>
      <c r="BW15">
        <f>COUNTIFS('Coded Passages'!$B:$B,$A15,'Coded Passages'!$E:$E,$B15,'Coded Passages'!$H:$H,BW$2)</f>
        <v>0</v>
      </c>
      <c r="BX15">
        <f>COUNTIFS('Coded Passages'!$B:$B,$A15,'Coded Passages'!$E:$E,$B15,'Coded Passages'!$H:$H,BX$2)</f>
        <v>0</v>
      </c>
      <c r="BY15">
        <f>COUNTIFS('Coded Passages'!$B:$B,$A15,'Coded Passages'!$E:$E,$B15,'Coded Passages'!$H:$H,BY$2)</f>
        <v>0</v>
      </c>
      <c r="BZ15">
        <f>COUNTIFS('Coded Passages'!$B:$B,$A15,'Coded Passages'!$E:$E,$B15,'Coded Passages'!$H:$H,BZ$2)</f>
        <v>0</v>
      </c>
      <c r="CA15">
        <f>COUNTIFS('Coded Passages'!$B:$B,$A15,'Coded Passages'!$E:$E,$B15,'Coded Passages'!$H:$H,CA$2)</f>
        <v>0</v>
      </c>
      <c r="CB15">
        <f>COUNTIFS('Coded Passages'!$B:$B,$A15,'Coded Passages'!$E:$E,$B15,'Coded Passages'!$H:$H,CB$2)</f>
        <v>0</v>
      </c>
      <c r="CC15">
        <f>COUNTIFS('Coded Passages'!$B:$B,$A15,'Coded Passages'!$E:$E,$B15,'Coded Passages'!$H:$H,CC$2)</f>
        <v>0</v>
      </c>
      <c r="CD15">
        <f>COUNTIFS('Coded Passages'!$B:$B,$A15,'Coded Passages'!$E:$E,$B15,'Coded Passages'!$H:$H,CD$2)</f>
        <v>0</v>
      </c>
      <c r="CE15">
        <f>COUNTIFS('Coded Passages'!$B:$B,$A15,'Coded Passages'!$E:$E,$B15,'Coded Passages'!$H:$H,CE$2)</f>
        <v>0</v>
      </c>
      <c r="CF15">
        <f>COUNTIFS('Coded Passages'!$B:$B,$A15,'Coded Passages'!$E:$E,$B15,'Coded Passages'!$H:$H,CF$2)</f>
        <v>0</v>
      </c>
      <c r="CG15">
        <f>COUNTIFS('Coded Passages'!$B:$B,$A15,'Coded Passages'!$E:$E,$B15,'Coded Passages'!$H:$H,CG$2)</f>
        <v>0</v>
      </c>
      <c r="CH15">
        <f>COUNTIFS('Coded Passages'!$B:$B,$A15,'Coded Passages'!$E:$E,$B15,'Coded Passages'!$H:$H,CH$2)</f>
        <v>0</v>
      </c>
      <c r="CI15">
        <f>COUNTIFS('Coded Passages'!$B:$B,$A15,'Coded Passages'!$E:$E,$B15,'Coded Passages'!$H:$H,CI$2)</f>
        <v>1</v>
      </c>
      <c r="CJ15">
        <f>COUNTIFS('Coded Passages'!$B:$B,$A15,'Coded Passages'!$E:$E,$B15,'Coded Passages'!$H:$H,CJ$2)</f>
        <v>0</v>
      </c>
      <c r="CK15">
        <f>COUNTIFS('Coded Passages'!$B:$B,$A15,'Coded Passages'!$E:$E,$B15,'Coded Passages'!$H:$H,CK$2)</f>
        <v>0</v>
      </c>
      <c r="CL15">
        <f>COUNTIFS('Coded Passages'!$B:$B,$A15,'Coded Passages'!$E:$E,$B15,'Coded Passages'!$H:$H,CL$2)</f>
        <v>1</v>
      </c>
      <c r="CM15">
        <f>COUNTIFS('Coded Passages'!$B:$B,$A15,'Coded Passages'!$E:$E,$B15,'Coded Passages'!$H:$H,CM$2)</f>
        <v>0</v>
      </c>
      <c r="CN15">
        <f>COUNTIFS('Coded Passages'!$B:$B,$A15,'Coded Passages'!$E:$E,$B15,'Coded Passages'!$H:$H,CN$2)</f>
        <v>0</v>
      </c>
      <c r="CO15">
        <f>COUNTIFS('Coded Passages'!$B:$B,$A15,'Coded Passages'!$E:$E,$B15,'Coded Passages'!$H:$H,CO$2)</f>
        <v>0</v>
      </c>
      <c r="CP15">
        <f>COUNTIFS('Coded Passages'!$B:$B,$A15,'Coded Passages'!$E:$E,$B15,'Coded Passages'!$H:$H,CP$2)</f>
        <v>0</v>
      </c>
      <c r="CQ15">
        <f>COUNTIFS('Coded Passages'!$B:$B,$A15,'Coded Passages'!$E:$E,$B15,'Coded Passages'!$H:$H,CQ$2)</f>
        <v>0</v>
      </c>
      <c r="CR15">
        <f>COUNTIFS('Coded Passages'!$B:$B,$A15,'Coded Passages'!$E:$E,$B15,'Coded Passages'!$H:$H,CR$2)</f>
        <v>0</v>
      </c>
      <c r="CS15">
        <f>COUNTIFS('Coded Passages'!$B:$B,$A15,'Coded Passages'!$E:$E,$B15,'Coded Passages'!$H:$H,CS$2)</f>
        <v>0</v>
      </c>
      <c r="CT15">
        <f>COUNTIFS('Coded Passages'!$B:$B,$A15,'Coded Passages'!$E:$E,$B15,'Coded Passages'!$H:$H,CT$2)</f>
        <v>0</v>
      </c>
      <c r="CU15">
        <f>COUNTIFS('Coded Passages'!$B:$B,$A15,'Coded Passages'!$E:$E,$B15,'Coded Passages'!$H:$H,CU$2)</f>
        <v>0</v>
      </c>
      <c r="CV15">
        <f>COUNTIFS('Coded Passages'!$B:$B,$A15,'Coded Passages'!$E:$E,$B15,'Coded Passages'!$H:$H,CV$2)</f>
        <v>0</v>
      </c>
      <c r="CW15">
        <f>COUNTIFS('Coded Passages'!$B:$B,$A15,'Coded Passages'!$E:$E,$B15,'Coded Passages'!$H:$H,CW$2)</f>
        <v>0</v>
      </c>
      <c r="CX15">
        <f>COUNTIFS('Coded Passages'!$B:$B,$A15,'Coded Passages'!$E:$E,$B15,'Coded Passages'!$H:$H,CX$2)</f>
        <v>0</v>
      </c>
      <c r="CY15">
        <f>COUNTIFS('Coded Passages'!$B:$B,$A15,'Coded Passages'!$E:$E,$B15,'Coded Passages'!$H:$H,CY$2)</f>
        <v>0</v>
      </c>
      <c r="CZ15">
        <f>COUNTIFS('Coded Passages'!$B:$B,$A15,'Coded Passages'!$E:$E,$B15,'Coded Passages'!$H:$H,CZ$2)</f>
        <v>0</v>
      </c>
      <c r="DA15">
        <f>COUNTIFS('Coded Passages'!$B:$B,$A15,'Coded Passages'!$E:$E,$B15,'Coded Passages'!$H:$H,DA$2)</f>
        <v>0</v>
      </c>
      <c r="DB15">
        <f>COUNTIFS('Coded Passages'!$B:$B,$A15,'Coded Passages'!$E:$E,$B15,'Coded Passages'!$H:$H,DB$2)</f>
        <v>0</v>
      </c>
      <c r="DC15">
        <f>COUNTIFS('Coded Passages'!$B:$B,$A15,'Coded Passages'!$E:$E,$B15,'Coded Passages'!$H:$H,DC$2)</f>
        <v>0</v>
      </c>
      <c r="DD15">
        <f>COUNTIFS('Coded Passages'!$B:$B,$A15,'Coded Passages'!$E:$E,$B15,'Coded Passages'!$H:$H,DD$2)</f>
        <v>0</v>
      </c>
      <c r="DE15">
        <f>COUNTIFS('Coded Passages'!$B:$B,$A15,'Coded Passages'!$E:$E,$B15,'Coded Passages'!$H:$H,DE$2)</f>
        <v>0</v>
      </c>
      <c r="DF15">
        <f>COUNTIFS('Coded Passages'!$B:$B,$A15,'Coded Passages'!$E:$E,$B15,'Coded Passages'!$H:$H,DF$2)</f>
        <v>0</v>
      </c>
      <c r="DG15">
        <f>COUNTIFS('Coded Passages'!$B:$B,$A15,'Coded Passages'!$E:$E,$B15,'Coded Passages'!$H:$H,DG$2)</f>
        <v>0</v>
      </c>
      <c r="DH15">
        <f>COUNTIFS('Coded Passages'!$B:$B,$A15,'Coded Passages'!$E:$E,$B15,'Coded Passages'!$H:$H,DH$2)</f>
        <v>0</v>
      </c>
      <c r="DI15">
        <f>COUNTIFS('Coded Passages'!$B:$B,$A15,'Coded Passages'!$E:$E,$B15,'Coded Passages'!$H:$H,DI$2)</f>
        <v>0</v>
      </c>
      <c r="DJ15">
        <f>COUNTIFS('Coded Passages'!$B:$B,$A15,'Coded Passages'!$E:$E,$B15,'Coded Passages'!$H:$H,DJ$2)</f>
        <v>0</v>
      </c>
      <c r="DK15">
        <f>COUNTIFS('Coded Passages'!$B:$B,$A15,'Coded Passages'!$E:$E,$B15,'Coded Passages'!$H:$H,DK$2)</f>
        <v>0</v>
      </c>
      <c r="DL15">
        <f>COUNTIFS('Coded Passages'!$B:$B,$A15,'Coded Passages'!$E:$E,$B15,'Coded Passages'!$H:$H,DL$2)</f>
        <v>0</v>
      </c>
      <c r="DM15">
        <f>COUNTIFS('Coded Passages'!$B:$B,$A15,'Coded Passages'!$E:$E,$B15,'Coded Passages'!$H:$H,DM$2)</f>
        <v>0</v>
      </c>
      <c r="DN15">
        <f>COUNTIFS('Coded Passages'!$B:$B,$A15,'Coded Passages'!$E:$E,$B15,'Coded Passages'!$H:$H,DN$2)</f>
        <v>0</v>
      </c>
      <c r="DO15">
        <f>COUNTIFS('Coded Passages'!$B:$B,$A15,'Coded Passages'!$E:$E,$B15,'Coded Passages'!$H:$H,DO$2)</f>
        <v>0</v>
      </c>
      <c r="DP15">
        <f>COUNTIFS('Coded Passages'!$B:$B,$A15,'Coded Passages'!$E:$E,$B15,'Coded Passages'!$H:$H,DP$2)</f>
        <v>0</v>
      </c>
      <c r="DQ15">
        <f>COUNTIFS('Coded Passages'!$B:$B,$A15,'Coded Passages'!$E:$E,$B15,'Coded Passages'!$H:$H,DQ$2)</f>
        <v>0</v>
      </c>
      <c r="DR15">
        <f>COUNTIFS('Coded Passages'!$B:$B,$A15,'Coded Passages'!$E:$E,$B15,'Coded Passages'!$H:$H,DR$2)</f>
        <v>0</v>
      </c>
      <c r="DS15">
        <f>COUNTIFS('Coded Passages'!$B:$B,$A15,'Coded Passages'!$E:$E,$B15,'Coded Passages'!$H:$H,DS$2)</f>
        <v>0</v>
      </c>
      <c r="DT15">
        <f>COUNTIFS('Coded Passages'!$B:$B,$A15,'Coded Passages'!$E:$E,$B15,'Coded Passages'!$H:$H,DT$2)</f>
        <v>0</v>
      </c>
      <c r="DU15">
        <f>COUNTIFS('Coded Passages'!$B:$B,$A15,'Coded Passages'!$E:$E,$B15,'Coded Passages'!$H:$H,DU$2)</f>
        <v>0</v>
      </c>
      <c r="DV15">
        <f>COUNTIFS('Coded Passages'!$B:$B,$A15,'Coded Passages'!$E:$E,$B15,'Coded Passages'!$H:$H,DV$2)</f>
        <v>0</v>
      </c>
      <c r="DW15">
        <f>COUNTIFS('Coded Passages'!$B:$B,$A15,'Coded Passages'!$E:$E,$B15,'Coded Passages'!$H:$H,DW$2)</f>
        <v>0</v>
      </c>
      <c r="DX15">
        <f>COUNTIFS('Coded Passages'!$B:$B,$A15,'Coded Passages'!$E:$E,$B15,'Coded Passages'!$H:$H,DX$2)</f>
        <v>0</v>
      </c>
      <c r="DY15">
        <f>COUNTIFS('Coded Passages'!$B:$B,$A15,'Coded Passages'!$E:$E,$B15,'Coded Passages'!$H:$H,DY$2)</f>
        <v>0</v>
      </c>
      <c r="DZ15">
        <f>COUNTIFS('Coded Passages'!$B:$B,$A15,'Coded Passages'!$E:$E,$B15,'Coded Passages'!$H:$H,DZ$2)</f>
        <v>0</v>
      </c>
      <c r="EA15">
        <f>COUNTIFS('Coded Passages'!$B:$B,$A15,'Coded Passages'!$E:$E,$B15,'Coded Passages'!$H:$H,EA$2)</f>
        <v>0</v>
      </c>
      <c r="EB15">
        <f>COUNTIFS('Coded Passages'!$B:$B,$A15,'Coded Passages'!$E:$E,$B15,'Coded Passages'!$H:$H,EB$2)</f>
        <v>0</v>
      </c>
      <c r="EC15">
        <f>COUNTIFS('Coded Passages'!$B:$B,$A15,'Coded Passages'!$E:$E,$B15,'Coded Passages'!$H:$H,EC$2)</f>
        <v>0</v>
      </c>
      <c r="ED15">
        <f>COUNTIFS('Coded Passages'!$B:$B,$A15,'Coded Passages'!$E:$E,$B15,'Coded Passages'!$H:$H,ED$2)</f>
        <v>0</v>
      </c>
      <c r="EE15">
        <f>COUNTIFS('Coded Passages'!$B:$B,$A15,'Coded Passages'!$E:$E,$B15,'Coded Passages'!$H:$H,EE$2)</f>
        <v>0</v>
      </c>
      <c r="EF15">
        <f>COUNTIFS('Coded Passages'!$B:$B,$A15,'Coded Passages'!$E:$E,$B15,'Coded Passages'!$H:$H,EF$2)</f>
        <v>0</v>
      </c>
      <c r="EG15">
        <f>COUNTIFS('Coded Passages'!$B:$B,$A15,'Coded Passages'!$E:$E,$B15,'Coded Passages'!$H:$H,EG$2)</f>
        <v>0</v>
      </c>
      <c r="EH15">
        <f>COUNTIFS('Coded Passages'!$B:$B,$A15,'Coded Passages'!$E:$E,$B15,'Coded Passages'!$H:$H,EH$2)</f>
        <v>0</v>
      </c>
      <c r="EI15">
        <f>COUNTIFS('Coded Passages'!$B:$B,$A15,'Coded Passages'!$E:$E,$B15,'Coded Passages'!$H:$H,EI$2)</f>
        <v>0</v>
      </c>
      <c r="EJ15">
        <f>COUNTIFS('Coded Passages'!$B:$B,$A15,'Coded Passages'!$E:$E,$B15,'Coded Passages'!$H:$H,EJ$2)</f>
        <v>0</v>
      </c>
      <c r="EK15">
        <f>COUNTIFS('Coded Passages'!$B:$B,$A15,'Coded Passages'!$E:$E,$B15,'Coded Passages'!$H:$H,EK$2)</f>
        <v>0</v>
      </c>
      <c r="EL15">
        <f>COUNTIFS('Coded Passages'!$B:$B,$A15,'Coded Passages'!$E:$E,$B15,'Coded Passages'!$H:$H,EL$2)</f>
        <v>0</v>
      </c>
      <c r="EM15">
        <f>COUNTIFS('Coded Passages'!$B:$B,$A15,'Coded Passages'!$E:$E,$B15,'Coded Passages'!$H:$H,EM$2)</f>
        <v>0</v>
      </c>
      <c r="EN15">
        <f>COUNTIFS('Coded Passages'!$B:$B,$A15,'Coded Passages'!$E:$E,$B15,'Coded Passages'!$H:$H,EN$2)</f>
        <v>0</v>
      </c>
      <c r="EO15">
        <f>COUNTIFS('Coded Passages'!$B:$B,$A15,'Coded Passages'!$E:$E,$B15,'Coded Passages'!$H:$H,EO$2)</f>
        <v>0</v>
      </c>
      <c r="EP15">
        <f>COUNTIFS('Coded Passages'!$B:$B,$A15,'Coded Passages'!$E:$E,$B15,'Coded Passages'!$H:$H,EP$2)</f>
        <v>0</v>
      </c>
      <c r="EQ15">
        <f>COUNTIFS('Coded Passages'!$B:$B,$A15,'Coded Passages'!$E:$E,$B15,'Coded Passages'!$H:$H,EQ$2)</f>
        <v>0</v>
      </c>
      <c r="ER15">
        <f>COUNTIFS('Coded Passages'!$B:$B,$A15,'Coded Passages'!$E:$E,$B15,'Coded Passages'!$H:$H,ER$2)</f>
        <v>0</v>
      </c>
      <c r="ES15">
        <f>COUNTIFS('Coded Passages'!$B:$B,$A15,'Coded Passages'!$E:$E,$B15,'Coded Passages'!$H:$H,ES$2)</f>
        <v>0</v>
      </c>
      <c r="ET15">
        <f>COUNTIFS('Coded Passages'!$B:$B,$A15,'Coded Passages'!$E:$E,$B15,'Coded Passages'!$H:$H,ET$2)</f>
        <v>0</v>
      </c>
      <c r="EU15">
        <f>COUNTIFS('Coded Passages'!$B:$B,$A15,'Coded Passages'!$E:$E,$B15,'Coded Passages'!$H:$H,EU$2)</f>
        <v>0</v>
      </c>
      <c r="EV15">
        <f>COUNTIFS('Coded Passages'!$B:$B,$A15,'Coded Passages'!$E:$E,$B15,'Coded Passages'!$H:$H,EV$2)</f>
        <v>0</v>
      </c>
      <c r="EW15">
        <f>COUNTIFS('Coded Passages'!$B:$B,$A15,'Coded Passages'!$E:$E,$B15,'Coded Passages'!$H:$H,EW$2)</f>
        <v>0</v>
      </c>
      <c r="EX15">
        <f>COUNTIFS('Coded Passages'!$B:$B,$A15,'Coded Passages'!$E:$E,$B15,'Coded Passages'!$H:$H,EX$2)</f>
        <v>0</v>
      </c>
      <c r="EY15">
        <f>COUNTIFS('Coded Passages'!$B:$B,$A15,'Coded Passages'!$E:$E,$B15,'Coded Passages'!$H:$H,EY$2)</f>
        <v>0</v>
      </c>
      <c r="EZ15">
        <f>COUNTIFS('Coded Passages'!$B:$B,$A15,'Coded Passages'!$E:$E,$B15,'Coded Passages'!$H:$H,EZ$2)</f>
        <v>0</v>
      </c>
      <c r="FA15">
        <f>COUNTIFS('Coded Passages'!$B:$B,$A15,'Coded Passages'!$E:$E,$B15,'Coded Passages'!$H:$H,FA$2)</f>
        <v>0</v>
      </c>
      <c r="FB15">
        <f>COUNTIFS('Coded Passages'!$B:$B,$A15,'Coded Passages'!$E:$E,$B15,'Coded Passages'!$H:$H,FB$2)</f>
        <v>0</v>
      </c>
      <c r="FC15">
        <f>COUNTIFS('Coded Passages'!$B:$B,$A15,'Coded Passages'!$E:$E,$B15,'Coded Passages'!$H:$H,FC$2)</f>
        <v>0</v>
      </c>
      <c r="FD15">
        <f>COUNTIFS('Coded Passages'!$B:$B,$A15,'Coded Passages'!$E:$E,$B15,'Coded Passages'!$H:$H,FD$2)</f>
        <v>0</v>
      </c>
      <c r="FE15">
        <f>COUNTIFS('Coded Passages'!$B:$B,$A15,'Coded Passages'!$E:$E,$B15,'Coded Passages'!$H:$H,FE$2)</f>
        <v>0</v>
      </c>
      <c r="FF15">
        <f>COUNTIFS('Coded Passages'!$B:$B,$A15,'Coded Passages'!$E:$E,$B15,'Coded Passages'!$H:$H,FF$2)</f>
        <v>0</v>
      </c>
      <c r="FG15">
        <f>COUNTIFS('Coded Passages'!$B:$B,$A15,'Coded Passages'!$E:$E,$B15,'Coded Passages'!$H:$H,FG$2)</f>
        <v>0</v>
      </c>
      <c r="FH15">
        <f>COUNTIFS('Coded Passages'!$B:$B,$A15,'Coded Passages'!$E:$E,$B15,'Coded Passages'!$H:$H,FH$2)</f>
        <v>0</v>
      </c>
      <c r="FI15">
        <f>COUNTIFS('Coded Passages'!$B:$B,$A15,'Coded Passages'!$E:$E,$B15,'Coded Passages'!$H:$H,FI$2)</f>
        <v>0</v>
      </c>
      <c r="FJ15">
        <f>COUNTIFS('Coded Passages'!$B:$B,$A15,'Coded Passages'!$E:$E,$B15,'Coded Passages'!$H:$H,FJ$2)</f>
        <v>0</v>
      </c>
      <c r="FK15">
        <f>COUNTIFS('Coded Passages'!$B:$B,$A15,'Coded Passages'!$E:$E,$B15,'Coded Passages'!$H:$H,FK$2)</f>
        <v>0</v>
      </c>
      <c r="FL15">
        <f>COUNTIFS('Coded Passages'!$B:$B,$A15,'Coded Passages'!$E:$E,$B15,'Coded Passages'!$H:$H,FL$2)</f>
        <v>0</v>
      </c>
      <c r="FM15">
        <f>COUNTIFS('Coded Passages'!$B:$B,$A15,'Coded Passages'!$E:$E,$B15,'Coded Passages'!$H:$H,FM$2)</f>
        <v>0</v>
      </c>
      <c r="FN15">
        <f>COUNTIFS('Coded Passages'!$B:$B,$A15,'Coded Passages'!$E:$E,$B15,'Coded Passages'!$H:$H,FN$2)</f>
        <v>0</v>
      </c>
      <c r="FO15">
        <f>COUNTIFS('Coded Passages'!$B:$B,$A15,'Coded Passages'!$E:$E,$B15,'Coded Passages'!$H:$H,FO$2)</f>
        <v>0</v>
      </c>
      <c r="FP15">
        <f t="shared" si="0"/>
        <v>7</v>
      </c>
    </row>
    <row r="16" spans="1:172" x14ac:dyDescent="0.45">
      <c r="A16" s="11" t="s">
        <v>14</v>
      </c>
      <c r="B16" s="16" t="s">
        <v>91</v>
      </c>
      <c r="C16">
        <f>COUNTIFS('Coded Passages'!$B:$B,$A16,'Coded Passages'!$E:$E,$B16,'Coded Passages'!$H:$H,C$2)</f>
        <v>0</v>
      </c>
      <c r="D16">
        <f>COUNTIFS('Coded Passages'!$B:$B,$A16,'Coded Passages'!$E:$E,$B16,'Coded Passages'!$H:$H,D$2)</f>
        <v>0</v>
      </c>
      <c r="E16">
        <f>COUNTIFS('Coded Passages'!$B:$B,$A16,'Coded Passages'!$E:$E,$B16,'Coded Passages'!$H:$H,E$2)</f>
        <v>0</v>
      </c>
      <c r="F16">
        <f>COUNTIFS('Coded Passages'!$B:$B,$A16,'Coded Passages'!$E:$E,$B16,'Coded Passages'!$H:$H,F$2)</f>
        <v>0</v>
      </c>
      <c r="G16">
        <f>COUNTIFS('Coded Passages'!$B:$B,$A16,'Coded Passages'!$E:$E,$B16,'Coded Passages'!$H:$H,G$2)</f>
        <v>1</v>
      </c>
      <c r="H16">
        <f>COUNTIFS('Coded Passages'!$B:$B,$A16,'Coded Passages'!$E:$E,$B16,'Coded Passages'!$H:$H,H$2)</f>
        <v>0</v>
      </c>
      <c r="I16">
        <f>COUNTIFS('Coded Passages'!$B:$B,$A16,'Coded Passages'!$E:$E,$B16,'Coded Passages'!$H:$H,I$2)</f>
        <v>0</v>
      </c>
      <c r="J16">
        <f>COUNTIFS('Coded Passages'!$B:$B,$A16,'Coded Passages'!$E:$E,$B16,'Coded Passages'!$H:$H,J$2)</f>
        <v>0</v>
      </c>
      <c r="K16">
        <f>COUNTIFS('Coded Passages'!$B:$B,$A16,'Coded Passages'!$E:$E,$B16,'Coded Passages'!$H:$H,K$2)</f>
        <v>0</v>
      </c>
      <c r="L16">
        <f>COUNTIFS('Coded Passages'!$B:$B,$A16,'Coded Passages'!$E:$E,$B16,'Coded Passages'!$H:$H,L$2)</f>
        <v>0</v>
      </c>
      <c r="M16">
        <f>COUNTIFS('Coded Passages'!$B:$B,$A16,'Coded Passages'!$E:$E,$B16,'Coded Passages'!$H:$H,M$2)</f>
        <v>0</v>
      </c>
      <c r="N16">
        <f>COUNTIFS('Coded Passages'!$B:$B,$A16,'Coded Passages'!$E:$E,$B16,'Coded Passages'!$H:$H,N$2)</f>
        <v>0</v>
      </c>
      <c r="O16">
        <f>COUNTIFS('Coded Passages'!$B:$B,$A16,'Coded Passages'!$E:$E,$B16,'Coded Passages'!$H:$H,O$2)</f>
        <v>0</v>
      </c>
      <c r="P16">
        <f>COUNTIFS('Coded Passages'!$B:$B,$A16,'Coded Passages'!$E:$E,$B16,'Coded Passages'!$H:$H,P$2)</f>
        <v>0</v>
      </c>
      <c r="Q16">
        <f>COUNTIFS('Coded Passages'!$B:$B,$A16,'Coded Passages'!$E:$E,$B16,'Coded Passages'!$H:$H,Q$2)</f>
        <v>0</v>
      </c>
      <c r="R16">
        <f>COUNTIFS('Coded Passages'!$B:$B,$A16,'Coded Passages'!$E:$E,$B16,'Coded Passages'!$H:$H,R$2)</f>
        <v>0</v>
      </c>
      <c r="S16">
        <f>COUNTIFS('Coded Passages'!$B:$B,$A16,'Coded Passages'!$E:$E,$B16,'Coded Passages'!$H:$H,S$2)</f>
        <v>0</v>
      </c>
      <c r="T16">
        <f>COUNTIFS('Coded Passages'!$B:$B,$A16,'Coded Passages'!$E:$E,$B16,'Coded Passages'!$H:$H,T$2)</f>
        <v>0</v>
      </c>
      <c r="U16">
        <f>COUNTIFS('Coded Passages'!$B:$B,$A16,'Coded Passages'!$E:$E,$B16,'Coded Passages'!$H:$H,U$2)</f>
        <v>0</v>
      </c>
      <c r="V16">
        <f>COUNTIFS('Coded Passages'!$B:$B,$A16,'Coded Passages'!$E:$E,$B16,'Coded Passages'!$H:$H,V$2)</f>
        <v>0</v>
      </c>
      <c r="W16">
        <f>COUNTIFS('Coded Passages'!$B:$B,$A16,'Coded Passages'!$E:$E,$B16,'Coded Passages'!$H:$H,W$2)</f>
        <v>0</v>
      </c>
      <c r="X16">
        <f>COUNTIFS('Coded Passages'!$B:$B,$A16,'Coded Passages'!$E:$E,$B16,'Coded Passages'!$H:$H,X$2)</f>
        <v>0</v>
      </c>
      <c r="Y16">
        <f>COUNTIFS('Coded Passages'!$B:$B,$A16,'Coded Passages'!$E:$E,$B16,'Coded Passages'!$H:$H,Y$2)</f>
        <v>0</v>
      </c>
      <c r="Z16">
        <f>COUNTIFS('Coded Passages'!$B:$B,$A16,'Coded Passages'!$E:$E,$B16,'Coded Passages'!$H:$H,Z$2)</f>
        <v>0</v>
      </c>
      <c r="AA16">
        <f>COUNTIFS('Coded Passages'!$B:$B,$A16,'Coded Passages'!$E:$E,$B16,'Coded Passages'!$H:$H,AA$2)</f>
        <v>0</v>
      </c>
      <c r="AB16">
        <f>COUNTIFS('Coded Passages'!$B:$B,$A16,'Coded Passages'!$E:$E,$B16,'Coded Passages'!$H:$H,AB$2)</f>
        <v>0</v>
      </c>
      <c r="AC16">
        <f>COUNTIFS('Coded Passages'!$B:$B,$A16,'Coded Passages'!$E:$E,$B16,'Coded Passages'!$H:$H,AC$2)</f>
        <v>0</v>
      </c>
      <c r="AD16">
        <f>COUNTIFS('Coded Passages'!$B:$B,$A16,'Coded Passages'!$E:$E,$B16,'Coded Passages'!$H:$H,AD$2)</f>
        <v>0</v>
      </c>
      <c r="AE16">
        <f>COUNTIFS('Coded Passages'!$B:$B,$A16,'Coded Passages'!$E:$E,$B16,'Coded Passages'!$H:$H,AE$2)</f>
        <v>0</v>
      </c>
      <c r="AF16">
        <f>COUNTIFS('Coded Passages'!$B:$B,$A16,'Coded Passages'!$E:$E,$B16,'Coded Passages'!$H:$H,AF$2)</f>
        <v>0</v>
      </c>
      <c r="AG16">
        <f>COUNTIFS('Coded Passages'!$B:$B,$A16,'Coded Passages'!$E:$E,$B16,'Coded Passages'!$H:$H,AG$2)</f>
        <v>0</v>
      </c>
      <c r="AH16">
        <f>COUNTIFS('Coded Passages'!$B:$B,$A16,'Coded Passages'!$E:$E,$B16,'Coded Passages'!$H:$H,AH$2)</f>
        <v>0</v>
      </c>
      <c r="AI16">
        <f>COUNTIFS('Coded Passages'!$B:$B,$A16,'Coded Passages'!$E:$E,$B16,'Coded Passages'!$H:$H,AI$2)</f>
        <v>0</v>
      </c>
      <c r="AJ16">
        <f>COUNTIFS('Coded Passages'!$B:$B,$A16,'Coded Passages'!$E:$E,$B16,'Coded Passages'!$H:$H,AJ$2)</f>
        <v>0</v>
      </c>
      <c r="AK16">
        <f>COUNTIFS('Coded Passages'!$B:$B,$A16,'Coded Passages'!$E:$E,$B16,'Coded Passages'!$H:$H,AK$2)</f>
        <v>0</v>
      </c>
      <c r="AL16">
        <f>COUNTIFS('Coded Passages'!$B:$B,$A16,'Coded Passages'!$E:$E,$B16,'Coded Passages'!$H:$H,AL$2)</f>
        <v>0</v>
      </c>
      <c r="AM16">
        <f>COUNTIFS('Coded Passages'!$B:$B,$A16,'Coded Passages'!$E:$E,$B16,'Coded Passages'!$H:$H,AM$2)</f>
        <v>0</v>
      </c>
      <c r="AN16">
        <f>COUNTIFS('Coded Passages'!$B:$B,$A16,'Coded Passages'!$E:$E,$B16,'Coded Passages'!$H:$H,AN$2)</f>
        <v>0</v>
      </c>
      <c r="AO16">
        <f>COUNTIFS('Coded Passages'!$B:$B,$A16,'Coded Passages'!$E:$E,$B16,'Coded Passages'!$H:$H,AO$2)</f>
        <v>0</v>
      </c>
      <c r="AP16">
        <f>COUNTIFS('Coded Passages'!$B:$B,$A16,'Coded Passages'!$E:$E,$B16,'Coded Passages'!$H:$H,AP$2)</f>
        <v>0</v>
      </c>
      <c r="AQ16">
        <f>COUNTIFS('Coded Passages'!$B:$B,$A16,'Coded Passages'!$E:$E,$B16,'Coded Passages'!$H:$H,AQ$2)</f>
        <v>0</v>
      </c>
      <c r="AR16">
        <f>COUNTIFS('Coded Passages'!$B:$B,$A16,'Coded Passages'!$E:$E,$B16,'Coded Passages'!$H:$H,AR$2)</f>
        <v>0</v>
      </c>
      <c r="AS16">
        <f>COUNTIFS('Coded Passages'!$B:$B,$A16,'Coded Passages'!$E:$E,$B16,'Coded Passages'!$H:$H,AS$2)</f>
        <v>0</v>
      </c>
      <c r="AT16">
        <f>COUNTIFS('Coded Passages'!$B:$B,$A16,'Coded Passages'!$E:$E,$B16,'Coded Passages'!$H:$H,AT$2)</f>
        <v>0</v>
      </c>
      <c r="AU16">
        <f>COUNTIFS('Coded Passages'!$B:$B,$A16,'Coded Passages'!$E:$E,$B16,'Coded Passages'!$H:$H,AU$2)</f>
        <v>0</v>
      </c>
      <c r="AV16">
        <f>COUNTIFS('Coded Passages'!$B:$B,$A16,'Coded Passages'!$E:$E,$B16,'Coded Passages'!$H:$H,AV$2)</f>
        <v>0</v>
      </c>
      <c r="AW16">
        <f>COUNTIFS('Coded Passages'!$B:$B,$A16,'Coded Passages'!$E:$E,$B16,'Coded Passages'!$H:$H,AW$2)</f>
        <v>0</v>
      </c>
      <c r="AX16">
        <f>COUNTIFS('Coded Passages'!$B:$B,$A16,'Coded Passages'!$E:$E,$B16,'Coded Passages'!$H:$H,AX$2)</f>
        <v>0</v>
      </c>
      <c r="AY16">
        <f>COUNTIFS('Coded Passages'!$B:$B,$A16,'Coded Passages'!$E:$E,$B16,'Coded Passages'!$H:$H,AY$2)</f>
        <v>0</v>
      </c>
      <c r="AZ16">
        <f>COUNTIFS('Coded Passages'!$B:$B,$A16,'Coded Passages'!$E:$E,$B16,'Coded Passages'!$H:$H,AZ$2)</f>
        <v>0</v>
      </c>
      <c r="BA16">
        <f>COUNTIFS('Coded Passages'!$B:$B,$A16,'Coded Passages'!$E:$E,$B16,'Coded Passages'!$H:$H,BA$2)</f>
        <v>0</v>
      </c>
      <c r="BB16">
        <f>COUNTIFS('Coded Passages'!$B:$B,$A16,'Coded Passages'!$E:$E,$B16,'Coded Passages'!$H:$H,BB$2)</f>
        <v>0</v>
      </c>
      <c r="BC16">
        <f>COUNTIFS('Coded Passages'!$B:$B,$A16,'Coded Passages'!$E:$E,$B16,'Coded Passages'!$H:$H,BC$2)</f>
        <v>1</v>
      </c>
      <c r="BD16">
        <f>COUNTIFS('Coded Passages'!$B:$B,$A16,'Coded Passages'!$E:$E,$B16,'Coded Passages'!$H:$H,BD$2)</f>
        <v>0</v>
      </c>
      <c r="BE16">
        <f>COUNTIFS('Coded Passages'!$B:$B,$A16,'Coded Passages'!$E:$E,$B16,'Coded Passages'!$H:$H,BE$2)</f>
        <v>0</v>
      </c>
      <c r="BF16">
        <f>COUNTIFS('Coded Passages'!$B:$B,$A16,'Coded Passages'!$E:$E,$B16,'Coded Passages'!$H:$H,BF$2)</f>
        <v>0</v>
      </c>
      <c r="BG16">
        <f>COUNTIFS('Coded Passages'!$B:$B,$A16,'Coded Passages'!$E:$E,$B16,'Coded Passages'!$H:$H,BG$2)</f>
        <v>0</v>
      </c>
      <c r="BH16">
        <f>COUNTIFS('Coded Passages'!$B:$B,$A16,'Coded Passages'!$E:$E,$B16,'Coded Passages'!$H:$H,BH$2)</f>
        <v>0</v>
      </c>
      <c r="BI16">
        <f>COUNTIFS('Coded Passages'!$B:$B,$A16,'Coded Passages'!$E:$E,$B16,'Coded Passages'!$H:$H,BI$2)</f>
        <v>0</v>
      </c>
      <c r="BJ16">
        <f>COUNTIFS('Coded Passages'!$B:$B,$A16,'Coded Passages'!$E:$E,$B16,'Coded Passages'!$H:$H,BJ$2)</f>
        <v>1</v>
      </c>
      <c r="BK16">
        <f>COUNTIFS('Coded Passages'!$B:$B,$A16,'Coded Passages'!$E:$E,$B16,'Coded Passages'!$H:$H,BK$2)</f>
        <v>0</v>
      </c>
      <c r="BL16">
        <f>COUNTIFS('Coded Passages'!$B:$B,$A16,'Coded Passages'!$E:$E,$B16,'Coded Passages'!$H:$H,BL$2)</f>
        <v>0</v>
      </c>
      <c r="BM16">
        <f>COUNTIFS('Coded Passages'!$B:$B,$A16,'Coded Passages'!$E:$E,$B16,'Coded Passages'!$H:$H,BM$2)</f>
        <v>0</v>
      </c>
      <c r="BN16">
        <f>COUNTIFS('Coded Passages'!$B:$B,$A16,'Coded Passages'!$E:$E,$B16,'Coded Passages'!$H:$H,BN$2)</f>
        <v>0</v>
      </c>
      <c r="BO16">
        <f>COUNTIFS('Coded Passages'!$B:$B,$A16,'Coded Passages'!$E:$E,$B16,'Coded Passages'!$H:$H,BO$2)</f>
        <v>0</v>
      </c>
      <c r="BP16">
        <f>COUNTIFS('Coded Passages'!$B:$B,$A16,'Coded Passages'!$E:$E,$B16,'Coded Passages'!$H:$H,BP$2)</f>
        <v>0</v>
      </c>
      <c r="BQ16">
        <f>COUNTIFS('Coded Passages'!$B:$B,$A16,'Coded Passages'!$E:$E,$B16,'Coded Passages'!$H:$H,BQ$2)</f>
        <v>0</v>
      </c>
      <c r="BR16">
        <f>COUNTIFS('Coded Passages'!$B:$B,$A16,'Coded Passages'!$E:$E,$B16,'Coded Passages'!$H:$H,BR$2)</f>
        <v>0</v>
      </c>
      <c r="BS16">
        <f>COUNTIFS('Coded Passages'!$B:$B,$A16,'Coded Passages'!$E:$E,$B16,'Coded Passages'!$H:$H,BS$2)</f>
        <v>0</v>
      </c>
      <c r="BT16">
        <f>COUNTIFS('Coded Passages'!$B:$B,$A16,'Coded Passages'!$E:$E,$B16,'Coded Passages'!$H:$H,BT$2)</f>
        <v>0</v>
      </c>
      <c r="BU16">
        <f>COUNTIFS('Coded Passages'!$B:$B,$A16,'Coded Passages'!$E:$E,$B16,'Coded Passages'!$H:$H,BU$2)</f>
        <v>0</v>
      </c>
      <c r="BV16">
        <f>COUNTIFS('Coded Passages'!$B:$B,$A16,'Coded Passages'!$E:$E,$B16,'Coded Passages'!$H:$H,BV$2)</f>
        <v>0</v>
      </c>
      <c r="BW16">
        <f>COUNTIFS('Coded Passages'!$B:$B,$A16,'Coded Passages'!$E:$E,$B16,'Coded Passages'!$H:$H,BW$2)</f>
        <v>0</v>
      </c>
      <c r="BX16">
        <f>COUNTIFS('Coded Passages'!$B:$B,$A16,'Coded Passages'!$E:$E,$B16,'Coded Passages'!$H:$H,BX$2)</f>
        <v>0</v>
      </c>
      <c r="BY16">
        <f>COUNTIFS('Coded Passages'!$B:$B,$A16,'Coded Passages'!$E:$E,$B16,'Coded Passages'!$H:$H,BY$2)</f>
        <v>0</v>
      </c>
      <c r="BZ16">
        <f>COUNTIFS('Coded Passages'!$B:$B,$A16,'Coded Passages'!$E:$E,$B16,'Coded Passages'!$H:$H,BZ$2)</f>
        <v>0</v>
      </c>
      <c r="CA16">
        <f>COUNTIFS('Coded Passages'!$B:$B,$A16,'Coded Passages'!$E:$E,$B16,'Coded Passages'!$H:$H,CA$2)</f>
        <v>0</v>
      </c>
      <c r="CB16">
        <f>COUNTIFS('Coded Passages'!$B:$B,$A16,'Coded Passages'!$E:$E,$B16,'Coded Passages'!$H:$H,CB$2)</f>
        <v>0</v>
      </c>
      <c r="CC16">
        <f>COUNTIFS('Coded Passages'!$B:$B,$A16,'Coded Passages'!$E:$E,$B16,'Coded Passages'!$H:$H,CC$2)</f>
        <v>0</v>
      </c>
      <c r="CD16">
        <f>COUNTIFS('Coded Passages'!$B:$B,$A16,'Coded Passages'!$E:$E,$B16,'Coded Passages'!$H:$H,CD$2)</f>
        <v>0</v>
      </c>
      <c r="CE16">
        <f>COUNTIFS('Coded Passages'!$B:$B,$A16,'Coded Passages'!$E:$E,$B16,'Coded Passages'!$H:$H,CE$2)</f>
        <v>0</v>
      </c>
      <c r="CF16">
        <f>COUNTIFS('Coded Passages'!$B:$B,$A16,'Coded Passages'!$E:$E,$B16,'Coded Passages'!$H:$H,CF$2)</f>
        <v>0</v>
      </c>
      <c r="CG16">
        <f>COUNTIFS('Coded Passages'!$B:$B,$A16,'Coded Passages'!$E:$E,$B16,'Coded Passages'!$H:$H,CG$2)</f>
        <v>0</v>
      </c>
      <c r="CH16">
        <f>COUNTIFS('Coded Passages'!$B:$B,$A16,'Coded Passages'!$E:$E,$B16,'Coded Passages'!$H:$H,CH$2)</f>
        <v>0</v>
      </c>
      <c r="CI16">
        <f>COUNTIFS('Coded Passages'!$B:$B,$A16,'Coded Passages'!$E:$E,$B16,'Coded Passages'!$H:$H,CI$2)</f>
        <v>0</v>
      </c>
      <c r="CJ16">
        <f>COUNTIFS('Coded Passages'!$B:$B,$A16,'Coded Passages'!$E:$E,$B16,'Coded Passages'!$H:$H,CJ$2)</f>
        <v>0</v>
      </c>
      <c r="CK16">
        <f>COUNTIFS('Coded Passages'!$B:$B,$A16,'Coded Passages'!$E:$E,$B16,'Coded Passages'!$H:$H,CK$2)</f>
        <v>0</v>
      </c>
      <c r="CL16">
        <f>COUNTIFS('Coded Passages'!$B:$B,$A16,'Coded Passages'!$E:$E,$B16,'Coded Passages'!$H:$H,CL$2)</f>
        <v>0</v>
      </c>
      <c r="CM16">
        <f>COUNTIFS('Coded Passages'!$B:$B,$A16,'Coded Passages'!$E:$E,$B16,'Coded Passages'!$H:$H,CM$2)</f>
        <v>0</v>
      </c>
      <c r="CN16">
        <f>COUNTIFS('Coded Passages'!$B:$B,$A16,'Coded Passages'!$E:$E,$B16,'Coded Passages'!$H:$H,CN$2)</f>
        <v>0</v>
      </c>
      <c r="CO16">
        <f>COUNTIFS('Coded Passages'!$B:$B,$A16,'Coded Passages'!$E:$E,$B16,'Coded Passages'!$H:$H,CO$2)</f>
        <v>0</v>
      </c>
      <c r="CP16">
        <f>COUNTIFS('Coded Passages'!$B:$B,$A16,'Coded Passages'!$E:$E,$B16,'Coded Passages'!$H:$H,CP$2)</f>
        <v>0</v>
      </c>
      <c r="CQ16">
        <f>COUNTIFS('Coded Passages'!$B:$B,$A16,'Coded Passages'!$E:$E,$B16,'Coded Passages'!$H:$H,CQ$2)</f>
        <v>0</v>
      </c>
      <c r="CR16">
        <f>COUNTIFS('Coded Passages'!$B:$B,$A16,'Coded Passages'!$E:$E,$B16,'Coded Passages'!$H:$H,CR$2)</f>
        <v>0</v>
      </c>
      <c r="CS16">
        <f>COUNTIFS('Coded Passages'!$B:$B,$A16,'Coded Passages'!$E:$E,$B16,'Coded Passages'!$H:$H,CS$2)</f>
        <v>0</v>
      </c>
      <c r="CT16">
        <f>COUNTIFS('Coded Passages'!$B:$B,$A16,'Coded Passages'!$E:$E,$B16,'Coded Passages'!$H:$H,CT$2)</f>
        <v>0</v>
      </c>
      <c r="CU16">
        <f>COUNTIFS('Coded Passages'!$B:$B,$A16,'Coded Passages'!$E:$E,$B16,'Coded Passages'!$H:$H,CU$2)</f>
        <v>0</v>
      </c>
      <c r="CV16">
        <f>COUNTIFS('Coded Passages'!$B:$B,$A16,'Coded Passages'!$E:$E,$B16,'Coded Passages'!$H:$H,CV$2)</f>
        <v>0</v>
      </c>
      <c r="CW16">
        <f>COUNTIFS('Coded Passages'!$B:$B,$A16,'Coded Passages'!$E:$E,$B16,'Coded Passages'!$H:$H,CW$2)</f>
        <v>0</v>
      </c>
      <c r="CX16">
        <f>COUNTIFS('Coded Passages'!$B:$B,$A16,'Coded Passages'!$E:$E,$B16,'Coded Passages'!$H:$H,CX$2)</f>
        <v>0</v>
      </c>
      <c r="CY16">
        <f>COUNTIFS('Coded Passages'!$B:$B,$A16,'Coded Passages'!$E:$E,$B16,'Coded Passages'!$H:$H,CY$2)</f>
        <v>0</v>
      </c>
      <c r="CZ16">
        <f>COUNTIFS('Coded Passages'!$B:$B,$A16,'Coded Passages'!$E:$E,$B16,'Coded Passages'!$H:$H,CZ$2)</f>
        <v>0</v>
      </c>
      <c r="DA16">
        <f>COUNTIFS('Coded Passages'!$B:$B,$A16,'Coded Passages'!$E:$E,$B16,'Coded Passages'!$H:$H,DA$2)</f>
        <v>0</v>
      </c>
      <c r="DB16">
        <f>COUNTIFS('Coded Passages'!$B:$B,$A16,'Coded Passages'!$E:$E,$B16,'Coded Passages'!$H:$H,DB$2)</f>
        <v>0</v>
      </c>
      <c r="DC16">
        <f>COUNTIFS('Coded Passages'!$B:$B,$A16,'Coded Passages'!$E:$E,$B16,'Coded Passages'!$H:$H,DC$2)</f>
        <v>0</v>
      </c>
      <c r="DD16">
        <f>COUNTIFS('Coded Passages'!$B:$B,$A16,'Coded Passages'!$E:$E,$B16,'Coded Passages'!$H:$H,DD$2)</f>
        <v>0</v>
      </c>
      <c r="DE16">
        <f>COUNTIFS('Coded Passages'!$B:$B,$A16,'Coded Passages'!$E:$E,$B16,'Coded Passages'!$H:$H,DE$2)</f>
        <v>0</v>
      </c>
      <c r="DF16">
        <f>COUNTIFS('Coded Passages'!$B:$B,$A16,'Coded Passages'!$E:$E,$B16,'Coded Passages'!$H:$H,DF$2)</f>
        <v>0</v>
      </c>
      <c r="DG16">
        <f>COUNTIFS('Coded Passages'!$B:$B,$A16,'Coded Passages'!$E:$E,$B16,'Coded Passages'!$H:$H,DG$2)</f>
        <v>0</v>
      </c>
      <c r="DH16">
        <f>COUNTIFS('Coded Passages'!$B:$B,$A16,'Coded Passages'!$E:$E,$B16,'Coded Passages'!$H:$H,DH$2)</f>
        <v>0</v>
      </c>
      <c r="DI16">
        <f>COUNTIFS('Coded Passages'!$B:$B,$A16,'Coded Passages'!$E:$E,$B16,'Coded Passages'!$H:$H,DI$2)</f>
        <v>0</v>
      </c>
      <c r="DJ16">
        <f>COUNTIFS('Coded Passages'!$B:$B,$A16,'Coded Passages'!$E:$E,$B16,'Coded Passages'!$H:$H,DJ$2)</f>
        <v>0</v>
      </c>
      <c r="DK16">
        <f>COUNTIFS('Coded Passages'!$B:$B,$A16,'Coded Passages'!$E:$E,$B16,'Coded Passages'!$H:$H,DK$2)</f>
        <v>0</v>
      </c>
      <c r="DL16">
        <f>COUNTIFS('Coded Passages'!$B:$B,$A16,'Coded Passages'!$E:$E,$B16,'Coded Passages'!$H:$H,DL$2)</f>
        <v>0</v>
      </c>
      <c r="DM16">
        <f>COUNTIFS('Coded Passages'!$B:$B,$A16,'Coded Passages'!$E:$E,$B16,'Coded Passages'!$H:$H,DM$2)</f>
        <v>0</v>
      </c>
      <c r="DN16">
        <f>COUNTIFS('Coded Passages'!$B:$B,$A16,'Coded Passages'!$E:$E,$B16,'Coded Passages'!$H:$H,DN$2)</f>
        <v>0</v>
      </c>
      <c r="DO16">
        <f>COUNTIFS('Coded Passages'!$B:$B,$A16,'Coded Passages'!$E:$E,$B16,'Coded Passages'!$H:$H,DO$2)</f>
        <v>0</v>
      </c>
      <c r="DP16">
        <f>COUNTIFS('Coded Passages'!$B:$B,$A16,'Coded Passages'!$E:$E,$B16,'Coded Passages'!$H:$H,DP$2)</f>
        <v>0</v>
      </c>
      <c r="DQ16">
        <f>COUNTIFS('Coded Passages'!$B:$B,$A16,'Coded Passages'!$E:$E,$B16,'Coded Passages'!$H:$H,DQ$2)</f>
        <v>0</v>
      </c>
      <c r="DR16">
        <f>COUNTIFS('Coded Passages'!$B:$B,$A16,'Coded Passages'!$E:$E,$B16,'Coded Passages'!$H:$H,DR$2)</f>
        <v>0</v>
      </c>
      <c r="DS16">
        <f>COUNTIFS('Coded Passages'!$B:$B,$A16,'Coded Passages'!$E:$E,$B16,'Coded Passages'!$H:$H,DS$2)</f>
        <v>0</v>
      </c>
      <c r="DT16">
        <f>COUNTIFS('Coded Passages'!$B:$B,$A16,'Coded Passages'!$E:$E,$B16,'Coded Passages'!$H:$H,DT$2)</f>
        <v>0</v>
      </c>
      <c r="DU16">
        <f>COUNTIFS('Coded Passages'!$B:$B,$A16,'Coded Passages'!$E:$E,$B16,'Coded Passages'!$H:$H,DU$2)</f>
        <v>0</v>
      </c>
      <c r="DV16">
        <f>COUNTIFS('Coded Passages'!$B:$B,$A16,'Coded Passages'!$E:$E,$B16,'Coded Passages'!$H:$H,DV$2)</f>
        <v>0</v>
      </c>
      <c r="DW16">
        <f>COUNTIFS('Coded Passages'!$B:$B,$A16,'Coded Passages'!$E:$E,$B16,'Coded Passages'!$H:$H,DW$2)</f>
        <v>0</v>
      </c>
      <c r="DX16">
        <f>COUNTIFS('Coded Passages'!$B:$B,$A16,'Coded Passages'!$E:$E,$B16,'Coded Passages'!$H:$H,DX$2)</f>
        <v>0</v>
      </c>
      <c r="DY16">
        <f>COUNTIFS('Coded Passages'!$B:$B,$A16,'Coded Passages'!$E:$E,$B16,'Coded Passages'!$H:$H,DY$2)</f>
        <v>0</v>
      </c>
      <c r="DZ16">
        <f>COUNTIFS('Coded Passages'!$B:$B,$A16,'Coded Passages'!$E:$E,$B16,'Coded Passages'!$H:$H,DZ$2)</f>
        <v>0</v>
      </c>
      <c r="EA16">
        <f>COUNTIFS('Coded Passages'!$B:$B,$A16,'Coded Passages'!$E:$E,$B16,'Coded Passages'!$H:$H,EA$2)</f>
        <v>0</v>
      </c>
      <c r="EB16">
        <f>COUNTIFS('Coded Passages'!$B:$B,$A16,'Coded Passages'!$E:$E,$B16,'Coded Passages'!$H:$H,EB$2)</f>
        <v>0</v>
      </c>
      <c r="EC16">
        <f>COUNTIFS('Coded Passages'!$B:$B,$A16,'Coded Passages'!$E:$E,$B16,'Coded Passages'!$H:$H,EC$2)</f>
        <v>0</v>
      </c>
      <c r="ED16">
        <f>COUNTIFS('Coded Passages'!$B:$B,$A16,'Coded Passages'!$E:$E,$B16,'Coded Passages'!$H:$H,ED$2)</f>
        <v>0</v>
      </c>
      <c r="EE16">
        <f>COUNTIFS('Coded Passages'!$B:$B,$A16,'Coded Passages'!$E:$E,$B16,'Coded Passages'!$H:$H,EE$2)</f>
        <v>0</v>
      </c>
      <c r="EF16">
        <f>COUNTIFS('Coded Passages'!$B:$B,$A16,'Coded Passages'!$E:$E,$B16,'Coded Passages'!$H:$H,EF$2)</f>
        <v>0</v>
      </c>
      <c r="EG16">
        <f>COUNTIFS('Coded Passages'!$B:$B,$A16,'Coded Passages'!$E:$E,$B16,'Coded Passages'!$H:$H,EG$2)</f>
        <v>0</v>
      </c>
      <c r="EH16">
        <f>COUNTIFS('Coded Passages'!$B:$B,$A16,'Coded Passages'!$E:$E,$B16,'Coded Passages'!$H:$H,EH$2)</f>
        <v>0</v>
      </c>
      <c r="EI16">
        <f>COUNTIFS('Coded Passages'!$B:$B,$A16,'Coded Passages'!$E:$E,$B16,'Coded Passages'!$H:$H,EI$2)</f>
        <v>0</v>
      </c>
      <c r="EJ16">
        <f>COUNTIFS('Coded Passages'!$B:$B,$A16,'Coded Passages'!$E:$E,$B16,'Coded Passages'!$H:$H,EJ$2)</f>
        <v>0</v>
      </c>
      <c r="EK16">
        <f>COUNTIFS('Coded Passages'!$B:$B,$A16,'Coded Passages'!$E:$E,$B16,'Coded Passages'!$H:$H,EK$2)</f>
        <v>0</v>
      </c>
      <c r="EL16">
        <f>COUNTIFS('Coded Passages'!$B:$B,$A16,'Coded Passages'!$E:$E,$B16,'Coded Passages'!$H:$H,EL$2)</f>
        <v>0</v>
      </c>
      <c r="EM16">
        <f>COUNTIFS('Coded Passages'!$B:$B,$A16,'Coded Passages'!$E:$E,$B16,'Coded Passages'!$H:$H,EM$2)</f>
        <v>0</v>
      </c>
      <c r="EN16">
        <f>COUNTIFS('Coded Passages'!$B:$B,$A16,'Coded Passages'!$E:$E,$B16,'Coded Passages'!$H:$H,EN$2)</f>
        <v>0</v>
      </c>
      <c r="EO16">
        <f>COUNTIFS('Coded Passages'!$B:$B,$A16,'Coded Passages'!$E:$E,$B16,'Coded Passages'!$H:$H,EO$2)</f>
        <v>0</v>
      </c>
      <c r="EP16">
        <f>COUNTIFS('Coded Passages'!$B:$B,$A16,'Coded Passages'!$E:$E,$B16,'Coded Passages'!$H:$H,EP$2)</f>
        <v>0</v>
      </c>
      <c r="EQ16">
        <f>COUNTIFS('Coded Passages'!$B:$B,$A16,'Coded Passages'!$E:$E,$B16,'Coded Passages'!$H:$H,EQ$2)</f>
        <v>0</v>
      </c>
      <c r="ER16">
        <f>COUNTIFS('Coded Passages'!$B:$B,$A16,'Coded Passages'!$E:$E,$B16,'Coded Passages'!$H:$H,ER$2)</f>
        <v>0</v>
      </c>
      <c r="ES16">
        <f>COUNTIFS('Coded Passages'!$B:$B,$A16,'Coded Passages'!$E:$E,$B16,'Coded Passages'!$H:$H,ES$2)</f>
        <v>0</v>
      </c>
      <c r="ET16">
        <f>COUNTIFS('Coded Passages'!$B:$B,$A16,'Coded Passages'!$E:$E,$B16,'Coded Passages'!$H:$H,ET$2)</f>
        <v>0</v>
      </c>
      <c r="EU16">
        <f>COUNTIFS('Coded Passages'!$B:$B,$A16,'Coded Passages'!$E:$E,$B16,'Coded Passages'!$H:$H,EU$2)</f>
        <v>0</v>
      </c>
      <c r="EV16">
        <f>COUNTIFS('Coded Passages'!$B:$B,$A16,'Coded Passages'!$E:$E,$B16,'Coded Passages'!$H:$H,EV$2)</f>
        <v>0</v>
      </c>
      <c r="EW16">
        <f>COUNTIFS('Coded Passages'!$B:$B,$A16,'Coded Passages'!$E:$E,$B16,'Coded Passages'!$H:$H,EW$2)</f>
        <v>0</v>
      </c>
      <c r="EX16">
        <f>COUNTIFS('Coded Passages'!$B:$B,$A16,'Coded Passages'!$E:$E,$B16,'Coded Passages'!$H:$H,EX$2)</f>
        <v>0</v>
      </c>
      <c r="EY16">
        <f>COUNTIFS('Coded Passages'!$B:$B,$A16,'Coded Passages'!$E:$E,$B16,'Coded Passages'!$H:$H,EY$2)</f>
        <v>0</v>
      </c>
      <c r="EZ16">
        <f>COUNTIFS('Coded Passages'!$B:$B,$A16,'Coded Passages'!$E:$E,$B16,'Coded Passages'!$H:$H,EZ$2)</f>
        <v>0</v>
      </c>
      <c r="FA16">
        <f>COUNTIFS('Coded Passages'!$B:$B,$A16,'Coded Passages'!$E:$E,$B16,'Coded Passages'!$H:$H,FA$2)</f>
        <v>0</v>
      </c>
      <c r="FB16">
        <f>COUNTIFS('Coded Passages'!$B:$B,$A16,'Coded Passages'!$E:$E,$B16,'Coded Passages'!$H:$H,FB$2)</f>
        <v>0</v>
      </c>
      <c r="FC16">
        <f>COUNTIFS('Coded Passages'!$B:$B,$A16,'Coded Passages'!$E:$E,$B16,'Coded Passages'!$H:$H,FC$2)</f>
        <v>0</v>
      </c>
      <c r="FD16">
        <f>COUNTIFS('Coded Passages'!$B:$B,$A16,'Coded Passages'!$E:$E,$B16,'Coded Passages'!$H:$H,FD$2)</f>
        <v>0</v>
      </c>
      <c r="FE16">
        <f>COUNTIFS('Coded Passages'!$B:$B,$A16,'Coded Passages'!$E:$E,$B16,'Coded Passages'!$H:$H,FE$2)</f>
        <v>0</v>
      </c>
      <c r="FF16">
        <f>COUNTIFS('Coded Passages'!$B:$B,$A16,'Coded Passages'!$E:$E,$B16,'Coded Passages'!$H:$H,FF$2)</f>
        <v>0</v>
      </c>
      <c r="FG16">
        <f>COUNTIFS('Coded Passages'!$B:$B,$A16,'Coded Passages'!$E:$E,$B16,'Coded Passages'!$H:$H,FG$2)</f>
        <v>0</v>
      </c>
      <c r="FH16">
        <f>COUNTIFS('Coded Passages'!$B:$B,$A16,'Coded Passages'!$E:$E,$B16,'Coded Passages'!$H:$H,FH$2)</f>
        <v>0</v>
      </c>
      <c r="FI16">
        <f>COUNTIFS('Coded Passages'!$B:$B,$A16,'Coded Passages'!$E:$E,$B16,'Coded Passages'!$H:$H,FI$2)</f>
        <v>0</v>
      </c>
      <c r="FJ16">
        <f>COUNTIFS('Coded Passages'!$B:$B,$A16,'Coded Passages'!$E:$E,$B16,'Coded Passages'!$H:$H,FJ$2)</f>
        <v>0</v>
      </c>
      <c r="FK16">
        <f>COUNTIFS('Coded Passages'!$B:$B,$A16,'Coded Passages'!$E:$E,$B16,'Coded Passages'!$H:$H,FK$2)</f>
        <v>0</v>
      </c>
      <c r="FL16">
        <f>COUNTIFS('Coded Passages'!$B:$B,$A16,'Coded Passages'!$E:$E,$B16,'Coded Passages'!$H:$H,FL$2)</f>
        <v>0</v>
      </c>
      <c r="FM16">
        <f>COUNTIFS('Coded Passages'!$B:$B,$A16,'Coded Passages'!$E:$E,$B16,'Coded Passages'!$H:$H,FM$2)</f>
        <v>0</v>
      </c>
      <c r="FN16">
        <f>COUNTIFS('Coded Passages'!$B:$B,$A16,'Coded Passages'!$E:$E,$B16,'Coded Passages'!$H:$H,FN$2)</f>
        <v>0</v>
      </c>
      <c r="FO16">
        <f>COUNTIFS('Coded Passages'!$B:$B,$A16,'Coded Passages'!$E:$E,$B16,'Coded Passages'!$H:$H,FO$2)</f>
        <v>0</v>
      </c>
      <c r="FP16">
        <f t="shared" si="0"/>
        <v>3</v>
      </c>
    </row>
    <row r="17" spans="1:172" x14ac:dyDescent="0.45">
      <c r="A17" s="14" t="s">
        <v>1636</v>
      </c>
      <c r="B17" s="14" t="s">
        <v>1641</v>
      </c>
      <c r="C17" s="14">
        <f t="shared" ref="C17:AH17" si="1">SUM(C3:C16)</f>
        <v>3</v>
      </c>
      <c r="D17" s="14">
        <f t="shared" si="1"/>
        <v>5</v>
      </c>
      <c r="E17" s="14">
        <f t="shared" si="1"/>
        <v>7</v>
      </c>
      <c r="F17" s="14">
        <f t="shared" si="1"/>
        <v>3</v>
      </c>
      <c r="G17" s="14">
        <f t="shared" si="1"/>
        <v>19</v>
      </c>
      <c r="H17" s="14">
        <f t="shared" si="1"/>
        <v>6</v>
      </c>
      <c r="I17" s="14">
        <f t="shared" si="1"/>
        <v>3</v>
      </c>
      <c r="J17" s="14">
        <f t="shared" si="1"/>
        <v>2</v>
      </c>
      <c r="K17" s="14">
        <f t="shared" si="1"/>
        <v>4</v>
      </c>
      <c r="L17" s="14">
        <f t="shared" si="1"/>
        <v>1</v>
      </c>
      <c r="M17" s="14">
        <f t="shared" si="1"/>
        <v>1</v>
      </c>
      <c r="N17" s="14">
        <f t="shared" si="1"/>
        <v>3</v>
      </c>
      <c r="O17" s="14">
        <f t="shared" si="1"/>
        <v>3</v>
      </c>
      <c r="P17" s="14">
        <f t="shared" si="1"/>
        <v>4</v>
      </c>
      <c r="Q17" s="14">
        <f t="shared" si="1"/>
        <v>4</v>
      </c>
      <c r="R17" s="14">
        <f t="shared" si="1"/>
        <v>4</v>
      </c>
      <c r="S17" s="14">
        <f t="shared" si="1"/>
        <v>7</v>
      </c>
      <c r="T17" s="14">
        <f t="shared" si="1"/>
        <v>5</v>
      </c>
      <c r="U17" s="14">
        <f t="shared" si="1"/>
        <v>5</v>
      </c>
      <c r="V17" s="14">
        <f t="shared" si="1"/>
        <v>2</v>
      </c>
      <c r="W17" s="14">
        <f t="shared" si="1"/>
        <v>6</v>
      </c>
      <c r="X17" s="14">
        <f t="shared" si="1"/>
        <v>3</v>
      </c>
      <c r="Y17" s="14">
        <f t="shared" si="1"/>
        <v>2</v>
      </c>
      <c r="Z17" s="14">
        <f t="shared" si="1"/>
        <v>3</v>
      </c>
      <c r="AA17" s="14">
        <f t="shared" si="1"/>
        <v>3</v>
      </c>
      <c r="AB17" s="14">
        <f t="shared" si="1"/>
        <v>2</v>
      </c>
      <c r="AC17" s="14">
        <f t="shared" si="1"/>
        <v>4</v>
      </c>
      <c r="AD17" s="14">
        <f t="shared" si="1"/>
        <v>3</v>
      </c>
      <c r="AE17" s="14">
        <f t="shared" si="1"/>
        <v>2</v>
      </c>
      <c r="AF17" s="14">
        <f t="shared" si="1"/>
        <v>1</v>
      </c>
      <c r="AG17" s="14">
        <f t="shared" si="1"/>
        <v>2</v>
      </c>
      <c r="AH17" s="14">
        <f t="shared" si="1"/>
        <v>6</v>
      </c>
      <c r="AI17" s="14">
        <f t="shared" ref="AI17:BN17" si="2">SUM(AI3:AI16)</f>
        <v>6</v>
      </c>
      <c r="AJ17" s="14">
        <f t="shared" si="2"/>
        <v>5</v>
      </c>
      <c r="AK17" s="14">
        <f t="shared" si="2"/>
        <v>3</v>
      </c>
      <c r="AL17" s="14">
        <f t="shared" si="2"/>
        <v>6</v>
      </c>
      <c r="AM17" s="14">
        <f t="shared" si="2"/>
        <v>1</v>
      </c>
      <c r="AN17" s="14">
        <f t="shared" si="2"/>
        <v>5</v>
      </c>
      <c r="AO17" s="14">
        <f t="shared" si="2"/>
        <v>5</v>
      </c>
      <c r="AP17" s="14">
        <f t="shared" si="2"/>
        <v>1</v>
      </c>
      <c r="AQ17" s="14">
        <f t="shared" si="2"/>
        <v>4</v>
      </c>
      <c r="AR17" s="14">
        <f t="shared" si="2"/>
        <v>8</v>
      </c>
      <c r="AS17" s="14">
        <f t="shared" si="2"/>
        <v>4</v>
      </c>
      <c r="AT17" s="14">
        <f t="shared" si="2"/>
        <v>7</v>
      </c>
      <c r="AU17" s="14">
        <f t="shared" si="2"/>
        <v>5</v>
      </c>
      <c r="AV17" s="14">
        <f t="shared" si="2"/>
        <v>6</v>
      </c>
      <c r="AW17" s="14">
        <f t="shared" si="2"/>
        <v>3</v>
      </c>
      <c r="AX17" s="14">
        <f t="shared" si="2"/>
        <v>13</v>
      </c>
      <c r="AY17" s="14">
        <f t="shared" si="2"/>
        <v>4</v>
      </c>
      <c r="AZ17" s="14">
        <f t="shared" si="2"/>
        <v>3</v>
      </c>
      <c r="BA17" s="14">
        <f t="shared" si="2"/>
        <v>2</v>
      </c>
      <c r="BB17" s="14">
        <f t="shared" si="2"/>
        <v>1</v>
      </c>
      <c r="BC17" s="14">
        <f t="shared" si="2"/>
        <v>8</v>
      </c>
      <c r="BD17" s="14">
        <f t="shared" si="2"/>
        <v>2</v>
      </c>
      <c r="BE17" s="14">
        <f t="shared" si="2"/>
        <v>1</v>
      </c>
      <c r="BF17" s="14">
        <f t="shared" si="2"/>
        <v>1</v>
      </c>
      <c r="BG17" s="14">
        <f t="shared" si="2"/>
        <v>3</v>
      </c>
      <c r="BH17" s="14">
        <f t="shared" si="2"/>
        <v>1</v>
      </c>
      <c r="BI17" s="14">
        <f t="shared" si="2"/>
        <v>5</v>
      </c>
      <c r="BJ17" s="14">
        <f t="shared" si="2"/>
        <v>4</v>
      </c>
      <c r="BK17" s="14">
        <f t="shared" si="2"/>
        <v>7</v>
      </c>
      <c r="BL17" s="14">
        <f t="shared" si="2"/>
        <v>4</v>
      </c>
      <c r="BM17" s="14">
        <f t="shared" si="2"/>
        <v>10</v>
      </c>
      <c r="BN17" s="14">
        <f t="shared" si="2"/>
        <v>4</v>
      </c>
      <c r="BO17" s="14">
        <f t="shared" ref="BO17:CT17" si="3">SUM(BO3:BO16)</f>
        <v>4</v>
      </c>
      <c r="BP17" s="14">
        <f t="shared" si="3"/>
        <v>3</v>
      </c>
      <c r="BQ17" s="14">
        <f t="shared" si="3"/>
        <v>1</v>
      </c>
      <c r="BR17" s="14">
        <f t="shared" si="3"/>
        <v>1</v>
      </c>
      <c r="BS17" s="14">
        <f t="shared" si="3"/>
        <v>2</v>
      </c>
      <c r="BT17" s="14">
        <f t="shared" si="3"/>
        <v>7</v>
      </c>
      <c r="BU17" s="14">
        <f t="shared" si="3"/>
        <v>1</v>
      </c>
      <c r="BV17" s="14">
        <f t="shared" si="3"/>
        <v>3</v>
      </c>
      <c r="BW17" s="14">
        <f t="shared" si="3"/>
        <v>2</v>
      </c>
      <c r="BX17" s="14">
        <f t="shared" si="3"/>
        <v>1</v>
      </c>
      <c r="BY17" s="14">
        <f t="shared" si="3"/>
        <v>3</v>
      </c>
      <c r="BZ17" s="14">
        <f t="shared" si="3"/>
        <v>4</v>
      </c>
      <c r="CA17" s="14">
        <f t="shared" si="3"/>
        <v>2</v>
      </c>
      <c r="CB17" s="14">
        <f t="shared" si="3"/>
        <v>1</v>
      </c>
      <c r="CC17" s="14">
        <f t="shared" si="3"/>
        <v>1</v>
      </c>
      <c r="CD17" s="14">
        <f t="shared" si="3"/>
        <v>2</v>
      </c>
      <c r="CE17" s="14">
        <f t="shared" si="3"/>
        <v>2</v>
      </c>
      <c r="CF17" s="14">
        <f t="shared" si="3"/>
        <v>2</v>
      </c>
      <c r="CG17" s="14">
        <f t="shared" si="3"/>
        <v>1</v>
      </c>
      <c r="CH17" s="14">
        <f t="shared" si="3"/>
        <v>2</v>
      </c>
      <c r="CI17" s="14">
        <f t="shared" si="3"/>
        <v>8</v>
      </c>
      <c r="CJ17" s="14">
        <f t="shared" si="3"/>
        <v>1</v>
      </c>
      <c r="CK17" s="14">
        <f t="shared" si="3"/>
        <v>6</v>
      </c>
      <c r="CL17" s="14">
        <f t="shared" si="3"/>
        <v>7</v>
      </c>
      <c r="CM17" s="14">
        <f t="shared" si="3"/>
        <v>7</v>
      </c>
      <c r="CN17" s="14">
        <f t="shared" si="3"/>
        <v>4</v>
      </c>
      <c r="CO17" s="14">
        <f t="shared" si="3"/>
        <v>2</v>
      </c>
      <c r="CP17" s="14">
        <f t="shared" si="3"/>
        <v>2</v>
      </c>
      <c r="CQ17" s="14">
        <f t="shared" si="3"/>
        <v>1</v>
      </c>
      <c r="CR17" s="14">
        <f t="shared" si="3"/>
        <v>2</v>
      </c>
      <c r="CS17" s="14">
        <f t="shared" si="3"/>
        <v>2</v>
      </c>
      <c r="CT17" s="14">
        <f t="shared" si="3"/>
        <v>3</v>
      </c>
      <c r="CU17" s="14">
        <f t="shared" ref="CU17:DZ17" si="4">SUM(CU3:CU16)</f>
        <v>3</v>
      </c>
      <c r="CV17" s="14">
        <f t="shared" si="4"/>
        <v>2</v>
      </c>
      <c r="CW17" s="14">
        <f t="shared" si="4"/>
        <v>1</v>
      </c>
      <c r="CX17" s="14">
        <f t="shared" si="4"/>
        <v>3</v>
      </c>
      <c r="CY17" s="14">
        <f t="shared" si="4"/>
        <v>3</v>
      </c>
      <c r="CZ17" s="14">
        <f t="shared" si="4"/>
        <v>9</v>
      </c>
      <c r="DA17" s="14">
        <f t="shared" si="4"/>
        <v>2</v>
      </c>
      <c r="DB17" s="14">
        <f t="shared" si="4"/>
        <v>1</v>
      </c>
      <c r="DC17" s="14">
        <f t="shared" si="4"/>
        <v>1</v>
      </c>
      <c r="DD17" s="14">
        <f t="shared" si="4"/>
        <v>1</v>
      </c>
      <c r="DE17" s="14">
        <f t="shared" si="4"/>
        <v>3</v>
      </c>
      <c r="DF17" s="14">
        <f t="shared" si="4"/>
        <v>3</v>
      </c>
      <c r="DG17" s="14">
        <f t="shared" si="4"/>
        <v>6</v>
      </c>
      <c r="DH17" s="14">
        <f t="shared" si="4"/>
        <v>4</v>
      </c>
      <c r="DI17" s="14">
        <f t="shared" si="4"/>
        <v>4</v>
      </c>
      <c r="DJ17" s="14">
        <f t="shared" si="4"/>
        <v>5</v>
      </c>
      <c r="DK17" s="14">
        <f t="shared" si="4"/>
        <v>8</v>
      </c>
      <c r="DL17" s="14">
        <f t="shared" si="4"/>
        <v>4</v>
      </c>
      <c r="DM17" s="14">
        <f t="shared" si="4"/>
        <v>4</v>
      </c>
      <c r="DN17" s="14">
        <f t="shared" si="4"/>
        <v>2</v>
      </c>
      <c r="DO17" s="14">
        <f t="shared" si="4"/>
        <v>3</v>
      </c>
      <c r="DP17" s="14">
        <f t="shared" si="4"/>
        <v>2</v>
      </c>
      <c r="DQ17" s="14">
        <f t="shared" si="4"/>
        <v>1</v>
      </c>
      <c r="DR17" s="14">
        <f t="shared" si="4"/>
        <v>2</v>
      </c>
      <c r="DS17" s="14">
        <f t="shared" si="4"/>
        <v>4</v>
      </c>
      <c r="DT17" s="14">
        <f t="shared" si="4"/>
        <v>2</v>
      </c>
      <c r="DU17" s="14">
        <f t="shared" si="4"/>
        <v>2</v>
      </c>
      <c r="DV17" s="14">
        <f t="shared" si="4"/>
        <v>1</v>
      </c>
      <c r="DW17" s="14">
        <f t="shared" si="4"/>
        <v>5</v>
      </c>
      <c r="DX17" s="14">
        <f t="shared" si="4"/>
        <v>1</v>
      </c>
      <c r="DY17" s="14">
        <f t="shared" si="4"/>
        <v>7</v>
      </c>
      <c r="DZ17" s="14">
        <f t="shared" si="4"/>
        <v>10</v>
      </c>
      <c r="EA17" s="14">
        <f t="shared" ref="EA17:FF17" si="5">SUM(EA3:EA16)</f>
        <v>3</v>
      </c>
      <c r="EB17" s="14">
        <f t="shared" si="5"/>
        <v>1</v>
      </c>
      <c r="EC17" s="14">
        <f t="shared" si="5"/>
        <v>5</v>
      </c>
      <c r="ED17" s="14">
        <f t="shared" si="5"/>
        <v>1</v>
      </c>
      <c r="EE17" s="14">
        <f t="shared" si="5"/>
        <v>2</v>
      </c>
      <c r="EF17" s="14">
        <f t="shared" si="5"/>
        <v>2</v>
      </c>
      <c r="EG17" s="14">
        <f t="shared" si="5"/>
        <v>3</v>
      </c>
      <c r="EH17" s="14">
        <f t="shared" si="5"/>
        <v>3</v>
      </c>
      <c r="EI17" s="14">
        <f t="shared" si="5"/>
        <v>5</v>
      </c>
      <c r="EJ17" s="14">
        <f t="shared" si="5"/>
        <v>2</v>
      </c>
      <c r="EK17" s="14">
        <f t="shared" si="5"/>
        <v>6</v>
      </c>
      <c r="EL17" s="14">
        <f t="shared" si="5"/>
        <v>2</v>
      </c>
      <c r="EM17" s="14">
        <f t="shared" si="5"/>
        <v>2</v>
      </c>
      <c r="EN17" s="14">
        <f t="shared" si="5"/>
        <v>5</v>
      </c>
      <c r="EO17" s="14">
        <f t="shared" si="5"/>
        <v>2</v>
      </c>
      <c r="EP17" s="14">
        <f t="shared" si="5"/>
        <v>7</v>
      </c>
      <c r="EQ17" s="14">
        <f t="shared" si="5"/>
        <v>1</v>
      </c>
      <c r="ER17" s="14">
        <f t="shared" si="5"/>
        <v>2</v>
      </c>
      <c r="ES17" s="14">
        <f t="shared" si="5"/>
        <v>1</v>
      </c>
      <c r="ET17" s="14">
        <f t="shared" si="5"/>
        <v>4</v>
      </c>
      <c r="EU17" s="14">
        <f t="shared" si="5"/>
        <v>2</v>
      </c>
      <c r="EV17" s="14">
        <f t="shared" si="5"/>
        <v>1</v>
      </c>
      <c r="EW17" s="14">
        <f t="shared" si="5"/>
        <v>9</v>
      </c>
      <c r="EX17" s="14">
        <f t="shared" si="5"/>
        <v>1</v>
      </c>
      <c r="EY17" s="14">
        <f t="shared" si="5"/>
        <v>7</v>
      </c>
      <c r="EZ17" s="14">
        <f t="shared" si="5"/>
        <v>2</v>
      </c>
      <c r="FA17" s="14">
        <f t="shared" si="5"/>
        <v>1</v>
      </c>
      <c r="FB17" s="14">
        <f t="shared" si="5"/>
        <v>21</v>
      </c>
      <c r="FC17" s="14">
        <f t="shared" si="5"/>
        <v>1</v>
      </c>
      <c r="FD17" s="14">
        <f t="shared" si="5"/>
        <v>1</v>
      </c>
      <c r="FE17" s="14">
        <f t="shared" si="5"/>
        <v>5</v>
      </c>
      <c r="FF17" s="14">
        <f t="shared" si="5"/>
        <v>1</v>
      </c>
      <c r="FG17" s="14">
        <f t="shared" ref="FG17:GL17" si="6">SUM(FG3:FG16)</f>
        <v>2</v>
      </c>
      <c r="FH17" s="14">
        <f t="shared" si="6"/>
        <v>2</v>
      </c>
      <c r="FI17" s="14">
        <f t="shared" si="6"/>
        <v>2</v>
      </c>
      <c r="FJ17" s="14">
        <f t="shared" si="6"/>
        <v>1</v>
      </c>
      <c r="FK17" s="14">
        <f t="shared" si="6"/>
        <v>3</v>
      </c>
      <c r="FL17" s="14">
        <f t="shared" si="6"/>
        <v>1</v>
      </c>
      <c r="FM17" s="14">
        <f t="shared" si="6"/>
        <v>3</v>
      </c>
      <c r="FN17" s="14">
        <f t="shared" si="6"/>
        <v>2</v>
      </c>
      <c r="FO17" s="14">
        <f t="shared" si="6"/>
        <v>17</v>
      </c>
      <c r="FP17" s="14">
        <f t="shared" si="6"/>
        <v>613</v>
      </c>
    </row>
  </sheetData>
  <mergeCells count="1">
    <mergeCell ref="A1:L1"/>
  </mergeCells>
  <pageMargins left="0.75" right="0.75" top="1" bottom="1" header="0.5" footer="0.5"/>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71"/>
  <sheetViews>
    <sheetView tabSelected="1" workbookViewId="0">
      <selection activeCell="K1" sqref="K1"/>
    </sheetView>
  </sheetViews>
  <sheetFormatPr defaultRowHeight="14.25" x14ac:dyDescent="0.45"/>
  <cols>
    <col min="1" max="1" width="30" customWidth="1"/>
    <col min="2" max="2" width="12" customWidth="1"/>
    <col min="3" max="3" width="22" customWidth="1"/>
    <col min="4" max="4" width="18" customWidth="1"/>
    <col min="5" max="5" width="26" customWidth="1"/>
    <col min="6" max="6" width="14" customWidth="1"/>
  </cols>
  <sheetData>
    <row r="1" spans="1:11" x14ac:dyDescent="0.45">
      <c r="A1" s="1" t="s">
        <v>8</v>
      </c>
      <c r="B1" s="1" t="s">
        <v>9</v>
      </c>
      <c r="C1" s="1" t="s">
        <v>10</v>
      </c>
      <c r="D1" s="1" t="s">
        <v>11</v>
      </c>
      <c r="E1" s="1" t="s">
        <v>12</v>
      </c>
      <c r="F1" s="1" t="s">
        <v>13</v>
      </c>
      <c r="G1" s="9" t="s">
        <v>25</v>
      </c>
      <c r="H1" s="11" t="s">
        <v>14</v>
      </c>
      <c r="I1" s="12" t="s">
        <v>31</v>
      </c>
      <c r="J1" s="1" t="s">
        <v>1632</v>
      </c>
      <c r="K1" s="26" t="s">
        <v>1669</v>
      </c>
    </row>
    <row r="2" spans="1:11" x14ac:dyDescent="0.45">
      <c r="A2" s="25" t="s">
        <v>1471</v>
      </c>
      <c r="B2" s="25" t="s">
        <v>1472</v>
      </c>
      <c r="C2" s="25" t="s">
        <v>222</v>
      </c>
      <c r="D2" s="25" t="s">
        <v>1645</v>
      </c>
      <c r="E2" s="25" t="s">
        <v>86</v>
      </c>
      <c r="F2" s="25" t="s">
        <v>87</v>
      </c>
      <c r="G2" s="25">
        <f>COUNTIFS('Coded Passages'!$H:$H,$A2,'Coded Passages'!$B:$B,"D1.1")</f>
        <v>12</v>
      </c>
      <c r="H2" s="25">
        <f>COUNTIFS('Coded Passages'!$H:$H,$A2,'Coded Passages'!$B:$B,"D1.2")</f>
        <v>1</v>
      </c>
      <c r="I2" s="25">
        <f>COUNTIFS('Coded Passages'!$H:$H,$A2,'Coded Passages'!$B:$B,"D1.3")</f>
        <v>8</v>
      </c>
      <c r="J2" s="25">
        <f>G2+H2+I2</f>
        <v>21</v>
      </c>
      <c r="K2" s="25" t="s">
        <v>1670</v>
      </c>
    </row>
    <row r="3" spans="1:11" x14ac:dyDescent="0.45">
      <c r="A3" s="25" t="s">
        <v>82</v>
      </c>
      <c r="B3" s="25" t="s">
        <v>83</v>
      </c>
      <c r="C3" s="25" t="s">
        <v>84</v>
      </c>
      <c r="D3" s="25" t="s">
        <v>1645</v>
      </c>
      <c r="E3" s="25" t="s">
        <v>86</v>
      </c>
      <c r="F3" s="25" t="s">
        <v>87</v>
      </c>
      <c r="G3" s="25">
        <f>COUNTIFS('Coded Passages'!$H:$H,$A3,'Coded Passages'!$B:$B,"D1.1")</f>
        <v>13</v>
      </c>
      <c r="H3" s="25">
        <f>COUNTIFS('Coded Passages'!$H:$H,$A3,'Coded Passages'!$B:$B,"D1.2")</f>
        <v>4</v>
      </c>
      <c r="I3" s="25">
        <f>COUNTIFS('Coded Passages'!$H:$H,$A3,'Coded Passages'!$B:$B,"D1.3")</f>
        <v>2</v>
      </c>
      <c r="J3" s="25">
        <f>G3+H3+I3</f>
        <v>19</v>
      </c>
      <c r="K3" s="25" t="s">
        <v>1671</v>
      </c>
    </row>
    <row r="4" spans="1:11" x14ac:dyDescent="0.45">
      <c r="A4" s="25" t="s">
        <v>1597</v>
      </c>
      <c r="B4" s="25" t="s">
        <v>1598</v>
      </c>
      <c r="C4" s="25" t="s">
        <v>971</v>
      </c>
      <c r="D4" s="25" t="s">
        <v>1645</v>
      </c>
      <c r="E4" s="25" t="s">
        <v>86</v>
      </c>
      <c r="F4" s="25" t="s">
        <v>24</v>
      </c>
      <c r="G4" s="25">
        <f>COUNTIFS('Coded Passages'!$H:$H,$A4,'Coded Passages'!$B:$B,"D1.1")</f>
        <v>10</v>
      </c>
      <c r="H4" s="25">
        <f>COUNTIFS('Coded Passages'!$H:$H,$A4,'Coded Passages'!$B:$B,"D1.2")</f>
        <v>0</v>
      </c>
      <c r="I4" s="25">
        <f>COUNTIFS('Coded Passages'!$H:$H,$A4,'Coded Passages'!$B:$B,"D1.3")</f>
        <v>7</v>
      </c>
      <c r="J4" s="25">
        <f>G4+H4+I4</f>
        <v>17</v>
      </c>
      <c r="K4" s="25" t="s">
        <v>1672</v>
      </c>
    </row>
    <row r="5" spans="1:11" x14ac:dyDescent="0.45">
      <c r="A5" s="25" t="s">
        <v>561</v>
      </c>
      <c r="B5" s="25" t="s">
        <v>562</v>
      </c>
      <c r="C5" s="25" t="s">
        <v>555</v>
      </c>
      <c r="D5" s="25" t="s">
        <v>1656</v>
      </c>
      <c r="E5" s="25" t="s">
        <v>177</v>
      </c>
      <c r="F5" s="25" t="s">
        <v>87</v>
      </c>
      <c r="G5" s="25">
        <f>COUNTIFS('Coded Passages'!$H:$H,$A5,'Coded Passages'!$B:$B,"D1.1")</f>
        <v>8</v>
      </c>
      <c r="H5" s="25">
        <f>COUNTIFS('Coded Passages'!$H:$H,$A5,'Coded Passages'!$B:$B,"D1.2")</f>
        <v>1</v>
      </c>
      <c r="I5" s="25">
        <f>COUNTIFS('Coded Passages'!$H:$H,$A5,'Coded Passages'!$B:$B,"D1.3")</f>
        <v>4</v>
      </c>
      <c r="J5" s="25">
        <f>G5+H5+I5</f>
        <v>13</v>
      </c>
      <c r="K5" s="25" t="s">
        <v>1670</v>
      </c>
    </row>
    <row r="6" spans="1:11" x14ac:dyDescent="0.45">
      <c r="A6" s="25" t="s">
        <v>705</v>
      </c>
      <c r="B6" s="25" t="s">
        <v>706</v>
      </c>
      <c r="C6" s="25" t="s">
        <v>696</v>
      </c>
      <c r="D6" s="25" t="s">
        <v>1646</v>
      </c>
      <c r="E6" s="25" t="s">
        <v>23</v>
      </c>
      <c r="F6" s="25" t="s">
        <v>87</v>
      </c>
      <c r="G6" s="25">
        <f>COUNTIFS('Coded Passages'!$H:$H,$A6,'Coded Passages'!$B:$B,"D1.1")</f>
        <v>4</v>
      </c>
      <c r="H6" s="25">
        <f>COUNTIFS('Coded Passages'!$H:$H,$A6,'Coded Passages'!$B:$B,"D1.2")</f>
        <v>0</v>
      </c>
      <c r="I6" s="25">
        <f>COUNTIFS('Coded Passages'!$H:$H,$A6,'Coded Passages'!$B:$B,"D1.3")</f>
        <v>6</v>
      </c>
      <c r="J6" s="25">
        <f>G6+H6+I6</f>
        <v>10</v>
      </c>
      <c r="K6" s="25" t="s">
        <v>1671</v>
      </c>
    </row>
    <row r="7" spans="1:11" x14ac:dyDescent="0.45">
      <c r="A7" s="25" t="s">
        <v>1229</v>
      </c>
      <c r="B7" s="25" t="s">
        <v>1230</v>
      </c>
      <c r="C7" s="25" t="s">
        <v>555</v>
      </c>
      <c r="D7" s="25" t="s">
        <v>1656</v>
      </c>
      <c r="E7" s="25" t="s">
        <v>177</v>
      </c>
      <c r="F7" s="25" t="s">
        <v>87</v>
      </c>
      <c r="G7" s="25">
        <f>COUNTIFS('Coded Passages'!$H:$H,$A7,'Coded Passages'!$B:$B,"D1.1")</f>
        <v>9</v>
      </c>
      <c r="H7" s="25">
        <f>COUNTIFS('Coded Passages'!$H:$H,$A7,'Coded Passages'!$B:$B,"D1.2")</f>
        <v>0</v>
      </c>
      <c r="I7" s="25">
        <f>COUNTIFS('Coded Passages'!$H:$H,$A7,'Coded Passages'!$B:$B,"D1.3")</f>
        <v>1</v>
      </c>
      <c r="J7" s="25">
        <f>G7+H7+I7</f>
        <v>10</v>
      </c>
      <c r="K7" s="25" t="s">
        <v>1672</v>
      </c>
    </row>
    <row r="8" spans="1:11" x14ac:dyDescent="0.45">
      <c r="A8" s="25" t="s">
        <v>1012</v>
      </c>
      <c r="B8" s="25" t="s">
        <v>1013</v>
      </c>
      <c r="C8" s="25" t="s">
        <v>1005</v>
      </c>
      <c r="D8" s="25" t="s">
        <v>1651</v>
      </c>
      <c r="E8" s="25" t="s">
        <v>200</v>
      </c>
      <c r="F8" s="25" t="s">
        <v>87</v>
      </c>
      <c r="G8" s="25">
        <f>COUNTIFS('Coded Passages'!$H:$H,$A8,'Coded Passages'!$B:$B,"D1.1")</f>
        <v>9</v>
      </c>
      <c r="H8" s="25">
        <f>COUNTIFS('Coded Passages'!$H:$H,$A8,'Coded Passages'!$B:$B,"D1.2")</f>
        <v>0</v>
      </c>
      <c r="I8" s="25">
        <f>COUNTIFS('Coded Passages'!$H:$H,$A8,'Coded Passages'!$B:$B,"D1.3")</f>
        <v>0</v>
      </c>
      <c r="J8" s="25">
        <f>G8+H8+I8</f>
        <v>9</v>
      </c>
      <c r="K8" s="25" t="s">
        <v>1670</v>
      </c>
    </row>
    <row r="9" spans="1:11" x14ac:dyDescent="0.45">
      <c r="A9" s="25" t="s">
        <v>1425</v>
      </c>
      <c r="B9" s="25" t="s">
        <v>1426</v>
      </c>
      <c r="C9" s="25" t="s">
        <v>142</v>
      </c>
      <c r="D9" s="25" t="s">
        <v>1643</v>
      </c>
      <c r="E9" s="25" t="s">
        <v>40</v>
      </c>
      <c r="F9" s="25" t="s">
        <v>24</v>
      </c>
      <c r="G9" s="25">
        <f>COUNTIFS('Coded Passages'!$H:$H,$A9,'Coded Passages'!$B:$B,"D1.1")</f>
        <v>6</v>
      </c>
      <c r="H9" s="25">
        <f>COUNTIFS('Coded Passages'!$H:$H,$A9,'Coded Passages'!$B:$B,"D1.2")</f>
        <v>0</v>
      </c>
      <c r="I9" s="25">
        <f>COUNTIFS('Coded Passages'!$H:$H,$A9,'Coded Passages'!$B:$B,"D1.3")</f>
        <v>3</v>
      </c>
      <c r="J9" s="25">
        <f>G9+H9+I9</f>
        <v>9</v>
      </c>
      <c r="K9" s="25" t="s">
        <v>1671</v>
      </c>
    </row>
    <row r="10" spans="1:11" x14ac:dyDescent="0.45">
      <c r="A10" s="25" t="s">
        <v>479</v>
      </c>
      <c r="B10" s="25" t="s">
        <v>480</v>
      </c>
      <c r="C10" s="25" t="s">
        <v>481</v>
      </c>
      <c r="D10" s="25" t="s">
        <v>1652</v>
      </c>
      <c r="E10" s="25" t="s">
        <v>86</v>
      </c>
      <c r="F10" s="25" t="s">
        <v>24</v>
      </c>
      <c r="G10" s="25">
        <f>COUNTIFS('Coded Passages'!$H:$H,$A10,'Coded Passages'!$B:$B,"D1.1")</f>
        <v>6</v>
      </c>
      <c r="H10" s="25">
        <f>COUNTIFS('Coded Passages'!$H:$H,$A10,'Coded Passages'!$B:$B,"D1.2")</f>
        <v>1</v>
      </c>
      <c r="I10" s="25">
        <f>COUNTIFS('Coded Passages'!$H:$H,$A10,'Coded Passages'!$B:$B,"D1.3")</f>
        <v>1</v>
      </c>
      <c r="J10" s="25">
        <f>G10+H10+I10</f>
        <v>8</v>
      </c>
      <c r="K10" s="25" t="s">
        <v>1672</v>
      </c>
    </row>
    <row r="11" spans="1:11" x14ac:dyDescent="0.45">
      <c r="A11" s="25" t="s">
        <v>613</v>
      </c>
      <c r="B11" s="25" t="s">
        <v>614</v>
      </c>
      <c r="C11" s="25" t="s">
        <v>615</v>
      </c>
      <c r="D11" s="25" t="s">
        <v>1655</v>
      </c>
      <c r="E11" s="25" t="s">
        <v>86</v>
      </c>
      <c r="F11" s="25" t="s">
        <v>24</v>
      </c>
      <c r="G11" s="25">
        <f>COUNTIFS('Coded Passages'!$H:$H,$A11,'Coded Passages'!$B:$B,"D1.1")</f>
        <v>3</v>
      </c>
      <c r="H11" s="25">
        <f>COUNTIFS('Coded Passages'!$H:$H,$A11,'Coded Passages'!$B:$B,"D1.2")</f>
        <v>3</v>
      </c>
      <c r="I11" s="25">
        <f>COUNTIFS('Coded Passages'!$H:$H,$A11,'Coded Passages'!$B:$B,"D1.3")</f>
        <v>2</v>
      </c>
      <c r="J11" s="25">
        <f>G11+H11+I11</f>
        <v>8</v>
      </c>
      <c r="K11" s="25" t="s">
        <v>1670</v>
      </c>
    </row>
    <row r="12" spans="1:11" x14ac:dyDescent="0.45">
      <c r="A12" s="25" t="s">
        <v>862</v>
      </c>
      <c r="B12" s="25" t="s">
        <v>863</v>
      </c>
      <c r="C12" s="25" t="s">
        <v>84</v>
      </c>
      <c r="D12" s="25" t="s">
        <v>1645</v>
      </c>
      <c r="E12" s="25" t="s">
        <v>86</v>
      </c>
      <c r="F12" s="25" t="s">
        <v>87</v>
      </c>
      <c r="G12" s="25">
        <f>COUNTIFS('Coded Passages'!$H:$H,$A12,'Coded Passages'!$B:$B,"D1.1")</f>
        <v>3</v>
      </c>
      <c r="H12" s="25">
        <f>COUNTIFS('Coded Passages'!$H:$H,$A12,'Coded Passages'!$B:$B,"D1.2")</f>
        <v>3</v>
      </c>
      <c r="I12" s="25">
        <f>COUNTIFS('Coded Passages'!$H:$H,$A12,'Coded Passages'!$B:$B,"D1.3")</f>
        <v>2</v>
      </c>
      <c r="J12" s="25">
        <f>G12+H12+I12</f>
        <v>8</v>
      </c>
      <c r="K12" s="25" t="s">
        <v>1671</v>
      </c>
    </row>
    <row r="13" spans="1:11" x14ac:dyDescent="0.45">
      <c r="A13" s="25" t="s">
        <v>1116</v>
      </c>
      <c r="B13" s="25" t="s">
        <v>1117</v>
      </c>
      <c r="C13" s="25" t="s">
        <v>638</v>
      </c>
      <c r="D13" s="25" t="s">
        <v>1646</v>
      </c>
      <c r="E13" s="25" t="s">
        <v>23</v>
      </c>
      <c r="F13" s="25" t="s">
        <v>24</v>
      </c>
      <c r="G13" s="25">
        <f>COUNTIFS('Coded Passages'!$H:$H,$A13,'Coded Passages'!$B:$B,"D1.1")</f>
        <v>4</v>
      </c>
      <c r="H13" s="25">
        <f>COUNTIFS('Coded Passages'!$H:$H,$A13,'Coded Passages'!$B:$B,"D1.2")</f>
        <v>1</v>
      </c>
      <c r="I13" s="25">
        <f>COUNTIFS('Coded Passages'!$H:$H,$A13,'Coded Passages'!$B:$B,"D1.3")</f>
        <v>3</v>
      </c>
      <c r="J13" s="25">
        <f>G13+H13+I13</f>
        <v>8</v>
      </c>
      <c r="K13" s="25" t="s">
        <v>1672</v>
      </c>
    </row>
    <row r="14" spans="1:11" x14ac:dyDescent="0.45">
      <c r="A14" t="s">
        <v>54</v>
      </c>
      <c r="B14" t="s">
        <v>55</v>
      </c>
      <c r="C14" t="s">
        <v>56</v>
      </c>
      <c r="D14" t="s">
        <v>1644</v>
      </c>
      <c r="E14" t="s">
        <v>40</v>
      </c>
      <c r="F14" t="s">
        <v>24</v>
      </c>
      <c r="G14">
        <f>COUNTIFS('Coded Passages'!$H:$H,$A14,'Coded Passages'!$B:$B,"D1.1")</f>
        <v>6</v>
      </c>
      <c r="H14">
        <f>COUNTIFS('Coded Passages'!$H:$H,$A14,'Coded Passages'!$B:$B,"D1.2")</f>
        <v>0</v>
      </c>
      <c r="I14">
        <f>COUNTIFS('Coded Passages'!$H:$H,$A14,'Coded Passages'!$B:$B,"D1.3")</f>
        <v>1</v>
      </c>
      <c r="J14">
        <f>G14+H14+I14</f>
        <v>7</v>
      </c>
    </row>
    <row r="15" spans="1:11" x14ac:dyDescent="0.45">
      <c r="A15" t="s">
        <v>231</v>
      </c>
      <c r="B15" t="s">
        <v>232</v>
      </c>
      <c r="C15" t="s">
        <v>233</v>
      </c>
      <c r="D15" t="s">
        <v>1646</v>
      </c>
      <c r="E15" t="s">
        <v>23</v>
      </c>
      <c r="F15" t="s">
        <v>87</v>
      </c>
      <c r="G15">
        <f>COUNTIFS('Coded Passages'!$H:$H,$A15,'Coded Passages'!$B:$B,"D1.1")</f>
        <v>4</v>
      </c>
      <c r="H15">
        <f>COUNTIFS('Coded Passages'!$H:$H,$A15,'Coded Passages'!$B:$B,"D1.2")</f>
        <v>0</v>
      </c>
      <c r="I15">
        <f>COUNTIFS('Coded Passages'!$H:$H,$A15,'Coded Passages'!$B:$B,"D1.3")</f>
        <v>3</v>
      </c>
      <c r="J15">
        <f>G15+H15+I15</f>
        <v>7</v>
      </c>
    </row>
    <row r="16" spans="1:11" x14ac:dyDescent="0.45">
      <c r="A16" t="s">
        <v>509</v>
      </c>
      <c r="B16" t="s">
        <v>510</v>
      </c>
      <c r="C16" t="s">
        <v>511</v>
      </c>
      <c r="D16" t="s">
        <v>1646</v>
      </c>
      <c r="E16" t="s">
        <v>23</v>
      </c>
      <c r="F16" t="s">
        <v>24</v>
      </c>
      <c r="G16">
        <f>COUNTIFS('Coded Passages'!$H:$H,$A16,'Coded Passages'!$B:$B,"D1.1")</f>
        <v>3</v>
      </c>
      <c r="H16">
        <f>COUNTIFS('Coded Passages'!$H:$H,$A16,'Coded Passages'!$B:$B,"D1.2")</f>
        <v>2</v>
      </c>
      <c r="I16">
        <f>COUNTIFS('Coded Passages'!$H:$H,$A16,'Coded Passages'!$B:$B,"D1.3")</f>
        <v>2</v>
      </c>
      <c r="J16">
        <f>G16+H16+I16</f>
        <v>7</v>
      </c>
    </row>
    <row r="17" spans="1:10" x14ac:dyDescent="0.45">
      <c r="A17" t="s">
        <v>678</v>
      </c>
      <c r="B17" t="s">
        <v>679</v>
      </c>
      <c r="C17" t="s">
        <v>21</v>
      </c>
      <c r="D17" t="s">
        <v>1649</v>
      </c>
      <c r="E17" t="s">
        <v>200</v>
      </c>
      <c r="F17" t="s">
        <v>24</v>
      </c>
      <c r="G17">
        <f>COUNTIFS('Coded Passages'!$H:$H,$A17,'Coded Passages'!$B:$B,"D1.1")</f>
        <v>3</v>
      </c>
      <c r="H17">
        <f>COUNTIFS('Coded Passages'!$H:$H,$A17,'Coded Passages'!$B:$B,"D1.2")</f>
        <v>2</v>
      </c>
      <c r="I17">
        <f>COUNTIFS('Coded Passages'!$H:$H,$A17,'Coded Passages'!$B:$B,"D1.3")</f>
        <v>2</v>
      </c>
      <c r="J17">
        <f>G17+H17+I17</f>
        <v>7</v>
      </c>
    </row>
    <row r="18" spans="1:10" x14ac:dyDescent="0.45">
      <c r="A18" t="s">
        <v>769</v>
      </c>
      <c r="B18" t="s">
        <v>770</v>
      </c>
      <c r="C18" t="s">
        <v>21</v>
      </c>
      <c r="D18" t="s">
        <v>1646</v>
      </c>
      <c r="E18" t="s">
        <v>23</v>
      </c>
      <c r="F18" t="s">
        <v>24</v>
      </c>
      <c r="G18">
        <f>COUNTIFS('Coded Passages'!$H:$H,$A18,'Coded Passages'!$B:$B,"D1.1")</f>
        <v>4</v>
      </c>
      <c r="H18">
        <f>COUNTIFS('Coded Passages'!$H:$H,$A18,'Coded Passages'!$B:$B,"D1.2")</f>
        <v>1</v>
      </c>
      <c r="I18">
        <f>COUNTIFS('Coded Passages'!$H:$H,$A18,'Coded Passages'!$B:$B,"D1.3")</f>
        <v>2</v>
      </c>
      <c r="J18">
        <f>G18+H18+I18</f>
        <v>7</v>
      </c>
    </row>
    <row r="19" spans="1:10" x14ac:dyDescent="0.45">
      <c r="A19" t="s">
        <v>899</v>
      </c>
      <c r="B19" t="s">
        <v>900</v>
      </c>
      <c r="C19" t="s">
        <v>126</v>
      </c>
      <c r="D19" t="s">
        <v>1646</v>
      </c>
      <c r="E19" t="s">
        <v>23</v>
      </c>
      <c r="F19" t="s">
        <v>87</v>
      </c>
      <c r="G19">
        <f>COUNTIFS('Coded Passages'!$H:$H,$A19,'Coded Passages'!$B:$B,"D1.1")</f>
        <v>3</v>
      </c>
      <c r="H19">
        <f>COUNTIFS('Coded Passages'!$H:$H,$A19,'Coded Passages'!$B:$B,"D1.2")</f>
        <v>2</v>
      </c>
      <c r="I19">
        <f>COUNTIFS('Coded Passages'!$H:$H,$A19,'Coded Passages'!$B:$B,"D1.3")</f>
        <v>2</v>
      </c>
      <c r="J19">
        <f>G19+H19+I19</f>
        <v>7</v>
      </c>
    </row>
    <row r="20" spans="1:10" x14ac:dyDescent="0.45">
      <c r="A20" t="s">
        <v>913</v>
      </c>
      <c r="B20" t="s">
        <v>914</v>
      </c>
      <c r="C20" t="s">
        <v>142</v>
      </c>
      <c r="D20" t="s">
        <v>1643</v>
      </c>
      <c r="E20" t="s">
        <v>40</v>
      </c>
      <c r="F20" t="s">
        <v>24</v>
      </c>
      <c r="G20">
        <f>COUNTIFS('Coded Passages'!$H:$H,$A20,'Coded Passages'!$B:$B,"D1.1")</f>
        <v>5</v>
      </c>
      <c r="H20">
        <f>COUNTIFS('Coded Passages'!$H:$H,$A20,'Coded Passages'!$B:$B,"D1.2")</f>
        <v>0</v>
      </c>
      <c r="I20">
        <f>COUNTIFS('Coded Passages'!$H:$H,$A20,'Coded Passages'!$B:$B,"D1.3")</f>
        <v>2</v>
      </c>
      <c r="J20">
        <f>G20+H20+I20</f>
        <v>7</v>
      </c>
    </row>
    <row r="21" spans="1:10" x14ac:dyDescent="0.45">
      <c r="A21" t="s">
        <v>1225</v>
      </c>
      <c r="B21" t="s">
        <v>1226</v>
      </c>
      <c r="C21" t="s">
        <v>638</v>
      </c>
      <c r="D21" t="s">
        <v>1654</v>
      </c>
      <c r="E21" t="s">
        <v>86</v>
      </c>
      <c r="F21" t="s">
        <v>24</v>
      </c>
      <c r="G21">
        <f>COUNTIFS('Coded Passages'!$H:$H,$A21,'Coded Passages'!$B:$B,"D1.1")</f>
        <v>5</v>
      </c>
      <c r="H21">
        <f>COUNTIFS('Coded Passages'!$H:$H,$A21,'Coded Passages'!$B:$B,"D1.2")</f>
        <v>0</v>
      </c>
      <c r="I21">
        <f>COUNTIFS('Coded Passages'!$H:$H,$A21,'Coded Passages'!$B:$B,"D1.3")</f>
        <v>2</v>
      </c>
      <c r="J21">
        <f>G21+H21+I21</f>
        <v>7</v>
      </c>
    </row>
    <row r="22" spans="1:10" x14ac:dyDescent="0.45">
      <c r="A22" t="s">
        <v>1373</v>
      </c>
      <c r="B22" t="s">
        <v>1374</v>
      </c>
      <c r="C22" t="s">
        <v>21</v>
      </c>
      <c r="D22" t="s">
        <v>1649</v>
      </c>
      <c r="E22" t="s">
        <v>200</v>
      </c>
      <c r="F22" t="s">
        <v>24</v>
      </c>
      <c r="G22">
        <f>COUNTIFS('Coded Passages'!$H:$H,$A22,'Coded Passages'!$B:$B,"D1.1")</f>
        <v>3</v>
      </c>
      <c r="H22">
        <f>COUNTIFS('Coded Passages'!$H:$H,$A22,'Coded Passages'!$B:$B,"D1.2")</f>
        <v>2</v>
      </c>
      <c r="I22">
        <f>COUNTIFS('Coded Passages'!$H:$H,$A22,'Coded Passages'!$B:$B,"D1.3")</f>
        <v>2</v>
      </c>
      <c r="J22">
        <f>G22+H22+I22</f>
        <v>7</v>
      </c>
    </row>
    <row r="23" spans="1:10" x14ac:dyDescent="0.45">
      <c r="A23" t="s">
        <v>1448</v>
      </c>
      <c r="B23" t="s">
        <v>1449</v>
      </c>
      <c r="C23" t="s">
        <v>555</v>
      </c>
      <c r="D23" t="s">
        <v>1658</v>
      </c>
      <c r="E23" t="s">
        <v>170</v>
      </c>
      <c r="F23" t="s">
        <v>87</v>
      </c>
      <c r="G23">
        <f>COUNTIFS('Coded Passages'!$H:$H,$A23,'Coded Passages'!$B:$B,"D1.1")</f>
        <v>6</v>
      </c>
      <c r="H23">
        <f>COUNTIFS('Coded Passages'!$H:$H,$A23,'Coded Passages'!$B:$B,"D1.2")</f>
        <v>0</v>
      </c>
      <c r="I23">
        <f>COUNTIFS('Coded Passages'!$H:$H,$A23,'Coded Passages'!$B:$B,"D1.3")</f>
        <v>1</v>
      </c>
      <c r="J23">
        <f>G23+H23+I23</f>
        <v>7</v>
      </c>
    </row>
    <row r="24" spans="1:10" x14ac:dyDescent="0.45">
      <c r="A24" t="s">
        <v>124</v>
      </c>
      <c r="B24" t="s">
        <v>125</v>
      </c>
      <c r="C24" t="s">
        <v>126</v>
      </c>
      <c r="D24" t="s">
        <v>1646</v>
      </c>
      <c r="E24" t="s">
        <v>23</v>
      </c>
      <c r="F24" t="s">
        <v>87</v>
      </c>
      <c r="G24">
        <f>COUNTIFS('Coded Passages'!$H:$H,$A24,'Coded Passages'!$B:$B,"D1.1")</f>
        <v>3</v>
      </c>
      <c r="H24">
        <f>COUNTIFS('Coded Passages'!$H:$H,$A24,'Coded Passages'!$B:$B,"D1.2")</f>
        <v>1</v>
      </c>
      <c r="I24">
        <f>COUNTIFS('Coded Passages'!$H:$H,$A24,'Coded Passages'!$B:$B,"D1.3")</f>
        <v>2</v>
      </c>
      <c r="J24">
        <f>G24+H24+I24</f>
        <v>6</v>
      </c>
    </row>
    <row r="25" spans="1:10" x14ac:dyDescent="0.45">
      <c r="A25" t="s">
        <v>279</v>
      </c>
      <c r="B25" t="s">
        <v>280</v>
      </c>
      <c r="C25" t="s">
        <v>281</v>
      </c>
      <c r="D25" t="s">
        <v>1651</v>
      </c>
      <c r="E25" t="s">
        <v>200</v>
      </c>
      <c r="F25" t="s">
        <v>87</v>
      </c>
      <c r="G25">
        <f>COUNTIFS('Coded Passages'!$H:$H,$A25,'Coded Passages'!$B:$B,"D1.1")</f>
        <v>5</v>
      </c>
      <c r="H25">
        <f>COUNTIFS('Coded Passages'!$H:$H,$A25,'Coded Passages'!$B:$B,"D1.2")</f>
        <v>0</v>
      </c>
      <c r="I25">
        <f>COUNTIFS('Coded Passages'!$H:$H,$A25,'Coded Passages'!$B:$B,"D1.3")</f>
        <v>1</v>
      </c>
      <c r="J25">
        <f>G25+H25+I25</f>
        <v>6</v>
      </c>
    </row>
    <row r="26" spans="1:10" x14ac:dyDescent="0.45">
      <c r="A26" t="s">
        <v>371</v>
      </c>
      <c r="B26" t="s">
        <v>372</v>
      </c>
      <c r="C26" t="s">
        <v>373</v>
      </c>
      <c r="D26" t="s">
        <v>1646</v>
      </c>
      <c r="E26" t="s">
        <v>23</v>
      </c>
      <c r="F26" t="s">
        <v>87</v>
      </c>
      <c r="G26">
        <f>COUNTIFS('Coded Passages'!$H:$H,$A26,'Coded Passages'!$B:$B,"D1.1")</f>
        <v>2</v>
      </c>
      <c r="H26">
        <f>COUNTIFS('Coded Passages'!$H:$H,$A26,'Coded Passages'!$B:$B,"D1.2")</f>
        <v>0</v>
      </c>
      <c r="I26">
        <f>COUNTIFS('Coded Passages'!$H:$H,$A26,'Coded Passages'!$B:$B,"D1.3")</f>
        <v>4</v>
      </c>
      <c r="J26">
        <f>G26+H26+I26</f>
        <v>6</v>
      </c>
    </row>
    <row r="27" spans="1:10" x14ac:dyDescent="0.45">
      <c r="A27" t="s">
        <v>386</v>
      </c>
      <c r="B27" t="s">
        <v>387</v>
      </c>
      <c r="C27" t="s">
        <v>388</v>
      </c>
      <c r="D27" t="s">
        <v>1643</v>
      </c>
      <c r="E27" t="s">
        <v>40</v>
      </c>
      <c r="F27" t="s">
        <v>24</v>
      </c>
      <c r="G27">
        <f>COUNTIFS('Coded Passages'!$H:$H,$A27,'Coded Passages'!$B:$B,"D1.1")</f>
        <v>5</v>
      </c>
      <c r="H27">
        <f>COUNTIFS('Coded Passages'!$H:$H,$A27,'Coded Passages'!$B:$B,"D1.2")</f>
        <v>1</v>
      </c>
      <c r="I27">
        <f>COUNTIFS('Coded Passages'!$H:$H,$A27,'Coded Passages'!$B:$B,"D1.3")</f>
        <v>0</v>
      </c>
      <c r="J27">
        <f>G27+H27+I27</f>
        <v>6</v>
      </c>
    </row>
    <row r="28" spans="1:10" x14ac:dyDescent="0.45">
      <c r="A28" t="s">
        <v>422</v>
      </c>
      <c r="B28" t="s">
        <v>423</v>
      </c>
      <c r="C28" t="s">
        <v>321</v>
      </c>
      <c r="D28" t="s">
        <v>1652</v>
      </c>
      <c r="E28" t="s">
        <v>86</v>
      </c>
      <c r="F28" t="s">
        <v>24</v>
      </c>
      <c r="G28">
        <f>COUNTIFS('Coded Passages'!$H:$H,$A28,'Coded Passages'!$B:$B,"D1.1")</f>
        <v>4</v>
      </c>
      <c r="H28">
        <f>COUNTIFS('Coded Passages'!$H:$H,$A28,'Coded Passages'!$B:$B,"D1.2")</f>
        <v>1</v>
      </c>
      <c r="I28">
        <f>COUNTIFS('Coded Passages'!$H:$H,$A28,'Coded Passages'!$B:$B,"D1.3")</f>
        <v>1</v>
      </c>
      <c r="J28">
        <f>G28+H28+I28</f>
        <v>6</v>
      </c>
    </row>
    <row r="29" spans="1:10" x14ac:dyDescent="0.45">
      <c r="A29" t="s">
        <v>539</v>
      </c>
      <c r="B29" t="s">
        <v>540</v>
      </c>
      <c r="C29" t="s">
        <v>142</v>
      </c>
      <c r="D29" t="s">
        <v>1644</v>
      </c>
      <c r="E29" t="s">
        <v>40</v>
      </c>
      <c r="F29" t="s">
        <v>24</v>
      </c>
      <c r="G29">
        <f>COUNTIFS('Coded Passages'!$H:$H,$A29,'Coded Passages'!$B:$B,"D1.1")</f>
        <v>5</v>
      </c>
      <c r="H29">
        <f>COUNTIFS('Coded Passages'!$H:$H,$A29,'Coded Passages'!$B:$B,"D1.2")</f>
        <v>0</v>
      </c>
      <c r="I29">
        <f>COUNTIFS('Coded Passages'!$H:$H,$A29,'Coded Passages'!$B:$B,"D1.3")</f>
        <v>1</v>
      </c>
      <c r="J29">
        <f>G29+H29+I29</f>
        <v>6</v>
      </c>
    </row>
    <row r="30" spans="1:10" x14ac:dyDescent="0.45">
      <c r="A30" t="s">
        <v>884</v>
      </c>
      <c r="B30" t="s">
        <v>885</v>
      </c>
      <c r="C30" t="s">
        <v>126</v>
      </c>
      <c r="D30" t="s">
        <v>1657</v>
      </c>
      <c r="E30" t="s">
        <v>177</v>
      </c>
      <c r="F30" t="s">
        <v>87</v>
      </c>
      <c r="G30">
        <f>COUNTIFS('Coded Passages'!$H:$H,$A30,'Coded Passages'!$B:$B,"D1.1")</f>
        <v>5</v>
      </c>
      <c r="H30">
        <f>COUNTIFS('Coded Passages'!$H:$H,$A30,'Coded Passages'!$B:$B,"D1.2")</f>
        <v>0</v>
      </c>
      <c r="I30">
        <f>COUNTIFS('Coded Passages'!$H:$H,$A30,'Coded Passages'!$B:$B,"D1.3")</f>
        <v>1</v>
      </c>
      <c r="J30">
        <f>G30+H30+I30</f>
        <v>6</v>
      </c>
    </row>
    <row r="31" spans="1:10" x14ac:dyDescent="0.45">
      <c r="A31" t="s">
        <v>1067</v>
      </c>
      <c r="B31" t="s">
        <v>1068</v>
      </c>
      <c r="C31" t="s">
        <v>1069</v>
      </c>
      <c r="D31" t="s">
        <v>1658</v>
      </c>
      <c r="E31" t="s">
        <v>170</v>
      </c>
      <c r="F31" t="s">
        <v>24</v>
      </c>
      <c r="G31">
        <f>COUNTIFS('Coded Passages'!$H:$H,$A31,'Coded Passages'!$B:$B,"D1.1")</f>
        <v>3</v>
      </c>
      <c r="H31">
        <f>COUNTIFS('Coded Passages'!$H:$H,$A31,'Coded Passages'!$B:$B,"D1.2")</f>
        <v>0</v>
      </c>
      <c r="I31">
        <f>COUNTIFS('Coded Passages'!$H:$H,$A31,'Coded Passages'!$B:$B,"D1.3")</f>
        <v>3</v>
      </c>
      <c r="J31">
        <f>G31+H31+I31</f>
        <v>6</v>
      </c>
    </row>
    <row r="32" spans="1:10" x14ac:dyDescent="0.45">
      <c r="A32" t="s">
        <v>1326</v>
      </c>
      <c r="B32" t="s">
        <v>1327</v>
      </c>
      <c r="C32" t="s">
        <v>1328</v>
      </c>
      <c r="D32" t="s">
        <v>1649</v>
      </c>
      <c r="E32" t="s">
        <v>200</v>
      </c>
      <c r="F32" t="s">
        <v>24</v>
      </c>
      <c r="G32">
        <f>COUNTIFS('Coded Passages'!$H:$H,$A32,'Coded Passages'!$B:$B,"D1.1")</f>
        <v>5</v>
      </c>
      <c r="H32">
        <f>COUNTIFS('Coded Passages'!$H:$H,$A32,'Coded Passages'!$B:$B,"D1.2")</f>
        <v>1</v>
      </c>
      <c r="I32">
        <f>COUNTIFS('Coded Passages'!$H:$H,$A32,'Coded Passages'!$B:$B,"D1.3")</f>
        <v>0</v>
      </c>
      <c r="J32">
        <f>G32+H32+I32</f>
        <v>6</v>
      </c>
    </row>
    <row r="33" spans="1:10" x14ac:dyDescent="0.45">
      <c r="A33" t="s">
        <v>36</v>
      </c>
      <c r="B33" t="s">
        <v>37</v>
      </c>
      <c r="C33" t="s">
        <v>38</v>
      </c>
      <c r="D33" t="s">
        <v>1643</v>
      </c>
      <c r="E33" t="s">
        <v>40</v>
      </c>
      <c r="F33" t="s">
        <v>24</v>
      </c>
      <c r="G33">
        <f>COUNTIFS('Coded Passages'!$H:$H,$A33,'Coded Passages'!$B:$B,"D1.1")</f>
        <v>4</v>
      </c>
      <c r="H33">
        <f>COUNTIFS('Coded Passages'!$H:$H,$A33,'Coded Passages'!$B:$B,"D1.2")</f>
        <v>0</v>
      </c>
      <c r="I33">
        <f>COUNTIFS('Coded Passages'!$H:$H,$A33,'Coded Passages'!$B:$B,"D1.3")</f>
        <v>1</v>
      </c>
      <c r="J33">
        <f>G33+H33+I33</f>
        <v>5</v>
      </c>
    </row>
    <row r="34" spans="1:10" x14ac:dyDescent="0.45">
      <c r="A34" t="s">
        <v>247</v>
      </c>
      <c r="B34" t="s">
        <v>248</v>
      </c>
      <c r="C34" t="s">
        <v>21</v>
      </c>
      <c r="D34" t="s">
        <v>1645</v>
      </c>
      <c r="E34" t="s">
        <v>86</v>
      </c>
      <c r="F34" t="s">
        <v>24</v>
      </c>
      <c r="G34">
        <f>COUNTIFS('Coded Passages'!$H:$H,$A34,'Coded Passages'!$B:$B,"D1.1")</f>
        <v>4</v>
      </c>
      <c r="H34">
        <f>COUNTIFS('Coded Passages'!$H:$H,$A34,'Coded Passages'!$B:$B,"D1.2")</f>
        <v>1</v>
      </c>
      <c r="I34">
        <f>COUNTIFS('Coded Passages'!$H:$H,$A34,'Coded Passages'!$B:$B,"D1.3")</f>
        <v>0</v>
      </c>
      <c r="J34">
        <f>G34+H34+I34</f>
        <v>5</v>
      </c>
    </row>
    <row r="35" spans="1:10" x14ac:dyDescent="0.45">
      <c r="A35" t="s">
        <v>259</v>
      </c>
      <c r="B35" t="s">
        <v>260</v>
      </c>
      <c r="C35" t="s">
        <v>261</v>
      </c>
      <c r="D35" t="s">
        <v>1646</v>
      </c>
      <c r="E35" t="s">
        <v>23</v>
      </c>
      <c r="F35" t="s">
        <v>24</v>
      </c>
      <c r="G35">
        <f>COUNTIFS('Coded Passages'!$H:$H,$A35,'Coded Passages'!$B:$B,"D1.1")</f>
        <v>2</v>
      </c>
      <c r="H35">
        <f>COUNTIFS('Coded Passages'!$H:$H,$A35,'Coded Passages'!$B:$B,"D1.2")</f>
        <v>1</v>
      </c>
      <c r="I35">
        <f>COUNTIFS('Coded Passages'!$H:$H,$A35,'Coded Passages'!$B:$B,"D1.3")</f>
        <v>2</v>
      </c>
      <c r="J35">
        <f>G35+H35+I35</f>
        <v>5</v>
      </c>
    </row>
    <row r="36" spans="1:10" x14ac:dyDescent="0.45">
      <c r="A36" t="s">
        <v>401</v>
      </c>
      <c r="B36" t="s">
        <v>402</v>
      </c>
      <c r="C36" t="s">
        <v>21</v>
      </c>
      <c r="D36" t="s">
        <v>1654</v>
      </c>
      <c r="E36" t="s">
        <v>86</v>
      </c>
      <c r="F36" t="s">
        <v>24</v>
      </c>
      <c r="G36">
        <f>COUNTIFS('Coded Passages'!$H:$H,$A36,'Coded Passages'!$B:$B,"D1.1")</f>
        <v>3</v>
      </c>
      <c r="H36">
        <f>COUNTIFS('Coded Passages'!$H:$H,$A36,'Coded Passages'!$B:$B,"D1.2")</f>
        <v>2</v>
      </c>
      <c r="I36">
        <f>COUNTIFS('Coded Passages'!$H:$H,$A36,'Coded Passages'!$B:$B,"D1.3")</f>
        <v>0</v>
      </c>
      <c r="J36">
        <f>G36+H36+I36</f>
        <v>5</v>
      </c>
    </row>
    <row r="37" spans="1:10" x14ac:dyDescent="0.45">
      <c r="A37" t="s">
        <v>440</v>
      </c>
      <c r="B37" t="s">
        <v>441</v>
      </c>
      <c r="C37" t="s">
        <v>442</v>
      </c>
      <c r="D37" t="s">
        <v>1650</v>
      </c>
      <c r="E37" t="s">
        <v>86</v>
      </c>
      <c r="F37" t="s">
        <v>24</v>
      </c>
      <c r="G37">
        <f>COUNTIFS('Coded Passages'!$H:$H,$A37,'Coded Passages'!$B:$B,"D1.1")</f>
        <v>3</v>
      </c>
      <c r="H37">
        <f>COUNTIFS('Coded Passages'!$H:$H,$A37,'Coded Passages'!$B:$B,"D1.2")</f>
        <v>1</v>
      </c>
      <c r="I37">
        <f>COUNTIFS('Coded Passages'!$H:$H,$A37,'Coded Passages'!$B:$B,"D1.3")</f>
        <v>1</v>
      </c>
      <c r="J37">
        <f>G37+H37+I37</f>
        <v>5</v>
      </c>
    </row>
    <row r="38" spans="1:10" x14ac:dyDescent="0.45">
      <c r="A38" t="s">
        <v>453</v>
      </c>
      <c r="B38" t="s">
        <v>454</v>
      </c>
      <c r="C38" t="s">
        <v>21</v>
      </c>
      <c r="D38" t="s">
        <v>1645</v>
      </c>
      <c r="E38" t="s">
        <v>86</v>
      </c>
      <c r="F38" t="s">
        <v>24</v>
      </c>
      <c r="G38">
        <f>COUNTIFS('Coded Passages'!$H:$H,$A38,'Coded Passages'!$B:$B,"D1.1")</f>
        <v>1</v>
      </c>
      <c r="H38">
        <f>COUNTIFS('Coded Passages'!$H:$H,$A38,'Coded Passages'!$B:$B,"D1.2")</f>
        <v>1</v>
      </c>
      <c r="I38">
        <f>COUNTIFS('Coded Passages'!$H:$H,$A38,'Coded Passages'!$B:$B,"D1.3")</f>
        <v>3</v>
      </c>
      <c r="J38">
        <f>G38+H38+I38</f>
        <v>5</v>
      </c>
    </row>
    <row r="39" spans="1:10" x14ac:dyDescent="0.45">
      <c r="A39" t="s">
        <v>526</v>
      </c>
      <c r="B39" t="s">
        <v>527</v>
      </c>
      <c r="C39" t="s">
        <v>528</v>
      </c>
      <c r="D39" t="s">
        <v>1645</v>
      </c>
      <c r="E39" t="s">
        <v>86</v>
      </c>
      <c r="F39" t="s">
        <v>24</v>
      </c>
      <c r="G39">
        <f>COUNTIFS('Coded Passages'!$H:$H,$A39,'Coded Passages'!$B:$B,"D1.1")</f>
        <v>2</v>
      </c>
      <c r="H39">
        <f>COUNTIFS('Coded Passages'!$H:$H,$A39,'Coded Passages'!$B:$B,"D1.2")</f>
        <v>2</v>
      </c>
      <c r="I39">
        <f>COUNTIFS('Coded Passages'!$H:$H,$A39,'Coded Passages'!$B:$B,"D1.3")</f>
        <v>1</v>
      </c>
      <c r="J39">
        <f>G39+H39+I39</f>
        <v>5</v>
      </c>
    </row>
    <row r="40" spans="1:10" x14ac:dyDescent="0.45">
      <c r="A40" t="s">
        <v>657</v>
      </c>
      <c r="B40" t="s">
        <v>658</v>
      </c>
      <c r="C40" t="s">
        <v>21</v>
      </c>
      <c r="D40" t="s">
        <v>1649</v>
      </c>
      <c r="E40" t="s">
        <v>200</v>
      </c>
      <c r="F40" t="s">
        <v>24</v>
      </c>
      <c r="G40">
        <f>COUNTIFS('Coded Passages'!$H:$H,$A40,'Coded Passages'!$B:$B,"D1.1")</f>
        <v>2</v>
      </c>
      <c r="H40">
        <f>COUNTIFS('Coded Passages'!$H:$H,$A40,'Coded Passages'!$B:$B,"D1.2")</f>
        <v>1</v>
      </c>
      <c r="I40">
        <f>COUNTIFS('Coded Passages'!$H:$H,$A40,'Coded Passages'!$B:$B,"D1.3")</f>
        <v>2</v>
      </c>
      <c r="J40">
        <f>G40+H40+I40</f>
        <v>5</v>
      </c>
    </row>
    <row r="41" spans="1:10" x14ac:dyDescent="0.45">
      <c r="A41" t="s">
        <v>1103</v>
      </c>
      <c r="B41" t="s">
        <v>1104</v>
      </c>
      <c r="C41" t="s">
        <v>21</v>
      </c>
      <c r="D41" t="s">
        <v>1659</v>
      </c>
      <c r="E41" t="s">
        <v>86</v>
      </c>
      <c r="F41" t="s">
        <v>24</v>
      </c>
      <c r="G41">
        <f>COUNTIFS('Coded Passages'!$H:$H,$A41,'Coded Passages'!$B:$B,"D1.1")</f>
        <v>4</v>
      </c>
      <c r="H41">
        <f>COUNTIFS('Coded Passages'!$H:$H,$A41,'Coded Passages'!$B:$B,"D1.2")</f>
        <v>1</v>
      </c>
      <c r="I41">
        <f>COUNTIFS('Coded Passages'!$H:$H,$A41,'Coded Passages'!$B:$B,"D1.3")</f>
        <v>0</v>
      </c>
      <c r="J41">
        <f>G41+H41+I41</f>
        <v>5</v>
      </c>
    </row>
    <row r="42" spans="1:10" x14ac:dyDescent="0.45">
      <c r="A42" t="s">
        <v>1210</v>
      </c>
      <c r="B42" t="s">
        <v>1207</v>
      </c>
      <c r="C42" t="s">
        <v>948</v>
      </c>
      <c r="D42" t="s">
        <v>1660</v>
      </c>
      <c r="E42" t="s">
        <v>86</v>
      </c>
      <c r="F42" t="s">
        <v>87</v>
      </c>
      <c r="G42">
        <f>COUNTIFS('Coded Passages'!$H:$H,$A42,'Coded Passages'!$B:$B,"D1.1")</f>
        <v>2</v>
      </c>
      <c r="H42">
        <f>COUNTIFS('Coded Passages'!$H:$H,$A42,'Coded Passages'!$B:$B,"D1.2")</f>
        <v>0</v>
      </c>
      <c r="I42">
        <f>COUNTIFS('Coded Passages'!$H:$H,$A42,'Coded Passages'!$B:$B,"D1.3")</f>
        <v>3</v>
      </c>
      <c r="J42">
        <f>G42+H42+I42</f>
        <v>5</v>
      </c>
    </row>
    <row r="43" spans="1:10" x14ac:dyDescent="0.45">
      <c r="A43" t="s">
        <v>1259</v>
      </c>
      <c r="B43" t="s">
        <v>1260</v>
      </c>
      <c r="C43" t="s">
        <v>321</v>
      </c>
      <c r="D43" t="s">
        <v>1661</v>
      </c>
      <c r="E43" t="s">
        <v>200</v>
      </c>
      <c r="F43" t="s">
        <v>24</v>
      </c>
      <c r="G43">
        <f>COUNTIFS('Coded Passages'!$H:$H,$A43,'Coded Passages'!$B:$B,"D1.1")</f>
        <v>4</v>
      </c>
      <c r="H43">
        <f>COUNTIFS('Coded Passages'!$H:$H,$A43,'Coded Passages'!$B:$B,"D1.2")</f>
        <v>1</v>
      </c>
      <c r="I43">
        <f>COUNTIFS('Coded Passages'!$H:$H,$A43,'Coded Passages'!$B:$B,"D1.3")</f>
        <v>0</v>
      </c>
      <c r="J43">
        <f>G43+H43+I43</f>
        <v>5</v>
      </c>
    </row>
    <row r="44" spans="1:10" x14ac:dyDescent="0.45">
      <c r="A44" t="s">
        <v>1307</v>
      </c>
      <c r="B44" t="s">
        <v>1308</v>
      </c>
      <c r="C44" t="s">
        <v>1309</v>
      </c>
      <c r="D44" t="s">
        <v>1660</v>
      </c>
      <c r="E44" t="s">
        <v>86</v>
      </c>
      <c r="F44" t="s">
        <v>87</v>
      </c>
      <c r="G44">
        <f>COUNTIFS('Coded Passages'!$H:$H,$A44,'Coded Passages'!$B:$B,"D1.1")</f>
        <v>2</v>
      </c>
      <c r="H44">
        <f>COUNTIFS('Coded Passages'!$H:$H,$A44,'Coded Passages'!$B:$B,"D1.2")</f>
        <v>0</v>
      </c>
      <c r="I44">
        <f>COUNTIFS('Coded Passages'!$H:$H,$A44,'Coded Passages'!$B:$B,"D1.3")</f>
        <v>3</v>
      </c>
      <c r="J44">
        <f>G44+H44+I44</f>
        <v>5</v>
      </c>
    </row>
    <row r="45" spans="1:10" x14ac:dyDescent="0.45">
      <c r="A45" t="s">
        <v>1354</v>
      </c>
      <c r="B45" t="s">
        <v>1355</v>
      </c>
      <c r="C45" t="s">
        <v>321</v>
      </c>
      <c r="D45" t="s">
        <v>1660</v>
      </c>
      <c r="E45" t="s">
        <v>86</v>
      </c>
      <c r="F45" t="s">
        <v>24</v>
      </c>
      <c r="G45">
        <f>COUNTIFS('Coded Passages'!$H:$H,$A45,'Coded Passages'!$B:$B,"D1.1")</f>
        <v>1</v>
      </c>
      <c r="H45">
        <f>COUNTIFS('Coded Passages'!$H:$H,$A45,'Coded Passages'!$B:$B,"D1.2")</f>
        <v>3</v>
      </c>
      <c r="I45">
        <f>COUNTIFS('Coded Passages'!$H:$H,$A45,'Coded Passages'!$B:$B,"D1.3")</f>
        <v>1</v>
      </c>
      <c r="J45">
        <f>G45+H45+I45</f>
        <v>5</v>
      </c>
    </row>
    <row r="46" spans="1:10" x14ac:dyDescent="0.45">
      <c r="A46" t="s">
        <v>1534</v>
      </c>
      <c r="B46" t="s">
        <v>1535</v>
      </c>
      <c r="C46" t="s">
        <v>1536</v>
      </c>
      <c r="D46" t="s">
        <v>1646</v>
      </c>
      <c r="E46" t="s">
        <v>23</v>
      </c>
      <c r="F46" t="s">
        <v>87</v>
      </c>
      <c r="G46">
        <f>COUNTIFS('Coded Passages'!$H:$H,$A46,'Coded Passages'!$B:$B,"D1.1")</f>
        <v>3</v>
      </c>
      <c r="H46">
        <f>COUNTIFS('Coded Passages'!$H:$H,$A46,'Coded Passages'!$B:$B,"D1.2")</f>
        <v>0</v>
      </c>
      <c r="I46">
        <f>COUNTIFS('Coded Passages'!$H:$H,$A46,'Coded Passages'!$B:$B,"D1.3")</f>
        <v>2</v>
      </c>
      <c r="J46">
        <f>G46+H46+I46</f>
        <v>5</v>
      </c>
    </row>
    <row r="47" spans="1:10" x14ac:dyDescent="0.45">
      <c r="A47" t="s">
        <v>156</v>
      </c>
      <c r="B47" t="s">
        <v>157</v>
      </c>
      <c r="C47" t="s">
        <v>158</v>
      </c>
      <c r="D47" t="s">
        <v>1645</v>
      </c>
      <c r="E47" t="s">
        <v>86</v>
      </c>
      <c r="F47" t="s">
        <v>24</v>
      </c>
      <c r="G47">
        <f>COUNTIFS('Coded Passages'!$H:$H,$A47,'Coded Passages'!$B:$B,"D1.1")</f>
        <v>3</v>
      </c>
      <c r="H47">
        <f>COUNTIFS('Coded Passages'!$H:$H,$A47,'Coded Passages'!$B:$B,"D1.2")</f>
        <v>1</v>
      </c>
      <c r="I47">
        <f>COUNTIFS('Coded Passages'!$H:$H,$A47,'Coded Passages'!$B:$B,"D1.3")</f>
        <v>0</v>
      </c>
      <c r="J47">
        <f>G47+H47+I47</f>
        <v>4</v>
      </c>
    </row>
    <row r="48" spans="1:10" x14ac:dyDescent="0.45">
      <c r="A48" t="s">
        <v>196</v>
      </c>
      <c r="B48" t="s">
        <v>197</v>
      </c>
      <c r="C48" t="s">
        <v>198</v>
      </c>
      <c r="D48" t="s">
        <v>1649</v>
      </c>
      <c r="E48" t="s">
        <v>200</v>
      </c>
      <c r="F48" t="s">
        <v>24</v>
      </c>
      <c r="G48">
        <f>COUNTIFS('Coded Passages'!$H:$H,$A48,'Coded Passages'!$B:$B,"D1.1")</f>
        <v>2</v>
      </c>
      <c r="H48">
        <f>COUNTIFS('Coded Passages'!$H:$H,$A48,'Coded Passages'!$B:$B,"D1.2")</f>
        <v>1</v>
      </c>
      <c r="I48">
        <f>COUNTIFS('Coded Passages'!$H:$H,$A48,'Coded Passages'!$B:$B,"D1.3")</f>
        <v>1</v>
      </c>
      <c r="J48">
        <f>G48+H48+I48</f>
        <v>4</v>
      </c>
    </row>
    <row r="49" spans="1:10" x14ac:dyDescent="0.45">
      <c r="A49" t="s">
        <v>209</v>
      </c>
      <c r="B49" t="s">
        <v>210</v>
      </c>
      <c r="C49" t="s">
        <v>21</v>
      </c>
      <c r="D49" t="s">
        <v>1650</v>
      </c>
      <c r="E49" t="s">
        <v>86</v>
      </c>
      <c r="F49" t="s">
        <v>24</v>
      </c>
      <c r="G49">
        <f>COUNTIFS('Coded Passages'!$H:$H,$A49,'Coded Passages'!$B:$B,"D1.1")</f>
        <v>2</v>
      </c>
      <c r="H49">
        <f>COUNTIFS('Coded Passages'!$H:$H,$A49,'Coded Passages'!$B:$B,"D1.2")</f>
        <v>1</v>
      </c>
      <c r="I49">
        <f>COUNTIFS('Coded Passages'!$H:$H,$A49,'Coded Passages'!$B:$B,"D1.3")</f>
        <v>1</v>
      </c>
      <c r="J49">
        <f>G49+H49+I49</f>
        <v>4</v>
      </c>
    </row>
    <row r="50" spans="1:10" x14ac:dyDescent="0.45">
      <c r="A50" t="s">
        <v>220</v>
      </c>
      <c r="B50" t="s">
        <v>221</v>
      </c>
      <c r="C50" t="s">
        <v>222</v>
      </c>
      <c r="D50" t="s">
        <v>1646</v>
      </c>
      <c r="E50" t="s">
        <v>23</v>
      </c>
      <c r="F50" t="s">
        <v>87</v>
      </c>
      <c r="G50">
        <f>COUNTIFS('Coded Passages'!$H:$H,$A50,'Coded Passages'!$B:$B,"D1.1")</f>
        <v>1</v>
      </c>
      <c r="H50">
        <f>COUNTIFS('Coded Passages'!$H:$H,$A50,'Coded Passages'!$B:$B,"D1.2")</f>
        <v>0</v>
      </c>
      <c r="I50">
        <f>COUNTIFS('Coded Passages'!$H:$H,$A50,'Coded Passages'!$B:$B,"D1.3")</f>
        <v>3</v>
      </c>
      <c r="J50">
        <f>G50+H50+I50</f>
        <v>4</v>
      </c>
    </row>
    <row r="51" spans="1:10" x14ac:dyDescent="0.45">
      <c r="A51" t="s">
        <v>334</v>
      </c>
      <c r="B51" t="s">
        <v>335</v>
      </c>
      <c r="C51" t="s">
        <v>222</v>
      </c>
      <c r="D51" t="s">
        <v>1653</v>
      </c>
      <c r="E51" t="s">
        <v>200</v>
      </c>
      <c r="F51" t="s">
        <v>87</v>
      </c>
      <c r="G51">
        <f>COUNTIFS('Coded Passages'!$H:$H,$A51,'Coded Passages'!$B:$B,"D1.1")</f>
        <v>3</v>
      </c>
      <c r="H51">
        <f>COUNTIFS('Coded Passages'!$H:$H,$A51,'Coded Passages'!$B:$B,"D1.2")</f>
        <v>0</v>
      </c>
      <c r="I51">
        <f>COUNTIFS('Coded Passages'!$H:$H,$A51,'Coded Passages'!$B:$B,"D1.3")</f>
        <v>1</v>
      </c>
      <c r="J51">
        <f>G51+H51+I51</f>
        <v>4</v>
      </c>
    </row>
    <row r="52" spans="1:10" x14ac:dyDescent="0.45">
      <c r="A52" t="s">
        <v>469</v>
      </c>
      <c r="B52" t="s">
        <v>470</v>
      </c>
      <c r="C52" t="s">
        <v>198</v>
      </c>
      <c r="D52" t="s">
        <v>1654</v>
      </c>
      <c r="E52" t="s">
        <v>86</v>
      </c>
      <c r="F52" t="s">
        <v>24</v>
      </c>
      <c r="G52">
        <f>COUNTIFS('Coded Passages'!$H:$H,$A52,'Coded Passages'!$B:$B,"D1.1")</f>
        <v>3</v>
      </c>
      <c r="H52">
        <f>COUNTIFS('Coded Passages'!$H:$H,$A52,'Coded Passages'!$B:$B,"D1.2")</f>
        <v>0</v>
      </c>
      <c r="I52">
        <f>COUNTIFS('Coded Passages'!$H:$H,$A52,'Coded Passages'!$B:$B,"D1.3")</f>
        <v>1</v>
      </c>
      <c r="J52">
        <f>G52+H52+I52</f>
        <v>4</v>
      </c>
    </row>
    <row r="53" spans="1:10" x14ac:dyDescent="0.45">
      <c r="A53" t="s">
        <v>498</v>
      </c>
      <c r="B53" t="s">
        <v>499</v>
      </c>
      <c r="C53" t="s">
        <v>500</v>
      </c>
      <c r="D53" t="s">
        <v>1655</v>
      </c>
      <c r="E53" t="s">
        <v>86</v>
      </c>
      <c r="F53" t="s">
        <v>24</v>
      </c>
      <c r="G53">
        <f>COUNTIFS('Coded Passages'!$H:$H,$A53,'Coded Passages'!$B:$B,"D1.1")</f>
        <v>4</v>
      </c>
      <c r="H53">
        <f>COUNTIFS('Coded Passages'!$H:$H,$A53,'Coded Passages'!$B:$B,"D1.2")</f>
        <v>0</v>
      </c>
      <c r="I53">
        <f>COUNTIFS('Coded Passages'!$H:$H,$A53,'Coded Passages'!$B:$B,"D1.3")</f>
        <v>0</v>
      </c>
      <c r="J53">
        <f>G53+H53+I53</f>
        <v>4</v>
      </c>
    </row>
    <row r="54" spans="1:10" x14ac:dyDescent="0.45">
      <c r="A54" t="s">
        <v>585</v>
      </c>
      <c r="B54" t="s">
        <v>586</v>
      </c>
      <c r="C54" t="s">
        <v>21</v>
      </c>
      <c r="D54" t="s">
        <v>1650</v>
      </c>
      <c r="E54" t="s">
        <v>86</v>
      </c>
      <c r="F54" t="s">
        <v>24</v>
      </c>
      <c r="G54">
        <f>COUNTIFS('Coded Passages'!$H:$H,$A54,'Coded Passages'!$B:$B,"D1.1")</f>
        <v>2</v>
      </c>
      <c r="H54">
        <f>COUNTIFS('Coded Passages'!$H:$H,$A54,'Coded Passages'!$B:$B,"D1.2")</f>
        <v>1</v>
      </c>
      <c r="I54">
        <f>COUNTIFS('Coded Passages'!$H:$H,$A54,'Coded Passages'!$B:$B,"D1.3")</f>
        <v>1</v>
      </c>
      <c r="J54">
        <f>G54+H54+I54</f>
        <v>4</v>
      </c>
    </row>
    <row r="55" spans="1:10" x14ac:dyDescent="0.45">
      <c r="A55" t="s">
        <v>669</v>
      </c>
      <c r="B55" t="s">
        <v>658</v>
      </c>
      <c r="C55" t="s">
        <v>511</v>
      </c>
      <c r="D55" t="s">
        <v>1655</v>
      </c>
      <c r="E55" t="s">
        <v>86</v>
      </c>
      <c r="F55" t="s">
        <v>24</v>
      </c>
      <c r="G55">
        <f>COUNTIFS('Coded Passages'!$H:$H,$A55,'Coded Passages'!$B:$B,"D1.1")</f>
        <v>3</v>
      </c>
      <c r="H55">
        <f>COUNTIFS('Coded Passages'!$H:$H,$A55,'Coded Passages'!$B:$B,"D1.2")</f>
        <v>1</v>
      </c>
      <c r="I55">
        <f>COUNTIFS('Coded Passages'!$H:$H,$A55,'Coded Passages'!$B:$B,"D1.3")</f>
        <v>0</v>
      </c>
      <c r="J55">
        <f>G55+H55+I55</f>
        <v>4</v>
      </c>
    </row>
    <row r="56" spans="1:10" x14ac:dyDescent="0.45">
      <c r="A56" t="s">
        <v>694</v>
      </c>
      <c r="B56" t="s">
        <v>695</v>
      </c>
      <c r="C56" t="s">
        <v>696</v>
      </c>
      <c r="D56" t="s">
        <v>1646</v>
      </c>
      <c r="E56" t="s">
        <v>23</v>
      </c>
      <c r="F56" t="s">
        <v>87</v>
      </c>
      <c r="G56">
        <f>COUNTIFS('Coded Passages'!$H:$H,$A56,'Coded Passages'!$B:$B,"D1.1")</f>
        <v>1</v>
      </c>
      <c r="H56">
        <f>COUNTIFS('Coded Passages'!$H:$H,$A56,'Coded Passages'!$B:$B,"D1.2")</f>
        <v>0</v>
      </c>
      <c r="I56">
        <f>COUNTIFS('Coded Passages'!$H:$H,$A56,'Coded Passages'!$B:$B,"D1.3")</f>
        <v>3</v>
      </c>
      <c r="J56">
        <f>G56+H56+I56</f>
        <v>4</v>
      </c>
    </row>
    <row r="57" spans="1:10" x14ac:dyDescent="0.45">
      <c r="A57" t="s">
        <v>727</v>
      </c>
      <c r="B57" t="s">
        <v>728</v>
      </c>
      <c r="C57" t="s">
        <v>729</v>
      </c>
      <c r="D57" t="s">
        <v>1656</v>
      </c>
      <c r="E57" t="s">
        <v>177</v>
      </c>
      <c r="F57" t="s">
        <v>87</v>
      </c>
      <c r="G57">
        <f>COUNTIFS('Coded Passages'!$H:$H,$A57,'Coded Passages'!$B:$B,"D1.1")</f>
        <v>3</v>
      </c>
      <c r="H57">
        <f>COUNTIFS('Coded Passages'!$H:$H,$A57,'Coded Passages'!$B:$B,"D1.2")</f>
        <v>1</v>
      </c>
      <c r="I57">
        <f>COUNTIFS('Coded Passages'!$H:$H,$A57,'Coded Passages'!$B:$B,"D1.3")</f>
        <v>0</v>
      </c>
      <c r="J57">
        <f>G57+H57+I57</f>
        <v>4</v>
      </c>
    </row>
    <row r="58" spans="1:10" x14ac:dyDescent="0.45">
      <c r="A58" t="s">
        <v>738</v>
      </c>
      <c r="B58" t="s">
        <v>728</v>
      </c>
      <c r="C58" t="s">
        <v>729</v>
      </c>
      <c r="D58" t="s">
        <v>1656</v>
      </c>
      <c r="E58" t="s">
        <v>177</v>
      </c>
      <c r="F58" t="s">
        <v>87</v>
      </c>
      <c r="G58">
        <f>COUNTIFS('Coded Passages'!$H:$H,$A58,'Coded Passages'!$B:$B,"D1.1")</f>
        <v>3</v>
      </c>
      <c r="H58">
        <f>COUNTIFS('Coded Passages'!$H:$H,$A58,'Coded Passages'!$B:$B,"D1.2")</f>
        <v>0</v>
      </c>
      <c r="I58">
        <f>COUNTIFS('Coded Passages'!$H:$H,$A58,'Coded Passages'!$B:$B,"D1.3")</f>
        <v>1</v>
      </c>
      <c r="J58">
        <f>G58+H58+I58</f>
        <v>4</v>
      </c>
    </row>
    <row r="59" spans="1:10" x14ac:dyDescent="0.45">
      <c r="A59" t="s">
        <v>811</v>
      </c>
      <c r="B59" t="s">
        <v>812</v>
      </c>
      <c r="C59" t="s">
        <v>21</v>
      </c>
      <c r="D59" t="s">
        <v>1644</v>
      </c>
      <c r="E59" t="s">
        <v>40</v>
      </c>
      <c r="F59" t="s">
        <v>24</v>
      </c>
      <c r="G59">
        <f>COUNTIFS('Coded Passages'!$H:$H,$A59,'Coded Passages'!$B:$B,"D1.1")</f>
        <v>3</v>
      </c>
      <c r="H59">
        <f>COUNTIFS('Coded Passages'!$H:$H,$A59,'Coded Passages'!$B:$B,"D1.2")</f>
        <v>0</v>
      </c>
      <c r="I59">
        <f>COUNTIFS('Coded Passages'!$H:$H,$A59,'Coded Passages'!$B:$B,"D1.3")</f>
        <v>1</v>
      </c>
      <c r="J59">
        <f>G59+H59+I59</f>
        <v>4</v>
      </c>
    </row>
    <row r="60" spans="1:10" x14ac:dyDescent="0.45">
      <c r="A60" t="s">
        <v>929</v>
      </c>
      <c r="B60" t="s">
        <v>930</v>
      </c>
      <c r="C60" t="s">
        <v>931</v>
      </c>
      <c r="D60" t="s">
        <v>1652</v>
      </c>
      <c r="E60" t="s">
        <v>86</v>
      </c>
      <c r="F60" t="s">
        <v>24</v>
      </c>
      <c r="G60">
        <f>COUNTIFS('Coded Passages'!$H:$H,$A60,'Coded Passages'!$B:$B,"D1.1")</f>
        <v>3</v>
      </c>
      <c r="H60">
        <f>COUNTIFS('Coded Passages'!$H:$H,$A60,'Coded Passages'!$B:$B,"D1.2")</f>
        <v>0</v>
      </c>
      <c r="I60">
        <f>COUNTIFS('Coded Passages'!$H:$H,$A60,'Coded Passages'!$B:$B,"D1.3")</f>
        <v>1</v>
      </c>
      <c r="J60">
        <f>G60+H60+I60</f>
        <v>4</v>
      </c>
    </row>
    <row r="61" spans="1:10" x14ac:dyDescent="0.45">
      <c r="A61" t="s">
        <v>1083</v>
      </c>
      <c r="B61" t="s">
        <v>1084</v>
      </c>
      <c r="C61" t="s">
        <v>749</v>
      </c>
      <c r="D61" t="s">
        <v>1643</v>
      </c>
      <c r="E61" t="s">
        <v>40</v>
      </c>
      <c r="F61" t="s">
        <v>24</v>
      </c>
      <c r="G61">
        <f>COUNTIFS('Coded Passages'!$H:$H,$A61,'Coded Passages'!$B:$B,"D1.1")</f>
        <v>3</v>
      </c>
      <c r="H61">
        <f>COUNTIFS('Coded Passages'!$H:$H,$A61,'Coded Passages'!$B:$B,"D1.2")</f>
        <v>0</v>
      </c>
      <c r="I61">
        <f>COUNTIFS('Coded Passages'!$H:$H,$A61,'Coded Passages'!$B:$B,"D1.3")</f>
        <v>1</v>
      </c>
      <c r="J61">
        <f>G61+H61+I61</f>
        <v>4</v>
      </c>
    </row>
    <row r="62" spans="1:10" x14ac:dyDescent="0.45">
      <c r="A62" t="s">
        <v>1093</v>
      </c>
      <c r="B62" t="s">
        <v>1094</v>
      </c>
      <c r="C62" t="s">
        <v>21</v>
      </c>
      <c r="D62" t="s">
        <v>1654</v>
      </c>
      <c r="E62" t="s">
        <v>86</v>
      </c>
      <c r="F62" t="s">
        <v>24</v>
      </c>
      <c r="G62">
        <f>COUNTIFS('Coded Passages'!$H:$H,$A62,'Coded Passages'!$B:$B,"D1.1")</f>
        <v>4</v>
      </c>
      <c r="H62">
        <f>COUNTIFS('Coded Passages'!$H:$H,$A62,'Coded Passages'!$B:$B,"D1.2")</f>
        <v>0</v>
      </c>
      <c r="I62">
        <f>COUNTIFS('Coded Passages'!$H:$H,$A62,'Coded Passages'!$B:$B,"D1.3")</f>
        <v>0</v>
      </c>
      <c r="J62">
        <f>G62+H62+I62</f>
        <v>4</v>
      </c>
    </row>
    <row r="63" spans="1:10" x14ac:dyDescent="0.45">
      <c r="A63" t="s">
        <v>1133</v>
      </c>
      <c r="B63" t="s">
        <v>1134</v>
      </c>
      <c r="C63" t="s">
        <v>321</v>
      </c>
      <c r="D63" t="s">
        <v>1643</v>
      </c>
      <c r="E63" t="s">
        <v>40</v>
      </c>
      <c r="F63" t="s">
        <v>24</v>
      </c>
      <c r="G63">
        <f>COUNTIFS('Coded Passages'!$H:$H,$A63,'Coded Passages'!$B:$B,"D1.1")</f>
        <v>3</v>
      </c>
      <c r="H63">
        <f>COUNTIFS('Coded Passages'!$H:$H,$A63,'Coded Passages'!$B:$B,"D1.2")</f>
        <v>0</v>
      </c>
      <c r="I63">
        <f>COUNTIFS('Coded Passages'!$H:$H,$A63,'Coded Passages'!$B:$B,"D1.3")</f>
        <v>1</v>
      </c>
      <c r="J63">
        <f>G63+H63+I63</f>
        <v>4</v>
      </c>
    </row>
    <row r="64" spans="1:10" x14ac:dyDescent="0.45">
      <c r="A64" t="s">
        <v>1143</v>
      </c>
      <c r="B64" t="s">
        <v>1144</v>
      </c>
      <c r="C64" t="s">
        <v>21</v>
      </c>
      <c r="D64" t="s">
        <v>1649</v>
      </c>
      <c r="E64" t="s">
        <v>200</v>
      </c>
      <c r="F64" t="s">
        <v>24</v>
      </c>
      <c r="G64">
        <f>COUNTIFS('Coded Passages'!$H:$H,$A64,'Coded Passages'!$B:$B,"D1.1")</f>
        <v>2</v>
      </c>
      <c r="H64">
        <f>COUNTIFS('Coded Passages'!$H:$H,$A64,'Coded Passages'!$B:$B,"D1.2")</f>
        <v>0</v>
      </c>
      <c r="I64">
        <f>COUNTIFS('Coded Passages'!$H:$H,$A64,'Coded Passages'!$B:$B,"D1.3")</f>
        <v>2</v>
      </c>
      <c r="J64">
        <f>G64+H64+I64</f>
        <v>4</v>
      </c>
    </row>
    <row r="65" spans="1:10" x14ac:dyDescent="0.45">
      <c r="A65" t="s">
        <v>1183</v>
      </c>
      <c r="B65" t="s">
        <v>1184</v>
      </c>
      <c r="C65" t="s">
        <v>21</v>
      </c>
      <c r="D65" t="s">
        <v>1650</v>
      </c>
      <c r="E65" t="s">
        <v>86</v>
      </c>
      <c r="F65" t="s">
        <v>24</v>
      </c>
      <c r="G65">
        <f>COUNTIFS('Coded Passages'!$H:$H,$A65,'Coded Passages'!$B:$B,"D1.1")</f>
        <v>4</v>
      </c>
      <c r="H65">
        <f>COUNTIFS('Coded Passages'!$H:$H,$A65,'Coded Passages'!$B:$B,"D1.2")</f>
        <v>0</v>
      </c>
      <c r="I65">
        <f>COUNTIFS('Coded Passages'!$H:$H,$A65,'Coded Passages'!$B:$B,"D1.3")</f>
        <v>0</v>
      </c>
      <c r="J65">
        <f>G65+H65+I65</f>
        <v>4</v>
      </c>
    </row>
    <row r="66" spans="1:10" x14ac:dyDescent="0.45">
      <c r="A66" t="s">
        <v>1404</v>
      </c>
      <c r="B66" t="s">
        <v>1405</v>
      </c>
      <c r="C66" t="s">
        <v>84</v>
      </c>
      <c r="D66" t="s">
        <v>1645</v>
      </c>
      <c r="E66" t="s">
        <v>86</v>
      </c>
      <c r="F66" t="s">
        <v>87</v>
      </c>
      <c r="G66">
        <f>COUNTIFS('Coded Passages'!$H:$H,$A66,'Coded Passages'!$B:$B,"D1.1")</f>
        <v>4</v>
      </c>
      <c r="H66">
        <f>COUNTIFS('Coded Passages'!$H:$H,$A66,'Coded Passages'!$B:$B,"D1.2")</f>
        <v>0</v>
      </c>
      <c r="I66">
        <f>COUNTIFS('Coded Passages'!$H:$H,$A66,'Coded Passages'!$B:$B,"D1.3")</f>
        <v>0</v>
      </c>
      <c r="J66">
        <f>G66+H66+I66</f>
        <v>4</v>
      </c>
    </row>
    <row r="67" spans="1:10" x14ac:dyDescent="0.45">
      <c r="A67" t="s">
        <v>19</v>
      </c>
      <c r="B67" t="s">
        <v>20</v>
      </c>
      <c r="C67" t="s">
        <v>21</v>
      </c>
      <c r="D67" t="s">
        <v>1642</v>
      </c>
      <c r="E67" t="s">
        <v>23</v>
      </c>
      <c r="F67" t="s">
        <v>24</v>
      </c>
      <c r="G67">
        <f>COUNTIFS('Coded Passages'!$H:$H,$A67,'Coded Passages'!$B:$B,"D1.1")</f>
        <v>1</v>
      </c>
      <c r="H67">
        <f>COUNTIFS('Coded Passages'!$H:$H,$A67,'Coded Passages'!$B:$B,"D1.2")</f>
        <v>2</v>
      </c>
      <c r="I67">
        <f>COUNTIFS('Coded Passages'!$H:$H,$A67,'Coded Passages'!$B:$B,"D1.3")</f>
        <v>0</v>
      </c>
      <c r="J67">
        <f>G67+H67+I67</f>
        <v>3</v>
      </c>
    </row>
    <row r="68" spans="1:10" x14ac:dyDescent="0.45">
      <c r="A68" t="s">
        <v>73</v>
      </c>
      <c r="B68" t="s">
        <v>74</v>
      </c>
      <c r="C68" t="s">
        <v>21</v>
      </c>
      <c r="D68" t="s">
        <v>1644</v>
      </c>
      <c r="E68" t="s">
        <v>40</v>
      </c>
      <c r="F68" t="s">
        <v>24</v>
      </c>
      <c r="G68">
        <f>COUNTIFS('Coded Passages'!$H:$H,$A68,'Coded Passages'!$B:$B,"D1.1")</f>
        <v>2</v>
      </c>
      <c r="H68">
        <f>COUNTIFS('Coded Passages'!$H:$H,$A68,'Coded Passages'!$B:$B,"D1.2")</f>
        <v>0</v>
      </c>
      <c r="I68">
        <f>COUNTIFS('Coded Passages'!$H:$H,$A68,'Coded Passages'!$B:$B,"D1.3")</f>
        <v>1</v>
      </c>
      <c r="J68">
        <f>G68+H68+I68</f>
        <v>3</v>
      </c>
    </row>
    <row r="69" spans="1:10" x14ac:dyDescent="0.45">
      <c r="A69" t="s">
        <v>140</v>
      </c>
      <c r="B69" t="s">
        <v>141</v>
      </c>
      <c r="C69" t="s">
        <v>142</v>
      </c>
      <c r="D69" t="s">
        <v>1643</v>
      </c>
      <c r="E69" t="s">
        <v>40</v>
      </c>
      <c r="F69" t="s">
        <v>24</v>
      </c>
      <c r="G69">
        <f>COUNTIFS('Coded Passages'!$H:$H,$A69,'Coded Passages'!$B:$B,"D1.1")</f>
        <v>2</v>
      </c>
      <c r="H69">
        <f>COUNTIFS('Coded Passages'!$H:$H,$A69,'Coded Passages'!$B:$B,"D1.2")</f>
        <v>1</v>
      </c>
      <c r="I69">
        <f>COUNTIFS('Coded Passages'!$H:$H,$A69,'Coded Passages'!$B:$B,"D1.3")</f>
        <v>0</v>
      </c>
      <c r="J69">
        <f>G69+H69+I69</f>
        <v>3</v>
      </c>
    </row>
    <row r="70" spans="1:10" x14ac:dyDescent="0.45">
      <c r="A70" t="s">
        <v>180</v>
      </c>
      <c r="B70" t="s">
        <v>181</v>
      </c>
      <c r="C70" t="s">
        <v>182</v>
      </c>
      <c r="D70" t="s">
        <v>1645</v>
      </c>
      <c r="E70" t="s">
        <v>86</v>
      </c>
      <c r="F70" t="s">
        <v>24</v>
      </c>
      <c r="G70">
        <f>COUNTIFS('Coded Passages'!$H:$H,$A70,'Coded Passages'!$B:$B,"D1.1")</f>
        <v>2</v>
      </c>
      <c r="H70">
        <f>COUNTIFS('Coded Passages'!$H:$H,$A70,'Coded Passages'!$B:$B,"D1.2")</f>
        <v>0</v>
      </c>
      <c r="I70">
        <f>COUNTIFS('Coded Passages'!$H:$H,$A70,'Coded Passages'!$B:$B,"D1.3")</f>
        <v>1</v>
      </c>
      <c r="J70">
        <f>G70+H70+I70</f>
        <v>3</v>
      </c>
    </row>
    <row r="71" spans="1:10" x14ac:dyDescent="0.45">
      <c r="A71" t="s">
        <v>189</v>
      </c>
      <c r="B71" t="s">
        <v>190</v>
      </c>
      <c r="C71" t="s">
        <v>21</v>
      </c>
      <c r="D71" t="s">
        <v>1644</v>
      </c>
      <c r="E71" t="s">
        <v>40</v>
      </c>
      <c r="F71" t="s">
        <v>24</v>
      </c>
      <c r="G71">
        <f>COUNTIFS('Coded Passages'!$H:$H,$A71,'Coded Passages'!$B:$B,"D1.1")</f>
        <v>2</v>
      </c>
      <c r="H71">
        <f>COUNTIFS('Coded Passages'!$H:$H,$A71,'Coded Passages'!$B:$B,"D1.2")</f>
        <v>1</v>
      </c>
      <c r="I71">
        <f>COUNTIFS('Coded Passages'!$H:$H,$A71,'Coded Passages'!$B:$B,"D1.3")</f>
        <v>0</v>
      </c>
      <c r="J71">
        <f>G71+H71+I71</f>
        <v>3</v>
      </c>
    </row>
    <row r="72" spans="1:10" x14ac:dyDescent="0.45">
      <c r="A72" t="s">
        <v>295</v>
      </c>
      <c r="B72" t="s">
        <v>296</v>
      </c>
      <c r="C72" t="s">
        <v>297</v>
      </c>
      <c r="D72" t="s">
        <v>1645</v>
      </c>
      <c r="E72" t="s">
        <v>86</v>
      </c>
      <c r="F72" t="s">
        <v>24</v>
      </c>
      <c r="G72">
        <f>COUNTIFS('Coded Passages'!$H:$H,$A72,'Coded Passages'!$B:$B,"D1.1")</f>
        <v>3</v>
      </c>
      <c r="H72">
        <f>COUNTIFS('Coded Passages'!$H:$H,$A72,'Coded Passages'!$B:$B,"D1.2")</f>
        <v>0</v>
      </c>
      <c r="I72">
        <f>COUNTIFS('Coded Passages'!$H:$H,$A72,'Coded Passages'!$B:$B,"D1.3")</f>
        <v>0</v>
      </c>
      <c r="J72">
        <f>G72+H72+I72</f>
        <v>3</v>
      </c>
    </row>
    <row r="73" spans="1:10" x14ac:dyDescent="0.45">
      <c r="A73" t="s">
        <v>312</v>
      </c>
      <c r="B73" t="s">
        <v>313</v>
      </c>
      <c r="C73" t="s">
        <v>21</v>
      </c>
      <c r="D73" t="s">
        <v>1649</v>
      </c>
      <c r="E73" t="s">
        <v>200</v>
      </c>
      <c r="F73" t="s">
        <v>24</v>
      </c>
      <c r="G73">
        <f>COUNTIFS('Coded Passages'!$H:$H,$A73,'Coded Passages'!$B:$B,"D1.1")</f>
        <v>2</v>
      </c>
      <c r="H73">
        <f>COUNTIFS('Coded Passages'!$H:$H,$A73,'Coded Passages'!$B:$B,"D1.2")</f>
        <v>0</v>
      </c>
      <c r="I73">
        <f>COUNTIFS('Coded Passages'!$H:$H,$A73,'Coded Passages'!$B:$B,"D1.3")</f>
        <v>1</v>
      </c>
      <c r="J73">
        <f>G73+H73+I73</f>
        <v>3</v>
      </c>
    </row>
    <row r="74" spans="1:10" x14ac:dyDescent="0.45">
      <c r="A74" t="s">
        <v>320</v>
      </c>
      <c r="B74" t="s">
        <v>313</v>
      </c>
      <c r="C74" t="s">
        <v>321</v>
      </c>
      <c r="D74" t="s">
        <v>1645</v>
      </c>
      <c r="E74" t="s">
        <v>86</v>
      </c>
      <c r="F74" t="s">
        <v>24</v>
      </c>
      <c r="G74">
        <f>COUNTIFS('Coded Passages'!$H:$H,$A74,'Coded Passages'!$B:$B,"D1.1")</f>
        <v>2</v>
      </c>
      <c r="H74">
        <f>COUNTIFS('Coded Passages'!$H:$H,$A74,'Coded Passages'!$B:$B,"D1.2")</f>
        <v>0</v>
      </c>
      <c r="I74">
        <f>COUNTIFS('Coded Passages'!$H:$H,$A74,'Coded Passages'!$B:$B,"D1.3")</f>
        <v>1</v>
      </c>
      <c r="J74">
        <f>G74+H74+I74</f>
        <v>3</v>
      </c>
    </row>
    <row r="75" spans="1:10" x14ac:dyDescent="0.45">
      <c r="A75" t="s">
        <v>345</v>
      </c>
      <c r="B75" t="s">
        <v>335</v>
      </c>
      <c r="C75" t="s">
        <v>346</v>
      </c>
      <c r="D75" t="s">
        <v>1653</v>
      </c>
      <c r="E75" t="s">
        <v>200</v>
      </c>
      <c r="F75" t="s">
        <v>87</v>
      </c>
      <c r="G75">
        <f>COUNTIFS('Coded Passages'!$H:$H,$A75,'Coded Passages'!$B:$B,"D1.1")</f>
        <v>1</v>
      </c>
      <c r="H75">
        <f>COUNTIFS('Coded Passages'!$H:$H,$A75,'Coded Passages'!$B:$B,"D1.2")</f>
        <v>1</v>
      </c>
      <c r="I75">
        <f>COUNTIFS('Coded Passages'!$H:$H,$A75,'Coded Passages'!$B:$B,"D1.3")</f>
        <v>1</v>
      </c>
      <c r="J75">
        <f>G75+H75+I75</f>
        <v>3</v>
      </c>
    </row>
    <row r="76" spans="1:10" x14ac:dyDescent="0.45">
      <c r="A76" t="s">
        <v>414</v>
      </c>
      <c r="B76" t="s">
        <v>415</v>
      </c>
      <c r="C76" t="s">
        <v>21</v>
      </c>
      <c r="D76" t="s">
        <v>1653</v>
      </c>
      <c r="E76" t="s">
        <v>200</v>
      </c>
      <c r="F76" t="s">
        <v>24</v>
      </c>
      <c r="G76">
        <f>COUNTIFS('Coded Passages'!$H:$H,$A76,'Coded Passages'!$B:$B,"D1.1")</f>
        <v>1</v>
      </c>
      <c r="H76">
        <f>COUNTIFS('Coded Passages'!$H:$H,$A76,'Coded Passages'!$B:$B,"D1.2")</f>
        <v>1</v>
      </c>
      <c r="I76">
        <f>COUNTIFS('Coded Passages'!$H:$H,$A76,'Coded Passages'!$B:$B,"D1.3")</f>
        <v>1</v>
      </c>
      <c r="J76">
        <f>G76+H76+I76</f>
        <v>3</v>
      </c>
    </row>
    <row r="77" spans="1:10" x14ac:dyDescent="0.45">
      <c r="A77" t="s">
        <v>553</v>
      </c>
      <c r="B77" t="s">
        <v>554</v>
      </c>
      <c r="C77" t="s">
        <v>555</v>
      </c>
      <c r="D77" t="s">
        <v>1654</v>
      </c>
      <c r="E77" t="s">
        <v>86</v>
      </c>
      <c r="F77" t="s">
        <v>87</v>
      </c>
      <c r="G77">
        <f>COUNTIFS('Coded Passages'!$H:$H,$A77,'Coded Passages'!$B:$B,"D1.1")</f>
        <v>2</v>
      </c>
      <c r="H77">
        <f>COUNTIFS('Coded Passages'!$H:$H,$A77,'Coded Passages'!$B:$B,"D1.2")</f>
        <v>0</v>
      </c>
      <c r="I77">
        <f>COUNTIFS('Coded Passages'!$H:$H,$A77,'Coded Passages'!$B:$B,"D1.3")</f>
        <v>1</v>
      </c>
      <c r="J77">
        <f>G77+H77+I77</f>
        <v>3</v>
      </c>
    </row>
    <row r="78" spans="1:10" x14ac:dyDescent="0.45">
      <c r="A78" t="s">
        <v>594</v>
      </c>
      <c r="B78" t="s">
        <v>595</v>
      </c>
      <c r="C78" t="s">
        <v>21</v>
      </c>
      <c r="D78" t="s">
        <v>1643</v>
      </c>
      <c r="E78" t="s">
        <v>40</v>
      </c>
      <c r="F78" t="s">
        <v>24</v>
      </c>
      <c r="G78">
        <f>COUNTIFS('Coded Passages'!$H:$H,$A78,'Coded Passages'!$B:$B,"D1.1")</f>
        <v>1</v>
      </c>
      <c r="H78">
        <f>COUNTIFS('Coded Passages'!$H:$H,$A78,'Coded Passages'!$B:$B,"D1.2")</f>
        <v>1</v>
      </c>
      <c r="I78">
        <f>COUNTIFS('Coded Passages'!$H:$H,$A78,'Coded Passages'!$B:$B,"D1.3")</f>
        <v>1</v>
      </c>
      <c r="J78">
        <f>G78+H78+I78</f>
        <v>3</v>
      </c>
    </row>
    <row r="79" spans="1:10" x14ac:dyDescent="0.45">
      <c r="A79" t="s">
        <v>645</v>
      </c>
      <c r="B79" t="s">
        <v>646</v>
      </c>
      <c r="C79" t="s">
        <v>21</v>
      </c>
      <c r="D79" t="s">
        <v>1654</v>
      </c>
      <c r="E79" t="s">
        <v>86</v>
      </c>
      <c r="F79" t="s">
        <v>24</v>
      </c>
      <c r="G79">
        <f>COUNTIFS('Coded Passages'!$H:$H,$A79,'Coded Passages'!$B:$B,"D1.1")</f>
        <v>1</v>
      </c>
      <c r="H79">
        <f>COUNTIFS('Coded Passages'!$H:$H,$A79,'Coded Passages'!$B:$B,"D1.2")</f>
        <v>0</v>
      </c>
      <c r="I79">
        <f>COUNTIFS('Coded Passages'!$H:$H,$A79,'Coded Passages'!$B:$B,"D1.3")</f>
        <v>2</v>
      </c>
      <c r="J79">
        <f>G79+H79+I79</f>
        <v>3</v>
      </c>
    </row>
    <row r="80" spans="1:10" x14ac:dyDescent="0.45">
      <c r="A80" t="s">
        <v>747</v>
      </c>
      <c r="B80" t="s">
        <v>748</v>
      </c>
      <c r="C80" t="s">
        <v>749</v>
      </c>
      <c r="D80" t="s">
        <v>1648</v>
      </c>
      <c r="E80" t="s">
        <v>177</v>
      </c>
      <c r="F80" t="s">
        <v>24</v>
      </c>
      <c r="G80">
        <f>COUNTIFS('Coded Passages'!$H:$H,$A80,'Coded Passages'!$B:$B,"D1.1")</f>
        <v>2</v>
      </c>
      <c r="H80">
        <f>COUNTIFS('Coded Passages'!$H:$H,$A80,'Coded Passages'!$B:$B,"D1.2")</f>
        <v>0</v>
      </c>
      <c r="I80">
        <f>COUNTIFS('Coded Passages'!$H:$H,$A80,'Coded Passages'!$B:$B,"D1.3")</f>
        <v>1</v>
      </c>
      <c r="J80">
        <f>G80+H80+I80</f>
        <v>3</v>
      </c>
    </row>
    <row r="81" spans="1:10" x14ac:dyDescent="0.45">
      <c r="A81" t="s">
        <v>788</v>
      </c>
      <c r="B81" t="s">
        <v>770</v>
      </c>
      <c r="C81" t="s">
        <v>610</v>
      </c>
      <c r="D81" t="s">
        <v>1655</v>
      </c>
      <c r="E81" t="s">
        <v>86</v>
      </c>
      <c r="F81" t="s">
        <v>24</v>
      </c>
      <c r="G81">
        <f>COUNTIFS('Coded Passages'!$H:$H,$A81,'Coded Passages'!$B:$B,"D1.1")</f>
        <v>3</v>
      </c>
      <c r="H81">
        <f>COUNTIFS('Coded Passages'!$H:$H,$A81,'Coded Passages'!$B:$B,"D1.2")</f>
        <v>0</v>
      </c>
      <c r="I81">
        <f>COUNTIFS('Coded Passages'!$H:$H,$A81,'Coded Passages'!$B:$B,"D1.3")</f>
        <v>0</v>
      </c>
      <c r="J81">
        <f>G81+H81+I81</f>
        <v>3</v>
      </c>
    </row>
    <row r="82" spans="1:10" x14ac:dyDescent="0.45">
      <c r="A82" t="s">
        <v>804</v>
      </c>
      <c r="B82" t="s">
        <v>795</v>
      </c>
      <c r="C82" t="s">
        <v>796</v>
      </c>
      <c r="D82" t="s">
        <v>1653</v>
      </c>
      <c r="E82" t="s">
        <v>200</v>
      </c>
      <c r="F82" t="s">
        <v>87</v>
      </c>
      <c r="G82">
        <f>COUNTIFS('Coded Passages'!$H:$H,$A82,'Coded Passages'!$B:$B,"D1.1")</f>
        <v>1</v>
      </c>
      <c r="H82">
        <f>COUNTIFS('Coded Passages'!$H:$H,$A82,'Coded Passages'!$B:$B,"D1.2")</f>
        <v>0</v>
      </c>
      <c r="I82">
        <f>COUNTIFS('Coded Passages'!$H:$H,$A82,'Coded Passages'!$B:$B,"D1.3")</f>
        <v>2</v>
      </c>
      <c r="J82">
        <f>G82+H82+I82</f>
        <v>3</v>
      </c>
    </row>
    <row r="83" spans="1:10" x14ac:dyDescent="0.45">
      <c r="A83" t="s">
        <v>969</v>
      </c>
      <c r="B83" t="s">
        <v>970</v>
      </c>
      <c r="C83" t="s">
        <v>971</v>
      </c>
      <c r="D83" t="s">
        <v>1645</v>
      </c>
      <c r="E83" t="s">
        <v>86</v>
      </c>
      <c r="F83" t="s">
        <v>24</v>
      </c>
      <c r="G83">
        <f>COUNTIFS('Coded Passages'!$H:$H,$A83,'Coded Passages'!$B:$B,"D1.1")</f>
        <v>2</v>
      </c>
      <c r="H83">
        <f>COUNTIFS('Coded Passages'!$H:$H,$A83,'Coded Passages'!$B:$B,"D1.2")</f>
        <v>0</v>
      </c>
      <c r="I83">
        <f>COUNTIFS('Coded Passages'!$H:$H,$A83,'Coded Passages'!$B:$B,"D1.3")</f>
        <v>1</v>
      </c>
      <c r="J83">
        <f>G83+H83+I83</f>
        <v>3</v>
      </c>
    </row>
    <row r="84" spans="1:10" x14ac:dyDescent="0.45">
      <c r="A84" t="s">
        <v>978</v>
      </c>
      <c r="B84" t="s">
        <v>979</v>
      </c>
      <c r="C84" t="s">
        <v>21</v>
      </c>
      <c r="D84" t="s">
        <v>1645</v>
      </c>
      <c r="E84" t="s">
        <v>86</v>
      </c>
      <c r="F84" t="s">
        <v>24</v>
      </c>
      <c r="G84">
        <f>COUNTIFS('Coded Passages'!$H:$H,$A84,'Coded Passages'!$B:$B,"D1.1")</f>
        <v>2</v>
      </c>
      <c r="H84">
        <f>COUNTIFS('Coded Passages'!$H:$H,$A84,'Coded Passages'!$B:$B,"D1.2")</f>
        <v>0</v>
      </c>
      <c r="I84">
        <f>COUNTIFS('Coded Passages'!$H:$H,$A84,'Coded Passages'!$B:$B,"D1.3")</f>
        <v>1</v>
      </c>
      <c r="J84">
        <f>G84+H84+I84</f>
        <v>3</v>
      </c>
    </row>
    <row r="85" spans="1:10" x14ac:dyDescent="0.45">
      <c r="A85" t="s">
        <v>996</v>
      </c>
      <c r="B85" t="s">
        <v>997</v>
      </c>
      <c r="C85" t="s">
        <v>222</v>
      </c>
      <c r="D85" t="s">
        <v>1645</v>
      </c>
      <c r="E85" t="s">
        <v>86</v>
      </c>
      <c r="F85" t="s">
        <v>87</v>
      </c>
      <c r="G85">
        <f>COUNTIFS('Coded Passages'!$H:$H,$A85,'Coded Passages'!$B:$B,"D1.1")</f>
        <v>0</v>
      </c>
      <c r="H85">
        <f>COUNTIFS('Coded Passages'!$H:$H,$A85,'Coded Passages'!$B:$B,"D1.2")</f>
        <v>0</v>
      </c>
      <c r="I85">
        <f>COUNTIFS('Coded Passages'!$H:$H,$A85,'Coded Passages'!$B:$B,"D1.3")</f>
        <v>3</v>
      </c>
      <c r="J85">
        <f>G85+H85+I85</f>
        <v>3</v>
      </c>
    </row>
    <row r="86" spans="1:10" x14ac:dyDescent="0.45">
      <c r="A86" t="s">
        <v>1003</v>
      </c>
      <c r="B86" t="s">
        <v>1004</v>
      </c>
      <c r="C86" t="s">
        <v>1005</v>
      </c>
      <c r="D86" t="s">
        <v>1648</v>
      </c>
      <c r="E86" t="s">
        <v>177</v>
      </c>
      <c r="F86" t="s">
        <v>87</v>
      </c>
      <c r="G86">
        <f>COUNTIFS('Coded Passages'!$H:$H,$A86,'Coded Passages'!$B:$B,"D1.1")</f>
        <v>1</v>
      </c>
      <c r="H86">
        <f>COUNTIFS('Coded Passages'!$H:$H,$A86,'Coded Passages'!$B:$B,"D1.2")</f>
        <v>0</v>
      </c>
      <c r="I86">
        <f>COUNTIFS('Coded Passages'!$H:$H,$A86,'Coded Passages'!$B:$B,"D1.3")</f>
        <v>2</v>
      </c>
      <c r="J86">
        <f>G86+H86+I86</f>
        <v>3</v>
      </c>
    </row>
    <row r="87" spans="1:10" x14ac:dyDescent="0.45">
      <c r="A87" t="s">
        <v>1049</v>
      </c>
      <c r="B87" t="s">
        <v>1050</v>
      </c>
      <c r="C87" t="s">
        <v>1051</v>
      </c>
      <c r="D87" t="s">
        <v>1646</v>
      </c>
      <c r="E87" t="s">
        <v>23</v>
      </c>
      <c r="F87" t="s">
        <v>24</v>
      </c>
      <c r="G87">
        <f>COUNTIFS('Coded Passages'!$H:$H,$A87,'Coded Passages'!$B:$B,"D1.1")</f>
        <v>2</v>
      </c>
      <c r="H87">
        <f>COUNTIFS('Coded Passages'!$H:$H,$A87,'Coded Passages'!$B:$B,"D1.2")</f>
        <v>0</v>
      </c>
      <c r="I87">
        <f>COUNTIFS('Coded Passages'!$H:$H,$A87,'Coded Passages'!$B:$B,"D1.3")</f>
        <v>1</v>
      </c>
      <c r="J87">
        <f>G87+H87+I87</f>
        <v>3</v>
      </c>
    </row>
    <row r="88" spans="1:10" x14ac:dyDescent="0.45">
      <c r="A88" t="s">
        <v>1058</v>
      </c>
      <c r="B88" t="s">
        <v>1059</v>
      </c>
      <c r="C88" t="s">
        <v>1060</v>
      </c>
      <c r="D88" t="s">
        <v>1656</v>
      </c>
      <c r="E88" t="s">
        <v>177</v>
      </c>
      <c r="F88" t="s">
        <v>24</v>
      </c>
      <c r="G88">
        <f>COUNTIFS('Coded Passages'!$H:$H,$A88,'Coded Passages'!$B:$B,"D1.1")</f>
        <v>3</v>
      </c>
      <c r="H88">
        <f>COUNTIFS('Coded Passages'!$H:$H,$A88,'Coded Passages'!$B:$B,"D1.2")</f>
        <v>0</v>
      </c>
      <c r="I88">
        <f>COUNTIFS('Coded Passages'!$H:$H,$A88,'Coded Passages'!$B:$B,"D1.3")</f>
        <v>0</v>
      </c>
      <c r="J88">
        <f>G88+H88+I88</f>
        <v>3</v>
      </c>
    </row>
    <row r="89" spans="1:10" x14ac:dyDescent="0.45">
      <c r="A89" t="s">
        <v>1159</v>
      </c>
      <c r="B89" t="s">
        <v>1160</v>
      </c>
      <c r="C89" t="s">
        <v>21</v>
      </c>
      <c r="D89" t="s">
        <v>1649</v>
      </c>
      <c r="E89" t="s">
        <v>200</v>
      </c>
      <c r="F89" t="s">
        <v>24</v>
      </c>
      <c r="G89">
        <f>COUNTIFS('Coded Passages'!$H:$H,$A89,'Coded Passages'!$B:$B,"D1.1")</f>
        <v>2</v>
      </c>
      <c r="H89">
        <f>COUNTIFS('Coded Passages'!$H:$H,$A89,'Coded Passages'!$B:$B,"D1.2")</f>
        <v>0</v>
      </c>
      <c r="I89">
        <f>COUNTIFS('Coded Passages'!$H:$H,$A89,'Coded Passages'!$B:$B,"D1.3")</f>
        <v>1</v>
      </c>
      <c r="J89">
        <f>G89+H89+I89</f>
        <v>3</v>
      </c>
    </row>
    <row r="90" spans="1:10" x14ac:dyDescent="0.45">
      <c r="A90" t="s">
        <v>1248</v>
      </c>
      <c r="B90" t="s">
        <v>1230</v>
      </c>
      <c r="C90" t="s">
        <v>555</v>
      </c>
      <c r="D90" t="s">
        <v>1653</v>
      </c>
      <c r="E90" t="s">
        <v>200</v>
      </c>
      <c r="F90" t="s">
        <v>87</v>
      </c>
      <c r="G90">
        <f>COUNTIFS('Coded Passages'!$H:$H,$A90,'Coded Passages'!$B:$B,"D1.1")</f>
        <v>2</v>
      </c>
      <c r="H90">
        <f>COUNTIFS('Coded Passages'!$H:$H,$A90,'Coded Passages'!$B:$B,"D1.2")</f>
        <v>0</v>
      </c>
      <c r="I90">
        <f>COUNTIFS('Coded Passages'!$H:$H,$A90,'Coded Passages'!$B:$B,"D1.3")</f>
        <v>1</v>
      </c>
      <c r="J90">
        <f>G90+H90+I90</f>
        <v>3</v>
      </c>
    </row>
    <row r="91" spans="1:10" x14ac:dyDescent="0.45">
      <c r="A91" t="s">
        <v>1289</v>
      </c>
      <c r="B91" t="s">
        <v>1290</v>
      </c>
      <c r="C91" t="s">
        <v>931</v>
      </c>
      <c r="D91" t="s">
        <v>1655</v>
      </c>
      <c r="E91" t="s">
        <v>86</v>
      </c>
      <c r="F91" t="s">
        <v>24</v>
      </c>
      <c r="G91">
        <f>COUNTIFS('Coded Passages'!$H:$H,$A91,'Coded Passages'!$B:$B,"D1.1")</f>
        <v>2</v>
      </c>
      <c r="H91">
        <f>COUNTIFS('Coded Passages'!$H:$H,$A91,'Coded Passages'!$B:$B,"D1.2")</f>
        <v>1</v>
      </c>
      <c r="I91">
        <f>COUNTIFS('Coded Passages'!$H:$H,$A91,'Coded Passages'!$B:$B,"D1.3")</f>
        <v>0</v>
      </c>
      <c r="J91">
        <f>G91+H91+I91</f>
        <v>3</v>
      </c>
    </row>
    <row r="92" spans="1:10" x14ac:dyDescent="0.45">
      <c r="A92" t="s">
        <v>1297</v>
      </c>
      <c r="B92" t="s">
        <v>1298</v>
      </c>
      <c r="C92" t="s">
        <v>1299</v>
      </c>
      <c r="D92" t="s">
        <v>1662</v>
      </c>
      <c r="E92" t="s">
        <v>86</v>
      </c>
      <c r="F92" t="s">
        <v>24</v>
      </c>
      <c r="G92">
        <f>COUNTIFS('Coded Passages'!$H:$H,$A92,'Coded Passages'!$B:$B,"D1.1")</f>
        <v>2</v>
      </c>
      <c r="H92">
        <f>COUNTIFS('Coded Passages'!$H:$H,$A92,'Coded Passages'!$B:$B,"D1.2")</f>
        <v>0</v>
      </c>
      <c r="I92">
        <f>COUNTIFS('Coded Passages'!$H:$H,$A92,'Coded Passages'!$B:$B,"D1.3")</f>
        <v>1</v>
      </c>
      <c r="J92">
        <f>G92+H92+I92</f>
        <v>3</v>
      </c>
    </row>
    <row r="93" spans="1:10" x14ac:dyDescent="0.45">
      <c r="A93" t="s">
        <v>1571</v>
      </c>
      <c r="B93" t="s">
        <v>1572</v>
      </c>
      <c r="C93" t="s">
        <v>1573</v>
      </c>
      <c r="D93" t="s">
        <v>1651</v>
      </c>
      <c r="E93" t="s">
        <v>200</v>
      </c>
      <c r="F93" t="s">
        <v>87</v>
      </c>
      <c r="G93">
        <f>COUNTIFS('Coded Passages'!$H:$H,$A93,'Coded Passages'!$B:$B,"D1.1")</f>
        <v>2</v>
      </c>
      <c r="H93">
        <f>COUNTIFS('Coded Passages'!$H:$H,$A93,'Coded Passages'!$B:$B,"D1.2")</f>
        <v>0</v>
      </c>
      <c r="I93">
        <f>COUNTIFS('Coded Passages'!$H:$H,$A93,'Coded Passages'!$B:$B,"D1.3")</f>
        <v>1</v>
      </c>
      <c r="J93">
        <f>G93+H93+I93</f>
        <v>3</v>
      </c>
    </row>
    <row r="94" spans="1:10" x14ac:dyDescent="0.45">
      <c r="A94" t="s">
        <v>1583</v>
      </c>
      <c r="B94" t="s">
        <v>1584</v>
      </c>
      <c r="C94" t="s">
        <v>198</v>
      </c>
      <c r="D94" t="s">
        <v>1649</v>
      </c>
      <c r="E94" t="s">
        <v>200</v>
      </c>
      <c r="F94" t="s">
        <v>24</v>
      </c>
      <c r="G94">
        <f>COUNTIFS('Coded Passages'!$H:$H,$A94,'Coded Passages'!$B:$B,"D1.1")</f>
        <v>1</v>
      </c>
      <c r="H94">
        <f>COUNTIFS('Coded Passages'!$H:$H,$A94,'Coded Passages'!$B:$B,"D1.2")</f>
        <v>1</v>
      </c>
      <c r="I94">
        <f>COUNTIFS('Coded Passages'!$H:$H,$A94,'Coded Passages'!$B:$B,"D1.3")</f>
        <v>1</v>
      </c>
      <c r="J94">
        <f>G94+H94+I94</f>
        <v>3</v>
      </c>
    </row>
    <row r="95" spans="1:10" x14ac:dyDescent="0.45">
      <c r="A95" t="s">
        <v>149</v>
      </c>
      <c r="B95" t="s">
        <v>150</v>
      </c>
      <c r="C95" t="s">
        <v>151</v>
      </c>
      <c r="D95" t="s">
        <v>1643</v>
      </c>
      <c r="E95" t="s">
        <v>40</v>
      </c>
      <c r="F95" t="s">
        <v>24</v>
      </c>
      <c r="G95">
        <f>COUNTIFS('Coded Passages'!$H:$H,$A95,'Coded Passages'!$B:$B,"D1.1")</f>
        <v>1</v>
      </c>
      <c r="H95">
        <f>COUNTIFS('Coded Passages'!$H:$H,$A95,'Coded Passages'!$B:$B,"D1.2")</f>
        <v>1</v>
      </c>
      <c r="I95">
        <f>COUNTIFS('Coded Passages'!$H:$H,$A95,'Coded Passages'!$B:$B,"D1.3")</f>
        <v>0</v>
      </c>
      <c r="J95">
        <f>G95+H95+I95</f>
        <v>2</v>
      </c>
    </row>
    <row r="96" spans="1:10" x14ac:dyDescent="0.45">
      <c r="A96" t="s">
        <v>272</v>
      </c>
      <c r="B96" t="s">
        <v>273</v>
      </c>
      <c r="C96" t="s">
        <v>274</v>
      </c>
      <c r="D96" t="s">
        <v>1644</v>
      </c>
      <c r="E96" t="s">
        <v>40</v>
      </c>
      <c r="F96" t="s">
        <v>24</v>
      </c>
      <c r="G96">
        <f>COUNTIFS('Coded Passages'!$H:$H,$A96,'Coded Passages'!$B:$B,"D1.1")</f>
        <v>1</v>
      </c>
      <c r="H96">
        <f>COUNTIFS('Coded Passages'!$H:$H,$A96,'Coded Passages'!$B:$B,"D1.2")</f>
        <v>0</v>
      </c>
      <c r="I96">
        <f>COUNTIFS('Coded Passages'!$H:$H,$A96,'Coded Passages'!$B:$B,"D1.3")</f>
        <v>1</v>
      </c>
      <c r="J96">
        <f>G96+H96+I96</f>
        <v>2</v>
      </c>
    </row>
    <row r="97" spans="1:10" x14ac:dyDescent="0.45">
      <c r="A97" t="s">
        <v>304</v>
      </c>
      <c r="B97" t="s">
        <v>305</v>
      </c>
      <c r="C97" t="s">
        <v>306</v>
      </c>
      <c r="D97" t="s">
        <v>1652</v>
      </c>
      <c r="E97" t="s">
        <v>86</v>
      </c>
      <c r="F97" t="s">
        <v>24</v>
      </c>
      <c r="G97">
        <f>COUNTIFS('Coded Passages'!$H:$H,$A97,'Coded Passages'!$B:$B,"D1.1")</f>
        <v>2</v>
      </c>
      <c r="H97">
        <f>COUNTIFS('Coded Passages'!$H:$H,$A97,'Coded Passages'!$B:$B,"D1.2")</f>
        <v>0</v>
      </c>
      <c r="I97">
        <f>COUNTIFS('Coded Passages'!$H:$H,$A97,'Coded Passages'!$B:$B,"D1.3")</f>
        <v>0</v>
      </c>
      <c r="J97">
        <f>G97+H97+I97</f>
        <v>2</v>
      </c>
    </row>
    <row r="98" spans="1:10" x14ac:dyDescent="0.45">
      <c r="A98" t="s">
        <v>328</v>
      </c>
      <c r="B98" t="s">
        <v>329</v>
      </c>
      <c r="C98" t="s">
        <v>198</v>
      </c>
      <c r="D98" t="s">
        <v>1647</v>
      </c>
      <c r="E98" t="s">
        <v>170</v>
      </c>
      <c r="F98" t="s">
        <v>24</v>
      </c>
      <c r="G98">
        <f>COUNTIFS('Coded Passages'!$H:$H,$A98,'Coded Passages'!$B:$B,"D1.1")</f>
        <v>2</v>
      </c>
      <c r="H98">
        <f>COUNTIFS('Coded Passages'!$H:$H,$A98,'Coded Passages'!$B:$B,"D1.2")</f>
        <v>0</v>
      </c>
      <c r="I98">
        <f>COUNTIFS('Coded Passages'!$H:$H,$A98,'Coded Passages'!$B:$B,"D1.3")</f>
        <v>0</v>
      </c>
      <c r="J98">
        <f>G98+H98+I98</f>
        <v>2</v>
      </c>
    </row>
    <row r="99" spans="1:10" x14ac:dyDescent="0.45">
      <c r="A99" t="s">
        <v>353</v>
      </c>
      <c r="B99" t="s">
        <v>354</v>
      </c>
      <c r="C99" t="s">
        <v>355</v>
      </c>
      <c r="D99" t="s">
        <v>1653</v>
      </c>
      <c r="E99" t="s">
        <v>200</v>
      </c>
      <c r="F99" t="s">
        <v>87</v>
      </c>
      <c r="G99">
        <f>COUNTIFS('Coded Passages'!$H:$H,$A99,'Coded Passages'!$B:$B,"D1.1")</f>
        <v>1</v>
      </c>
      <c r="H99">
        <f>COUNTIFS('Coded Passages'!$H:$H,$A99,'Coded Passages'!$B:$B,"D1.2")</f>
        <v>1</v>
      </c>
      <c r="I99">
        <f>COUNTIFS('Coded Passages'!$H:$H,$A99,'Coded Passages'!$B:$B,"D1.3")</f>
        <v>0</v>
      </c>
      <c r="J99">
        <f>G99+H99+I99</f>
        <v>2</v>
      </c>
    </row>
    <row r="100" spans="1:10" x14ac:dyDescent="0.45">
      <c r="A100" t="s">
        <v>365</v>
      </c>
      <c r="B100" t="s">
        <v>366</v>
      </c>
      <c r="C100" t="s">
        <v>367</v>
      </c>
      <c r="D100" t="s">
        <v>1643</v>
      </c>
      <c r="E100" t="s">
        <v>40</v>
      </c>
      <c r="F100" t="s">
        <v>24</v>
      </c>
      <c r="G100">
        <f>COUNTIFS('Coded Passages'!$H:$H,$A100,'Coded Passages'!$B:$B,"D1.1")</f>
        <v>0</v>
      </c>
      <c r="H100">
        <f>COUNTIFS('Coded Passages'!$H:$H,$A100,'Coded Passages'!$B:$B,"D1.2")</f>
        <v>1</v>
      </c>
      <c r="I100">
        <f>COUNTIFS('Coded Passages'!$H:$H,$A100,'Coded Passages'!$B:$B,"D1.3")</f>
        <v>1</v>
      </c>
      <c r="J100">
        <f>G100+H100+I100</f>
        <v>2</v>
      </c>
    </row>
    <row r="101" spans="1:10" x14ac:dyDescent="0.45">
      <c r="A101" t="s">
        <v>602</v>
      </c>
      <c r="B101" t="s">
        <v>603</v>
      </c>
      <c r="C101" t="s">
        <v>21</v>
      </c>
      <c r="D101" t="s">
        <v>1645</v>
      </c>
      <c r="E101" t="s">
        <v>86</v>
      </c>
      <c r="F101" t="s">
        <v>24</v>
      </c>
      <c r="G101">
        <f>COUNTIFS('Coded Passages'!$H:$H,$A101,'Coded Passages'!$B:$B,"D1.1")</f>
        <v>0</v>
      </c>
      <c r="H101">
        <f>COUNTIFS('Coded Passages'!$H:$H,$A101,'Coded Passages'!$B:$B,"D1.2")</f>
        <v>1</v>
      </c>
      <c r="I101">
        <f>COUNTIFS('Coded Passages'!$H:$H,$A101,'Coded Passages'!$B:$B,"D1.3")</f>
        <v>1</v>
      </c>
      <c r="J101">
        <f>G101+H101+I101</f>
        <v>2</v>
      </c>
    </row>
    <row r="102" spans="1:10" x14ac:dyDescent="0.45">
      <c r="A102" t="s">
        <v>630</v>
      </c>
      <c r="B102" t="s">
        <v>631</v>
      </c>
      <c r="C102" t="s">
        <v>21</v>
      </c>
      <c r="D102" t="s">
        <v>1645</v>
      </c>
      <c r="E102" t="s">
        <v>86</v>
      </c>
      <c r="F102" t="s">
        <v>24</v>
      </c>
      <c r="G102">
        <f>COUNTIFS('Coded Passages'!$H:$H,$A102,'Coded Passages'!$B:$B,"D1.1")</f>
        <v>1</v>
      </c>
      <c r="H102">
        <f>COUNTIFS('Coded Passages'!$H:$H,$A102,'Coded Passages'!$B:$B,"D1.2")</f>
        <v>0</v>
      </c>
      <c r="I102">
        <f>COUNTIFS('Coded Passages'!$H:$H,$A102,'Coded Passages'!$B:$B,"D1.3")</f>
        <v>1</v>
      </c>
      <c r="J102">
        <f>G102+H102+I102</f>
        <v>2</v>
      </c>
    </row>
    <row r="103" spans="1:10" x14ac:dyDescent="0.45">
      <c r="A103" t="s">
        <v>762</v>
      </c>
      <c r="B103" t="s">
        <v>763</v>
      </c>
      <c r="C103" t="s">
        <v>764</v>
      </c>
      <c r="D103" t="s">
        <v>1652</v>
      </c>
      <c r="E103" t="s">
        <v>86</v>
      </c>
      <c r="F103" t="s">
        <v>24</v>
      </c>
      <c r="G103">
        <f>COUNTIFS('Coded Passages'!$H:$H,$A103,'Coded Passages'!$B:$B,"D1.1")</f>
        <v>1</v>
      </c>
      <c r="H103">
        <f>COUNTIFS('Coded Passages'!$H:$H,$A103,'Coded Passages'!$B:$B,"D1.2")</f>
        <v>0</v>
      </c>
      <c r="I103">
        <f>COUNTIFS('Coded Passages'!$H:$H,$A103,'Coded Passages'!$B:$B,"D1.3")</f>
        <v>1</v>
      </c>
      <c r="J103">
        <f>G103+H103+I103</f>
        <v>2</v>
      </c>
    </row>
    <row r="104" spans="1:10" x14ac:dyDescent="0.45">
      <c r="A104" t="s">
        <v>794</v>
      </c>
      <c r="B104" t="s">
        <v>795</v>
      </c>
      <c r="C104" t="s">
        <v>796</v>
      </c>
      <c r="D104" t="s">
        <v>1656</v>
      </c>
      <c r="E104" t="s">
        <v>177</v>
      </c>
      <c r="F104" t="s">
        <v>87</v>
      </c>
      <c r="G104">
        <f>COUNTIFS('Coded Passages'!$H:$H,$A104,'Coded Passages'!$B:$B,"D1.1")</f>
        <v>2</v>
      </c>
      <c r="H104">
        <f>COUNTIFS('Coded Passages'!$H:$H,$A104,'Coded Passages'!$B:$B,"D1.2")</f>
        <v>0</v>
      </c>
      <c r="I104">
        <f>COUNTIFS('Coded Passages'!$H:$H,$A104,'Coded Passages'!$B:$B,"D1.3")</f>
        <v>0</v>
      </c>
      <c r="J104">
        <f>G104+H104+I104</f>
        <v>2</v>
      </c>
    </row>
    <row r="105" spans="1:10" x14ac:dyDescent="0.45">
      <c r="A105" t="s">
        <v>821</v>
      </c>
      <c r="B105" t="s">
        <v>822</v>
      </c>
      <c r="C105" t="s">
        <v>823</v>
      </c>
      <c r="D105" t="s">
        <v>1653</v>
      </c>
      <c r="E105" t="s">
        <v>200</v>
      </c>
      <c r="F105" t="s">
        <v>87</v>
      </c>
      <c r="G105">
        <f>COUNTIFS('Coded Passages'!$H:$H,$A105,'Coded Passages'!$B:$B,"D1.1")</f>
        <v>1</v>
      </c>
      <c r="H105">
        <f>COUNTIFS('Coded Passages'!$H:$H,$A105,'Coded Passages'!$B:$B,"D1.2")</f>
        <v>1</v>
      </c>
      <c r="I105">
        <f>COUNTIFS('Coded Passages'!$H:$H,$A105,'Coded Passages'!$B:$B,"D1.3")</f>
        <v>0</v>
      </c>
      <c r="J105">
        <f>G105+H105+I105</f>
        <v>2</v>
      </c>
    </row>
    <row r="106" spans="1:10" x14ac:dyDescent="0.45">
      <c r="A106" t="s">
        <v>836</v>
      </c>
      <c r="B106" t="s">
        <v>833</v>
      </c>
      <c r="C106" t="s">
        <v>388</v>
      </c>
      <c r="D106" t="s">
        <v>1649</v>
      </c>
      <c r="E106" t="s">
        <v>200</v>
      </c>
      <c r="F106" t="s">
        <v>24</v>
      </c>
      <c r="G106">
        <f>COUNTIFS('Coded Passages'!$H:$H,$A106,'Coded Passages'!$B:$B,"D1.1")</f>
        <v>0</v>
      </c>
      <c r="H106">
        <f>COUNTIFS('Coded Passages'!$H:$H,$A106,'Coded Passages'!$B:$B,"D1.2")</f>
        <v>0</v>
      </c>
      <c r="I106">
        <f>COUNTIFS('Coded Passages'!$H:$H,$A106,'Coded Passages'!$B:$B,"D1.3")</f>
        <v>2</v>
      </c>
      <c r="J106">
        <f>G106+H106+I106</f>
        <v>2</v>
      </c>
    </row>
    <row r="107" spans="1:10" x14ac:dyDescent="0.45">
      <c r="A107" t="s">
        <v>841</v>
      </c>
      <c r="B107" t="s">
        <v>842</v>
      </c>
      <c r="C107" t="s">
        <v>21</v>
      </c>
      <c r="D107" t="s">
        <v>1643</v>
      </c>
      <c r="E107" t="s">
        <v>40</v>
      </c>
      <c r="F107" t="s">
        <v>24</v>
      </c>
      <c r="G107">
        <f>COUNTIFS('Coded Passages'!$H:$H,$A107,'Coded Passages'!$B:$B,"D1.1")</f>
        <v>2</v>
      </c>
      <c r="H107">
        <f>COUNTIFS('Coded Passages'!$H:$H,$A107,'Coded Passages'!$B:$B,"D1.2")</f>
        <v>0</v>
      </c>
      <c r="I107">
        <f>COUNTIFS('Coded Passages'!$H:$H,$A107,'Coded Passages'!$B:$B,"D1.3")</f>
        <v>0</v>
      </c>
      <c r="J107">
        <f>G107+H107+I107</f>
        <v>2</v>
      </c>
    </row>
    <row r="108" spans="1:10" x14ac:dyDescent="0.45">
      <c r="A108" t="s">
        <v>847</v>
      </c>
      <c r="B108" t="s">
        <v>848</v>
      </c>
      <c r="C108" t="s">
        <v>126</v>
      </c>
      <c r="D108" t="s">
        <v>1653</v>
      </c>
      <c r="E108" t="s">
        <v>200</v>
      </c>
      <c r="F108" t="s">
        <v>87</v>
      </c>
      <c r="G108">
        <f>COUNTIFS('Coded Passages'!$H:$H,$A108,'Coded Passages'!$B:$B,"D1.1")</f>
        <v>1</v>
      </c>
      <c r="H108">
        <f>COUNTIFS('Coded Passages'!$H:$H,$A108,'Coded Passages'!$B:$B,"D1.2")</f>
        <v>0</v>
      </c>
      <c r="I108">
        <f>COUNTIFS('Coded Passages'!$H:$H,$A108,'Coded Passages'!$B:$B,"D1.3")</f>
        <v>1</v>
      </c>
      <c r="J108">
        <f>G108+H108+I108</f>
        <v>2</v>
      </c>
    </row>
    <row r="109" spans="1:10" x14ac:dyDescent="0.45">
      <c r="A109" t="s">
        <v>857</v>
      </c>
      <c r="B109" t="s">
        <v>854</v>
      </c>
      <c r="C109" t="s">
        <v>126</v>
      </c>
      <c r="D109" t="s">
        <v>1649</v>
      </c>
      <c r="E109" t="s">
        <v>200</v>
      </c>
      <c r="F109" t="s">
        <v>87</v>
      </c>
      <c r="G109">
        <f>COUNTIFS('Coded Passages'!$H:$H,$A109,'Coded Passages'!$B:$B,"D1.1")</f>
        <v>2</v>
      </c>
      <c r="H109">
        <f>COUNTIFS('Coded Passages'!$H:$H,$A109,'Coded Passages'!$B:$B,"D1.2")</f>
        <v>0</v>
      </c>
      <c r="I109">
        <f>COUNTIFS('Coded Passages'!$H:$H,$A109,'Coded Passages'!$B:$B,"D1.3")</f>
        <v>0</v>
      </c>
      <c r="J109">
        <f>G109+H109+I109</f>
        <v>2</v>
      </c>
    </row>
    <row r="110" spans="1:10" x14ac:dyDescent="0.45">
      <c r="A110" t="s">
        <v>940</v>
      </c>
      <c r="B110" t="s">
        <v>941</v>
      </c>
      <c r="C110" t="s">
        <v>21</v>
      </c>
      <c r="D110" t="s">
        <v>1647</v>
      </c>
      <c r="E110" t="s">
        <v>170</v>
      </c>
      <c r="F110" t="s">
        <v>24</v>
      </c>
      <c r="G110">
        <f>COUNTIFS('Coded Passages'!$H:$H,$A110,'Coded Passages'!$B:$B,"D1.1")</f>
        <v>2</v>
      </c>
      <c r="H110">
        <f>COUNTIFS('Coded Passages'!$H:$H,$A110,'Coded Passages'!$B:$B,"D1.2")</f>
        <v>0</v>
      </c>
      <c r="I110">
        <f>COUNTIFS('Coded Passages'!$H:$H,$A110,'Coded Passages'!$B:$B,"D1.3")</f>
        <v>0</v>
      </c>
      <c r="J110">
        <f>G110+H110+I110</f>
        <v>2</v>
      </c>
    </row>
    <row r="111" spans="1:10" x14ac:dyDescent="0.45">
      <c r="A111" t="s">
        <v>946</v>
      </c>
      <c r="B111" t="s">
        <v>947</v>
      </c>
      <c r="C111" t="s">
        <v>948</v>
      </c>
      <c r="D111" t="s">
        <v>1648</v>
      </c>
      <c r="E111" t="s">
        <v>177</v>
      </c>
      <c r="F111" t="s">
        <v>87</v>
      </c>
      <c r="G111">
        <f>COUNTIFS('Coded Passages'!$H:$H,$A111,'Coded Passages'!$B:$B,"D1.1")</f>
        <v>1</v>
      </c>
      <c r="H111">
        <f>COUNTIFS('Coded Passages'!$H:$H,$A111,'Coded Passages'!$B:$B,"D1.2")</f>
        <v>0</v>
      </c>
      <c r="I111">
        <f>COUNTIFS('Coded Passages'!$H:$H,$A111,'Coded Passages'!$B:$B,"D1.3")</f>
        <v>1</v>
      </c>
      <c r="J111">
        <f>G111+H111+I111</f>
        <v>2</v>
      </c>
    </row>
    <row r="112" spans="1:10" x14ac:dyDescent="0.45">
      <c r="A112" t="s">
        <v>957</v>
      </c>
      <c r="B112" t="s">
        <v>958</v>
      </c>
      <c r="C112" t="s">
        <v>749</v>
      </c>
      <c r="D112" t="s">
        <v>1648</v>
      </c>
      <c r="E112" t="s">
        <v>177</v>
      </c>
      <c r="F112" t="s">
        <v>24</v>
      </c>
      <c r="G112">
        <f>COUNTIFS('Coded Passages'!$H:$H,$A112,'Coded Passages'!$B:$B,"D1.1")</f>
        <v>0</v>
      </c>
      <c r="H112">
        <f>COUNTIFS('Coded Passages'!$H:$H,$A112,'Coded Passages'!$B:$B,"D1.2")</f>
        <v>0</v>
      </c>
      <c r="I112">
        <f>COUNTIFS('Coded Passages'!$H:$H,$A112,'Coded Passages'!$B:$B,"D1.3")</f>
        <v>2</v>
      </c>
      <c r="J112">
        <f>G112+H112+I112</f>
        <v>2</v>
      </c>
    </row>
    <row r="113" spans="1:10" x14ac:dyDescent="0.45">
      <c r="A113" t="s">
        <v>963</v>
      </c>
      <c r="B113" t="s">
        <v>964</v>
      </c>
      <c r="C113" t="s">
        <v>21</v>
      </c>
      <c r="D113" t="s">
        <v>1653</v>
      </c>
      <c r="E113" t="s">
        <v>200</v>
      </c>
      <c r="F113" t="s">
        <v>24</v>
      </c>
      <c r="G113">
        <f>COUNTIFS('Coded Passages'!$H:$H,$A113,'Coded Passages'!$B:$B,"D1.1")</f>
        <v>0</v>
      </c>
      <c r="H113">
        <f>COUNTIFS('Coded Passages'!$H:$H,$A113,'Coded Passages'!$B:$B,"D1.2")</f>
        <v>0</v>
      </c>
      <c r="I113">
        <f>COUNTIFS('Coded Passages'!$H:$H,$A113,'Coded Passages'!$B:$B,"D1.3")</f>
        <v>2</v>
      </c>
      <c r="J113">
        <f>G113+H113+I113</f>
        <v>2</v>
      </c>
    </row>
    <row r="114" spans="1:10" x14ac:dyDescent="0.45">
      <c r="A114" t="s">
        <v>986</v>
      </c>
      <c r="B114" t="s">
        <v>987</v>
      </c>
      <c r="C114" t="s">
        <v>21</v>
      </c>
      <c r="D114" t="s">
        <v>1645</v>
      </c>
      <c r="E114" t="s">
        <v>86</v>
      </c>
      <c r="F114" t="s">
        <v>24</v>
      </c>
      <c r="G114">
        <f>COUNTIFS('Coded Passages'!$H:$H,$A114,'Coded Passages'!$B:$B,"D1.1")</f>
        <v>2</v>
      </c>
      <c r="H114">
        <f>COUNTIFS('Coded Passages'!$H:$H,$A114,'Coded Passages'!$B:$B,"D1.2")</f>
        <v>0</v>
      </c>
      <c r="I114">
        <f>COUNTIFS('Coded Passages'!$H:$H,$A114,'Coded Passages'!$B:$B,"D1.3")</f>
        <v>0</v>
      </c>
      <c r="J114">
        <f>G114+H114+I114</f>
        <v>2</v>
      </c>
    </row>
    <row r="115" spans="1:10" x14ac:dyDescent="0.45">
      <c r="A115" t="s">
        <v>1032</v>
      </c>
      <c r="B115" t="s">
        <v>1013</v>
      </c>
      <c r="C115" t="s">
        <v>1005</v>
      </c>
      <c r="D115" t="s">
        <v>1648</v>
      </c>
      <c r="E115" t="s">
        <v>177</v>
      </c>
      <c r="F115" t="s">
        <v>87</v>
      </c>
      <c r="G115">
        <f>COUNTIFS('Coded Passages'!$H:$H,$A115,'Coded Passages'!$B:$B,"D1.1")</f>
        <v>1</v>
      </c>
      <c r="H115">
        <f>COUNTIFS('Coded Passages'!$H:$H,$A115,'Coded Passages'!$B:$B,"D1.2")</f>
        <v>0</v>
      </c>
      <c r="I115">
        <f>COUNTIFS('Coded Passages'!$H:$H,$A115,'Coded Passages'!$B:$B,"D1.3")</f>
        <v>1</v>
      </c>
      <c r="J115">
        <f>G115+H115+I115</f>
        <v>2</v>
      </c>
    </row>
    <row r="116" spans="1:10" x14ac:dyDescent="0.45">
      <c r="A116" t="s">
        <v>1153</v>
      </c>
      <c r="B116" t="s">
        <v>1154</v>
      </c>
      <c r="C116" t="s">
        <v>21</v>
      </c>
      <c r="D116" t="s">
        <v>1644</v>
      </c>
      <c r="E116" t="s">
        <v>40</v>
      </c>
      <c r="F116" t="s">
        <v>24</v>
      </c>
      <c r="G116">
        <f>COUNTIFS('Coded Passages'!$H:$H,$A116,'Coded Passages'!$B:$B,"D1.1")</f>
        <v>2</v>
      </c>
      <c r="H116">
        <f>COUNTIFS('Coded Passages'!$H:$H,$A116,'Coded Passages'!$B:$B,"D1.2")</f>
        <v>0</v>
      </c>
      <c r="I116">
        <f>COUNTIFS('Coded Passages'!$H:$H,$A116,'Coded Passages'!$B:$B,"D1.3")</f>
        <v>0</v>
      </c>
      <c r="J116">
        <f>G116+H116+I116</f>
        <v>2</v>
      </c>
    </row>
    <row r="117" spans="1:10" x14ac:dyDescent="0.45">
      <c r="A117" t="s">
        <v>1167</v>
      </c>
      <c r="B117" t="s">
        <v>1168</v>
      </c>
      <c r="C117" t="s">
        <v>442</v>
      </c>
      <c r="D117" t="s">
        <v>1650</v>
      </c>
      <c r="E117" t="s">
        <v>86</v>
      </c>
      <c r="F117" t="s">
        <v>24</v>
      </c>
      <c r="G117">
        <f>COUNTIFS('Coded Passages'!$H:$H,$A117,'Coded Passages'!$B:$B,"D1.1")</f>
        <v>2</v>
      </c>
      <c r="H117">
        <f>COUNTIFS('Coded Passages'!$H:$H,$A117,'Coded Passages'!$B:$B,"D1.2")</f>
        <v>0</v>
      </c>
      <c r="I117">
        <f>COUNTIFS('Coded Passages'!$H:$H,$A117,'Coded Passages'!$B:$B,"D1.3")</f>
        <v>0</v>
      </c>
      <c r="J117">
        <f>G117+H117+I117</f>
        <v>2</v>
      </c>
    </row>
    <row r="118" spans="1:10" x14ac:dyDescent="0.45">
      <c r="A118" t="s">
        <v>1177</v>
      </c>
      <c r="B118" t="s">
        <v>1178</v>
      </c>
      <c r="C118" t="s">
        <v>21</v>
      </c>
      <c r="D118" t="s">
        <v>1655</v>
      </c>
      <c r="E118" t="s">
        <v>86</v>
      </c>
      <c r="F118" t="s">
        <v>24</v>
      </c>
      <c r="G118">
        <f>COUNTIFS('Coded Passages'!$H:$H,$A118,'Coded Passages'!$B:$B,"D1.1")</f>
        <v>2</v>
      </c>
      <c r="H118">
        <f>COUNTIFS('Coded Passages'!$H:$H,$A118,'Coded Passages'!$B:$B,"D1.2")</f>
        <v>0</v>
      </c>
      <c r="I118">
        <f>COUNTIFS('Coded Passages'!$H:$H,$A118,'Coded Passages'!$B:$B,"D1.3")</f>
        <v>0</v>
      </c>
      <c r="J118">
        <f>G118+H118+I118</f>
        <v>2</v>
      </c>
    </row>
    <row r="119" spans="1:10" x14ac:dyDescent="0.45">
      <c r="A119" t="s">
        <v>1193</v>
      </c>
      <c r="B119" t="s">
        <v>1194</v>
      </c>
      <c r="C119" t="s">
        <v>1195</v>
      </c>
      <c r="D119" t="s">
        <v>1649</v>
      </c>
      <c r="E119" t="s">
        <v>200</v>
      </c>
      <c r="F119" t="s">
        <v>87</v>
      </c>
      <c r="G119">
        <f>COUNTIFS('Coded Passages'!$H:$H,$A119,'Coded Passages'!$B:$B,"D1.1")</f>
        <v>2</v>
      </c>
      <c r="H119">
        <f>COUNTIFS('Coded Passages'!$H:$H,$A119,'Coded Passages'!$B:$B,"D1.2")</f>
        <v>0</v>
      </c>
      <c r="I119">
        <f>COUNTIFS('Coded Passages'!$H:$H,$A119,'Coded Passages'!$B:$B,"D1.3")</f>
        <v>0</v>
      </c>
      <c r="J119">
        <f>G119+H119+I119</f>
        <v>2</v>
      </c>
    </row>
    <row r="120" spans="1:10" x14ac:dyDescent="0.45">
      <c r="A120" t="s">
        <v>1200</v>
      </c>
      <c r="B120" t="s">
        <v>1201</v>
      </c>
      <c r="C120" t="s">
        <v>222</v>
      </c>
      <c r="D120" t="s">
        <v>1646</v>
      </c>
      <c r="E120" t="s">
        <v>23</v>
      </c>
      <c r="F120" t="s">
        <v>87</v>
      </c>
      <c r="G120">
        <f>COUNTIFS('Coded Passages'!$H:$H,$A120,'Coded Passages'!$B:$B,"D1.1")</f>
        <v>0</v>
      </c>
      <c r="H120">
        <f>COUNTIFS('Coded Passages'!$H:$H,$A120,'Coded Passages'!$B:$B,"D1.2")</f>
        <v>0</v>
      </c>
      <c r="I120">
        <f>COUNTIFS('Coded Passages'!$H:$H,$A120,'Coded Passages'!$B:$B,"D1.3")</f>
        <v>2</v>
      </c>
      <c r="J120">
        <f>G120+H120+I120</f>
        <v>2</v>
      </c>
    </row>
    <row r="121" spans="1:10" x14ac:dyDescent="0.45">
      <c r="A121" t="s">
        <v>1276</v>
      </c>
      <c r="B121" t="s">
        <v>1277</v>
      </c>
      <c r="C121" t="s">
        <v>610</v>
      </c>
      <c r="D121" t="s">
        <v>1655</v>
      </c>
      <c r="E121" t="s">
        <v>86</v>
      </c>
      <c r="F121" t="s">
        <v>24</v>
      </c>
      <c r="G121">
        <f>COUNTIFS('Coded Passages'!$H:$H,$A121,'Coded Passages'!$B:$B,"D1.1")</f>
        <v>2</v>
      </c>
      <c r="H121">
        <f>COUNTIFS('Coded Passages'!$H:$H,$A121,'Coded Passages'!$B:$B,"D1.2")</f>
        <v>0</v>
      </c>
      <c r="I121">
        <f>COUNTIFS('Coded Passages'!$H:$H,$A121,'Coded Passages'!$B:$B,"D1.3")</f>
        <v>0</v>
      </c>
      <c r="J121">
        <f>G121+H121+I121</f>
        <v>2</v>
      </c>
    </row>
    <row r="122" spans="1:10" x14ac:dyDescent="0.45">
      <c r="A122" t="s">
        <v>1282</v>
      </c>
      <c r="B122" t="s">
        <v>1283</v>
      </c>
      <c r="C122" t="s">
        <v>1284</v>
      </c>
      <c r="D122" t="s">
        <v>1654</v>
      </c>
      <c r="E122" t="s">
        <v>86</v>
      </c>
      <c r="F122" t="s">
        <v>24</v>
      </c>
      <c r="G122">
        <f>COUNTIFS('Coded Passages'!$H:$H,$A122,'Coded Passages'!$B:$B,"D1.1")</f>
        <v>2</v>
      </c>
      <c r="H122">
        <f>COUNTIFS('Coded Passages'!$H:$H,$A122,'Coded Passages'!$B:$B,"D1.2")</f>
        <v>0</v>
      </c>
      <c r="I122">
        <f>COUNTIFS('Coded Passages'!$H:$H,$A122,'Coded Passages'!$B:$B,"D1.3")</f>
        <v>0</v>
      </c>
      <c r="J122">
        <f>G122+H122+I122</f>
        <v>2</v>
      </c>
    </row>
    <row r="123" spans="1:10" x14ac:dyDescent="0.45">
      <c r="A123" t="s">
        <v>1320</v>
      </c>
      <c r="B123" t="s">
        <v>1308</v>
      </c>
      <c r="C123" t="s">
        <v>1321</v>
      </c>
      <c r="D123" t="s">
        <v>1646</v>
      </c>
      <c r="E123" t="s">
        <v>23</v>
      </c>
      <c r="F123" t="s">
        <v>87</v>
      </c>
      <c r="G123">
        <f>COUNTIFS('Coded Passages'!$H:$H,$A123,'Coded Passages'!$B:$B,"D1.1")</f>
        <v>0</v>
      </c>
      <c r="H123">
        <f>COUNTIFS('Coded Passages'!$H:$H,$A123,'Coded Passages'!$B:$B,"D1.2")</f>
        <v>0</v>
      </c>
      <c r="I123">
        <f>COUNTIFS('Coded Passages'!$H:$H,$A123,'Coded Passages'!$B:$B,"D1.3")</f>
        <v>2</v>
      </c>
      <c r="J123">
        <f>G123+H123+I123</f>
        <v>2</v>
      </c>
    </row>
    <row r="124" spans="1:10" x14ac:dyDescent="0.45">
      <c r="A124" t="s">
        <v>1341</v>
      </c>
      <c r="B124" t="s">
        <v>1342</v>
      </c>
      <c r="C124" t="s">
        <v>21</v>
      </c>
      <c r="D124" t="s">
        <v>1655</v>
      </c>
      <c r="E124" t="s">
        <v>86</v>
      </c>
      <c r="F124" t="s">
        <v>24</v>
      </c>
      <c r="G124">
        <f>COUNTIFS('Coded Passages'!$H:$H,$A124,'Coded Passages'!$B:$B,"D1.1")</f>
        <v>1</v>
      </c>
      <c r="H124">
        <f>COUNTIFS('Coded Passages'!$H:$H,$A124,'Coded Passages'!$B:$B,"D1.2")</f>
        <v>0</v>
      </c>
      <c r="I124">
        <f>COUNTIFS('Coded Passages'!$H:$H,$A124,'Coded Passages'!$B:$B,"D1.3")</f>
        <v>1</v>
      </c>
      <c r="J124">
        <f>G124+H124+I124</f>
        <v>2</v>
      </c>
    </row>
    <row r="125" spans="1:10" x14ac:dyDescent="0.45">
      <c r="A125" t="s">
        <v>1347</v>
      </c>
      <c r="B125" t="s">
        <v>1348</v>
      </c>
      <c r="C125" t="s">
        <v>1349</v>
      </c>
      <c r="D125" t="s">
        <v>1658</v>
      </c>
      <c r="E125" t="s">
        <v>170</v>
      </c>
      <c r="F125" t="s">
        <v>24</v>
      </c>
      <c r="G125">
        <f>COUNTIFS('Coded Passages'!$H:$H,$A125,'Coded Passages'!$B:$B,"D1.1")</f>
        <v>2</v>
      </c>
      <c r="H125">
        <f>COUNTIFS('Coded Passages'!$H:$H,$A125,'Coded Passages'!$B:$B,"D1.2")</f>
        <v>0</v>
      </c>
      <c r="I125">
        <f>COUNTIFS('Coded Passages'!$H:$H,$A125,'Coded Passages'!$B:$B,"D1.3")</f>
        <v>0</v>
      </c>
      <c r="J125">
        <f>G125+H125+I125</f>
        <v>2</v>
      </c>
    </row>
    <row r="126" spans="1:10" x14ac:dyDescent="0.45">
      <c r="A126" t="s">
        <v>1366</v>
      </c>
      <c r="B126" t="s">
        <v>1367</v>
      </c>
      <c r="C126" t="s">
        <v>1368</v>
      </c>
      <c r="D126" t="s">
        <v>1643</v>
      </c>
      <c r="E126" t="s">
        <v>40</v>
      </c>
      <c r="F126" t="s">
        <v>24</v>
      </c>
      <c r="G126">
        <f>COUNTIFS('Coded Passages'!$H:$H,$A126,'Coded Passages'!$B:$B,"D1.1")</f>
        <v>1</v>
      </c>
      <c r="H126">
        <f>COUNTIFS('Coded Passages'!$H:$H,$A126,'Coded Passages'!$B:$B,"D1.2")</f>
        <v>0</v>
      </c>
      <c r="I126">
        <f>COUNTIFS('Coded Passages'!$H:$H,$A126,'Coded Passages'!$B:$B,"D1.3")</f>
        <v>1</v>
      </c>
      <c r="J126">
        <f>G126+H126+I126</f>
        <v>2</v>
      </c>
    </row>
    <row r="127" spans="1:10" x14ac:dyDescent="0.45">
      <c r="A127" t="s">
        <v>1393</v>
      </c>
      <c r="B127" t="s">
        <v>1394</v>
      </c>
      <c r="C127" t="s">
        <v>1395</v>
      </c>
      <c r="D127" t="s">
        <v>1656</v>
      </c>
      <c r="E127" t="s">
        <v>177</v>
      </c>
      <c r="F127" t="s">
        <v>87</v>
      </c>
      <c r="G127">
        <f>COUNTIFS('Coded Passages'!$H:$H,$A127,'Coded Passages'!$B:$B,"D1.1")</f>
        <v>2</v>
      </c>
      <c r="H127">
        <f>COUNTIFS('Coded Passages'!$H:$H,$A127,'Coded Passages'!$B:$B,"D1.2")</f>
        <v>0</v>
      </c>
      <c r="I127">
        <f>COUNTIFS('Coded Passages'!$H:$H,$A127,'Coded Passages'!$B:$B,"D1.3")</f>
        <v>0</v>
      </c>
      <c r="J127">
        <f>G127+H127+I127</f>
        <v>2</v>
      </c>
    </row>
    <row r="128" spans="1:10" x14ac:dyDescent="0.45">
      <c r="A128" t="s">
        <v>1414</v>
      </c>
      <c r="B128" t="s">
        <v>1415</v>
      </c>
      <c r="C128" t="s">
        <v>610</v>
      </c>
      <c r="D128" t="s">
        <v>1646</v>
      </c>
      <c r="E128" t="s">
        <v>23</v>
      </c>
      <c r="F128" t="s">
        <v>24</v>
      </c>
      <c r="G128">
        <f>COUNTIFS('Coded Passages'!$H:$H,$A128,'Coded Passages'!$B:$B,"D1.1")</f>
        <v>1</v>
      </c>
      <c r="H128">
        <f>COUNTIFS('Coded Passages'!$H:$H,$A128,'Coded Passages'!$B:$B,"D1.2")</f>
        <v>0</v>
      </c>
      <c r="I128">
        <f>COUNTIFS('Coded Passages'!$H:$H,$A128,'Coded Passages'!$B:$B,"D1.3")</f>
        <v>1</v>
      </c>
      <c r="J128">
        <f>G128+H128+I128</f>
        <v>2</v>
      </c>
    </row>
    <row r="129" spans="1:10" x14ac:dyDescent="0.45">
      <c r="A129" t="s">
        <v>1463</v>
      </c>
      <c r="B129" t="s">
        <v>1449</v>
      </c>
      <c r="C129" t="s">
        <v>555</v>
      </c>
      <c r="D129" t="s">
        <v>1660</v>
      </c>
      <c r="E129" t="s">
        <v>86</v>
      </c>
      <c r="F129" t="s">
        <v>87</v>
      </c>
      <c r="G129">
        <f>COUNTIFS('Coded Passages'!$H:$H,$A129,'Coded Passages'!$B:$B,"D1.1")</f>
        <v>2</v>
      </c>
      <c r="H129">
        <f>COUNTIFS('Coded Passages'!$H:$H,$A129,'Coded Passages'!$B:$B,"D1.2")</f>
        <v>0</v>
      </c>
      <c r="I129">
        <f>COUNTIFS('Coded Passages'!$H:$H,$A129,'Coded Passages'!$B:$B,"D1.3")</f>
        <v>0</v>
      </c>
      <c r="J129">
        <f>G129+H129+I129</f>
        <v>2</v>
      </c>
    </row>
    <row r="130" spans="1:10" x14ac:dyDescent="0.45">
      <c r="A130" t="s">
        <v>1550</v>
      </c>
      <c r="B130" t="s">
        <v>1551</v>
      </c>
      <c r="C130" t="s">
        <v>21</v>
      </c>
      <c r="D130" t="s">
        <v>1644</v>
      </c>
      <c r="E130" t="s">
        <v>40</v>
      </c>
      <c r="F130" t="s">
        <v>24</v>
      </c>
      <c r="G130">
        <f>COUNTIFS('Coded Passages'!$H:$H,$A130,'Coded Passages'!$B:$B,"D1.1")</f>
        <v>2</v>
      </c>
      <c r="H130">
        <f>COUNTIFS('Coded Passages'!$H:$H,$A130,'Coded Passages'!$B:$B,"D1.2")</f>
        <v>0</v>
      </c>
      <c r="I130">
        <f>COUNTIFS('Coded Passages'!$H:$H,$A130,'Coded Passages'!$B:$B,"D1.3")</f>
        <v>0</v>
      </c>
      <c r="J130">
        <f>G130+H130+I130</f>
        <v>2</v>
      </c>
    </row>
    <row r="131" spans="1:10" x14ac:dyDescent="0.45">
      <c r="A131" t="s">
        <v>1556</v>
      </c>
      <c r="B131" t="s">
        <v>1551</v>
      </c>
      <c r="C131" t="s">
        <v>21</v>
      </c>
      <c r="D131" t="s">
        <v>1643</v>
      </c>
      <c r="E131" t="s">
        <v>40</v>
      </c>
      <c r="F131" t="s">
        <v>24</v>
      </c>
      <c r="G131">
        <f>COUNTIFS('Coded Passages'!$H:$H,$A131,'Coded Passages'!$B:$B,"D1.1")</f>
        <v>2</v>
      </c>
      <c r="H131">
        <f>COUNTIFS('Coded Passages'!$H:$H,$A131,'Coded Passages'!$B:$B,"D1.2")</f>
        <v>0</v>
      </c>
      <c r="I131">
        <f>COUNTIFS('Coded Passages'!$H:$H,$A131,'Coded Passages'!$B:$B,"D1.3")</f>
        <v>0</v>
      </c>
      <c r="J131">
        <f>G131+H131+I131</f>
        <v>2</v>
      </c>
    </row>
    <row r="132" spans="1:10" x14ac:dyDescent="0.45">
      <c r="A132" t="s">
        <v>1561</v>
      </c>
      <c r="B132" t="s">
        <v>1562</v>
      </c>
      <c r="C132" t="s">
        <v>21</v>
      </c>
      <c r="D132" t="s">
        <v>1654</v>
      </c>
      <c r="E132" t="s">
        <v>86</v>
      </c>
      <c r="F132" t="s">
        <v>24</v>
      </c>
      <c r="G132">
        <f>COUNTIFS('Coded Passages'!$H:$H,$A132,'Coded Passages'!$B:$B,"D1.1")</f>
        <v>0</v>
      </c>
      <c r="H132">
        <f>COUNTIFS('Coded Passages'!$H:$H,$A132,'Coded Passages'!$B:$B,"D1.2")</f>
        <v>2</v>
      </c>
      <c r="I132">
        <f>COUNTIFS('Coded Passages'!$H:$H,$A132,'Coded Passages'!$B:$B,"D1.3")</f>
        <v>0</v>
      </c>
      <c r="J132">
        <f>G132+H132+I132</f>
        <v>2</v>
      </c>
    </row>
    <row r="133" spans="1:10" x14ac:dyDescent="0.45">
      <c r="A133" t="s">
        <v>1591</v>
      </c>
      <c r="B133" t="s">
        <v>1592</v>
      </c>
      <c r="C133" t="s">
        <v>511</v>
      </c>
      <c r="D133" t="s">
        <v>1646</v>
      </c>
      <c r="E133" t="s">
        <v>23</v>
      </c>
      <c r="F133" t="s">
        <v>24</v>
      </c>
      <c r="G133">
        <f>COUNTIFS('Coded Passages'!$H:$H,$A133,'Coded Passages'!$B:$B,"D1.1")</f>
        <v>1</v>
      </c>
      <c r="H133">
        <f>COUNTIFS('Coded Passages'!$H:$H,$A133,'Coded Passages'!$B:$B,"D1.2")</f>
        <v>0</v>
      </c>
      <c r="I133">
        <f>COUNTIFS('Coded Passages'!$H:$H,$A133,'Coded Passages'!$B:$B,"D1.3")</f>
        <v>1</v>
      </c>
      <c r="J133">
        <f>G133+H133+I133</f>
        <v>2</v>
      </c>
    </row>
    <row r="134" spans="1:10" x14ac:dyDescent="0.45">
      <c r="A134" t="s">
        <v>167</v>
      </c>
      <c r="B134" t="s">
        <v>168</v>
      </c>
      <c r="C134" t="s">
        <v>21</v>
      </c>
      <c r="D134" t="s">
        <v>1647</v>
      </c>
      <c r="E134" t="s">
        <v>170</v>
      </c>
      <c r="F134" t="s">
        <v>24</v>
      </c>
      <c r="G134">
        <f>COUNTIFS('Coded Passages'!$H:$H,$A134,'Coded Passages'!$B:$B,"D1.1")</f>
        <v>1</v>
      </c>
      <c r="H134">
        <f>COUNTIFS('Coded Passages'!$H:$H,$A134,'Coded Passages'!$B:$B,"D1.2")</f>
        <v>0</v>
      </c>
      <c r="I134">
        <f>COUNTIFS('Coded Passages'!$H:$H,$A134,'Coded Passages'!$B:$B,"D1.3")</f>
        <v>0</v>
      </c>
      <c r="J134">
        <f>G134+H134+I134</f>
        <v>1</v>
      </c>
    </row>
    <row r="135" spans="1:10" x14ac:dyDescent="0.45">
      <c r="A135" t="s">
        <v>173</v>
      </c>
      <c r="B135" t="s">
        <v>174</v>
      </c>
      <c r="C135" t="s">
        <v>175</v>
      </c>
      <c r="D135" t="s">
        <v>1648</v>
      </c>
      <c r="E135" t="s">
        <v>177</v>
      </c>
      <c r="F135" t="s">
        <v>24</v>
      </c>
      <c r="G135">
        <f>COUNTIFS('Coded Passages'!$H:$H,$A135,'Coded Passages'!$B:$B,"D1.1")</f>
        <v>0</v>
      </c>
      <c r="H135">
        <f>COUNTIFS('Coded Passages'!$H:$H,$A135,'Coded Passages'!$B:$B,"D1.2")</f>
        <v>0</v>
      </c>
      <c r="I135">
        <f>COUNTIFS('Coded Passages'!$H:$H,$A135,'Coded Passages'!$B:$B,"D1.3")</f>
        <v>1</v>
      </c>
      <c r="J135">
        <f>G135+H135+I135</f>
        <v>1</v>
      </c>
    </row>
    <row r="136" spans="1:10" x14ac:dyDescent="0.45">
      <c r="A136" t="s">
        <v>360</v>
      </c>
      <c r="B136" t="s">
        <v>361</v>
      </c>
      <c r="C136" t="s">
        <v>362</v>
      </c>
      <c r="D136" t="s">
        <v>1653</v>
      </c>
      <c r="E136" t="s">
        <v>200</v>
      </c>
      <c r="F136" t="s">
        <v>87</v>
      </c>
      <c r="G136">
        <f>COUNTIFS('Coded Passages'!$H:$H,$A136,'Coded Passages'!$B:$B,"D1.1")</f>
        <v>0</v>
      </c>
      <c r="H136">
        <f>COUNTIFS('Coded Passages'!$H:$H,$A136,'Coded Passages'!$B:$B,"D1.2")</f>
        <v>0</v>
      </c>
      <c r="I136">
        <f>COUNTIFS('Coded Passages'!$H:$H,$A136,'Coded Passages'!$B:$B,"D1.3")</f>
        <v>1</v>
      </c>
      <c r="J136">
        <f>G136+H136+I136</f>
        <v>1</v>
      </c>
    </row>
    <row r="137" spans="1:10" x14ac:dyDescent="0.45">
      <c r="A137" t="s">
        <v>435</v>
      </c>
      <c r="B137" t="s">
        <v>436</v>
      </c>
      <c r="C137" t="s">
        <v>437</v>
      </c>
      <c r="D137" t="s">
        <v>1643</v>
      </c>
      <c r="E137" t="s">
        <v>40</v>
      </c>
      <c r="F137" t="s">
        <v>87</v>
      </c>
      <c r="G137">
        <f>COUNTIFS('Coded Passages'!$H:$H,$A137,'Coded Passages'!$B:$B,"D1.1")</f>
        <v>1</v>
      </c>
      <c r="H137">
        <f>COUNTIFS('Coded Passages'!$H:$H,$A137,'Coded Passages'!$B:$B,"D1.2")</f>
        <v>0</v>
      </c>
      <c r="I137">
        <f>COUNTIFS('Coded Passages'!$H:$H,$A137,'Coded Passages'!$B:$B,"D1.3")</f>
        <v>0</v>
      </c>
      <c r="J137">
        <f>G137+H137+I137</f>
        <v>1</v>
      </c>
    </row>
    <row r="138" spans="1:10" x14ac:dyDescent="0.45">
      <c r="A138" t="s">
        <v>465</v>
      </c>
      <c r="B138" t="s">
        <v>466</v>
      </c>
      <c r="C138" t="s">
        <v>21</v>
      </c>
      <c r="D138" t="s">
        <v>1643</v>
      </c>
      <c r="E138" t="s">
        <v>40</v>
      </c>
      <c r="F138" t="s">
        <v>24</v>
      </c>
      <c r="G138">
        <f>COUNTIFS('Coded Passages'!$H:$H,$A138,'Coded Passages'!$B:$B,"D1.1")</f>
        <v>1</v>
      </c>
      <c r="H138">
        <f>COUNTIFS('Coded Passages'!$H:$H,$A138,'Coded Passages'!$B:$B,"D1.2")</f>
        <v>0</v>
      </c>
      <c r="I138">
        <f>COUNTIFS('Coded Passages'!$H:$H,$A138,'Coded Passages'!$B:$B,"D1.3")</f>
        <v>0</v>
      </c>
      <c r="J138">
        <f>G138+H138+I138</f>
        <v>1</v>
      </c>
    </row>
    <row r="139" spans="1:10" x14ac:dyDescent="0.45">
      <c r="A139" t="s">
        <v>608</v>
      </c>
      <c r="B139" t="s">
        <v>609</v>
      </c>
      <c r="C139" t="s">
        <v>610</v>
      </c>
      <c r="D139" t="s">
        <v>1645</v>
      </c>
      <c r="E139" t="s">
        <v>86</v>
      </c>
      <c r="F139" t="s">
        <v>24</v>
      </c>
      <c r="G139">
        <f>COUNTIFS('Coded Passages'!$H:$H,$A139,'Coded Passages'!$B:$B,"D1.1")</f>
        <v>1</v>
      </c>
      <c r="H139">
        <f>COUNTIFS('Coded Passages'!$H:$H,$A139,'Coded Passages'!$B:$B,"D1.2")</f>
        <v>0</v>
      </c>
      <c r="I139">
        <f>COUNTIFS('Coded Passages'!$H:$H,$A139,'Coded Passages'!$B:$B,"D1.3")</f>
        <v>0</v>
      </c>
      <c r="J139">
        <f>G139+H139+I139</f>
        <v>1</v>
      </c>
    </row>
    <row r="140" spans="1:10" x14ac:dyDescent="0.45">
      <c r="A140" t="s">
        <v>636</v>
      </c>
      <c r="B140" t="s">
        <v>637</v>
      </c>
      <c r="C140" t="s">
        <v>638</v>
      </c>
      <c r="D140" t="s">
        <v>1649</v>
      </c>
      <c r="E140" t="s">
        <v>200</v>
      </c>
      <c r="F140" t="s">
        <v>24</v>
      </c>
      <c r="G140">
        <f>COUNTIFS('Coded Passages'!$H:$H,$A140,'Coded Passages'!$B:$B,"D1.1")</f>
        <v>1</v>
      </c>
      <c r="H140">
        <f>COUNTIFS('Coded Passages'!$H:$H,$A140,'Coded Passages'!$B:$B,"D1.2")</f>
        <v>0</v>
      </c>
      <c r="I140">
        <f>COUNTIFS('Coded Passages'!$H:$H,$A140,'Coded Passages'!$B:$B,"D1.3")</f>
        <v>0</v>
      </c>
      <c r="J140">
        <f>G140+H140+I140</f>
        <v>1</v>
      </c>
    </row>
    <row r="141" spans="1:10" x14ac:dyDescent="0.45">
      <c r="A141" t="s">
        <v>641</v>
      </c>
      <c r="B141" t="s">
        <v>642</v>
      </c>
      <c r="C141" t="s">
        <v>21</v>
      </c>
      <c r="D141" t="s">
        <v>1643</v>
      </c>
      <c r="E141" t="s">
        <v>40</v>
      </c>
      <c r="F141" t="s">
        <v>24</v>
      </c>
      <c r="G141">
        <f>COUNTIFS('Coded Passages'!$H:$H,$A141,'Coded Passages'!$B:$B,"D1.1")</f>
        <v>0</v>
      </c>
      <c r="H141">
        <f>COUNTIFS('Coded Passages'!$H:$H,$A141,'Coded Passages'!$B:$B,"D1.2")</f>
        <v>0</v>
      </c>
      <c r="I141">
        <f>COUNTIFS('Coded Passages'!$H:$H,$A141,'Coded Passages'!$B:$B,"D1.3")</f>
        <v>1</v>
      </c>
      <c r="J141">
        <f>G141+H141+I141</f>
        <v>1</v>
      </c>
    </row>
    <row r="142" spans="1:10" x14ac:dyDescent="0.45">
      <c r="A142" t="s">
        <v>652</v>
      </c>
      <c r="B142" t="s">
        <v>653</v>
      </c>
      <c r="C142" t="s">
        <v>654</v>
      </c>
      <c r="D142" t="s">
        <v>1655</v>
      </c>
      <c r="E142" t="s">
        <v>86</v>
      </c>
      <c r="F142" t="s">
        <v>24</v>
      </c>
      <c r="G142">
        <f>COUNTIFS('Coded Passages'!$H:$H,$A142,'Coded Passages'!$B:$B,"D1.1")</f>
        <v>1</v>
      </c>
      <c r="H142">
        <f>COUNTIFS('Coded Passages'!$H:$H,$A142,'Coded Passages'!$B:$B,"D1.2")</f>
        <v>0</v>
      </c>
      <c r="I142">
        <f>COUNTIFS('Coded Passages'!$H:$H,$A142,'Coded Passages'!$B:$B,"D1.3")</f>
        <v>0</v>
      </c>
      <c r="J142">
        <f>G142+H142+I142</f>
        <v>1</v>
      </c>
    </row>
    <row r="143" spans="1:10" x14ac:dyDescent="0.45">
      <c r="A143" t="s">
        <v>754</v>
      </c>
      <c r="B143" t="s">
        <v>755</v>
      </c>
      <c r="C143" t="s">
        <v>21</v>
      </c>
      <c r="D143" t="s">
        <v>1648</v>
      </c>
      <c r="E143" t="s">
        <v>177</v>
      </c>
      <c r="F143" t="s">
        <v>24</v>
      </c>
      <c r="G143">
        <f>COUNTIFS('Coded Passages'!$H:$H,$A143,'Coded Passages'!$B:$B,"D1.1")</f>
        <v>1</v>
      </c>
      <c r="H143">
        <f>COUNTIFS('Coded Passages'!$H:$H,$A143,'Coded Passages'!$B:$B,"D1.2")</f>
        <v>0</v>
      </c>
      <c r="I143">
        <f>COUNTIFS('Coded Passages'!$H:$H,$A143,'Coded Passages'!$B:$B,"D1.3")</f>
        <v>0</v>
      </c>
      <c r="J143">
        <f>G143+H143+I143</f>
        <v>1</v>
      </c>
    </row>
    <row r="144" spans="1:10" x14ac:dyDescent="0.45">
      <c r="A144" t="s">
        <v>758</v>
      </c>
      <c r="B144" t="s">
        <v>759</v>
      </c>
      <c r="C144" t="s">
        <v>56</v>
      </c>
      <c r="D144" t="s">
        <v>1643</v>
      </c>
      <c r="E144" t="s">
        <v>40</v>
      </c>
      <c r="F144" t="s">
        <v>24</v>
      </c>
      <c r="G144">
        <f>COUNTIFS('Coded Passages'!$H:$H,$A144,'Coded Passages'!$B:$B,"D1.1")</f>
        <v>0</v>
      </c>
      <c r="H144">
        <f>COUNTIFS('Coded Passages'!$H:$H,$A144,'Coded Passages'!$B:$B,"D1.2")</f>
        <v>0</v>
      </c>
      <c r="I144">
        <f>COUNTIFS('Coded Passages'!$H:$H,$A144,'Coded Passages'!$B:$B,"D1.3")</f>
        <v>1</v>
      </c>
      <c r="J144">
        <f>G144+H144+I144</f>
        <v>1</v>
      </c>
    </row>
    <row r="145" spans="1:10" x14ac:dyDescent="0.45">
      <c r="A145" t="s">
        <v>785</v>
      </c>
      <c r="B145" t="s">
        <v>770</v>
      </c>
      <c r="C145" t="s">
        <v>21</v>
      </c>
      <c r="D145" t="s">
        <v>1645</v>
      </c>
      <c r="E145" t="s">
        <v>86</v>
      </c>
      <c r="F145" t="s">
        <v>24</v>
      </c>
      <c r="G145">
        <f>COUNTIFS('Coded Passages'!$H:$H,$A145,'Coded Passages'!$B:$B,"D1.1")</f>
        <v>0</v>
      </c>
      <c r="H145">
        <f>COUNTIFS('Coded Passages'!$H:$H,$A145,'Coded Passages'!$B:$B,"D1.2")</f>
        <v>1</v>
      </c>
      <c r="I145">
        <f>COUNTIFS('Coded Passages'!$H:$H,$A145,'Coded Passages'!$B:$B,"D1.3")</f>
        <v>0</v>
      </c>
      <c r="J145">
        <f>G145+H145+I145</f>
        <v>1</v>
      </c>
    </row>
    <row r="146" spans="1:10" x14ac:dyDescent="0.45">
      <c r="A146" t="s">
        <v>801</v>
      </c>
      <c r="B146" t="s">
        <v>795</v>
      </c>
      <c r="C146" t="s">
        <v>796</v>
      </c>
      <c r="D146" t="s">
        <v>1656</v>
      </c>
      <c r="E146" t="s">
        <v>177</v>
      </c>
      <c r="F146" t="s">
        <v>87</v>
      </c>
      <c r="G146">
        <f>COUNTIFS('Coded Passages'!$H:$H,$A146,'Coded Passages'!$B:$B,"D1.1")</f>
        <v>1</v>
      </c>
      <c r="H146">
        <f>COUNTIFS('Coded Passages'!$H:$H,$A146,'Coded Passages'!$B:$B,"D1.2")</f>
        <v>0</v>
      </c>
      <c r="I146">
        <f>COUNTIFS('Coded Passages'!$H:$H,$A146,'Coded Passages'!$B:$B,"D1.3")</f>
        <v>0</v>
      </c>
      <c r="J146">
        <f>G146+H146+I146</f>
        <v>1</v>
      </c>
    </row>
    <row r="147" spans="1:10" x14ac:dyDescent="0.45">
      <c r="A147" t="s">
        <v>827</v>
      </c>
      <c r="B147" t="s">
        <v>828</v>
      </c>
      <c r="C147" t="s">
        <v>829</v>
      </c>
      <c r="D147" t="s">
        <v>1643</v>
      </c>
      <c r="E147" t="s">
        <v>40</v>
      </c>
      <c r="F147" t="s">
        <v>24</v>
      </c>
      <c r="G147">
        <f>COUNTIFS('Coded Passages'!$H:$H,$A147,'Coded Passages'!$B:$B,"D1.1")</f>
        <v>1</v>
      </c>
      <c r="H147">
        <f>COUNTIFS('Coded Passages'!$H:$H,$A147,'Coded Passages'!$B:$B,"D1.2")</f>
        <v>0</v>
      </c>
      <c r="I147">
        <f>COUNTIFS('Coded Passages'!$H:$H,$A147,'Coded Passages'!$B:$B,"D1.3")</f>
        <v>0</v>
      </c>
      <c r="J147">
        <f>G147+H147+I147</f>
        <v>1</v>
      </c>
    </row>
    <row r="148" spans="1:10" x14ac:dyDescent="0.45">
      <c r="A148" t="s">
        <v>832</v>
      </c>
      <c r="B148" t="s">
        <v>833</v>
      </c>
      <c r="C148" t="s">
        <v>638</v>
      </c>
      <c r="D148" t="s">
        <v>1654</v>
      </c>
      <c r="E148" t="s">
        <v>86</v>
      </c>
      <c r="F148" t="s">
        <v>24</v>
      </c>
      <c r="G148">
        <f>COUNTIFS('Coded Passages'!$H:$H,$A148,'Coded Passages'!$B:$B,"D1.1")</f>
        <v>0</v>
      </c>
      <c r="H148">
        <f>COUNTIFS('Coded Passages'!$H:$H,$A148,'Coded Passages'!$B:$B,"D1.2")</f>
        <v>0</v>
      </c>
      <c r="I148">
        <f>COUNTIFS('Coded Passages'!$H:$H,$A148,'Coded Passages'!$B:$B,"D1.3")</f>
        <v>1</v>
      </c>
      <c r="J148">
        <f>G148+H148+I148</f>
        <v>1</v>
      </c>
    </row>
    <row r="149" spans="1:10" x14ac:dyDescent="0.45">
      <c r="A149" t="s">
        <v>853</v>
      </c>
      <c r="B149" t="s">
        <v>854</v>
      </c>
      <c r="C149" t="s">
        <v>126</v>
      </c>
      <c r="D149" t="s">
        <v>1653</v>
      </c>
      <c r="E149" t="s">
        <v>200</v>
      </c>
      <c r="F149" t="s">
        <v>87</v>
      </c>
      <c r="G149">
        <f>COUNTIFS('Coded Passages'!$H:$H,$A149,'Coded Passages'!$B:$B,"D1.1")</f>
        <v>1</v>
      </c>
      <c r="H149">
        <f>COUNTIFS('Coded Passages'!$H:$H,$A149,'Coded Passages'!$B:$B,"D1.2")</f>
        <v>0</v>
      </c>
      <c r="I149">
        <f>COUNTIFS('Coded Passages'!$H:$H,$A149,'Coded Passages'!$B:$B,"D1.3")</f>
        <v>0</v>
      </c>
      <c r="J149">
        <f>G149+H149+I149</f>
        <v>1</v>
      </c>
    </row>
    <row r="150" spans="1:10" x14ac:dyDescent="0.45">
      <c r="A150" t="s">
        <v>879</v>
      </c>
      <c r="B150" t="s">
        <v>880</v>
      </c>
      <c r="C150" t="s">
        <v>881</v>
      </c>
      <c r="D150" t="s">
        <v>1653</v>
      </c>
      <c r="E150" t="s">
        <v>200</v>
      </c>
      <c r="F150" t="s">
        <v>87</v>
      </c>
      <c r="G150">
        <f>COUNTIFS('Coded Passages'!$H:$H,$A150,'Coded Passages'!$B:$B,"D1.1")</f>
        <v>0</v>
      </c>
      <c r="H150">
        <f>COUNTIFS('Coded Passages'!$H:$H,$A150,'Coded Passages'!$B:$B,"D1.2")</f>
        <v>0</v>
      </c>
      <c r="I150">
        <f>COUNTIFS('Coded Passages'!$H:$H,$A150,'Coded Passages'!$B:$B,"D1.3")</f>
        <v>1</v>
      </c>
      <c r="J150">
        <f>G150+H150+I150</f>
        <v>1</v>
      </c>
    </row>
    <row r="151" spans="1:10" x14ac:dyDescent="0.45">
      <c r="A151" t="s">
        <v>953</v>
      </c>
      <c r="B151" t="s">
        <v>954</v>
      </c>
      <c r="C151" t="s">
        <v>21</v>
      </c>
      <c r="D151" t="s">
        <v>1644</v>
      </c>
      <c r="E151" t="s">
        <v>40</v>
      </c>
      <c r="F151" t="s">
        <v>24</v>
      </c>
      <c r="G151">
        <f>COUNTIFS('Coded Passages'!$H:$H,$A151,'Coded Passages'!$B:$B,"D1.1")</f>
        <v>1</v>
      </c>
      <c r="H151">
        <f>COUNTIFS('Coded Passages'!$H:$H,$A151,'Coded Passages'!$B:$B,"D1.2")</f>
        <v>0</v>
      </c>
      <c r="I151">
        <f>COUNTIFS('Coded Passages'!$H:$H,$A151,'Coded Passages'!$B:$B,"D1.3")</f>
        <v>0</v>
      </c>
      <c r="J151">
        <f>G151+H151+I151</f>
        <v>1</v>
      </c>
    </row>
    <row r="152" spans="1:10" x14ac:dyDescent="0.45">
      <c r="A152" t="s">
        <v>992</v>
      </c>
      <c r="B152" t="s">
        <v>993</v>
      </c>
      <c r="C152" t="s">
        <v>21</v>
      </c>
      <c r="D152" t="s">
        <v>1654</v>
      </c>
      <c r="E152" t="s">
        <v>86</v>
      </c>
      <c r="F152" t="s">
        <v>24</v>
      </c>
      <c r="G152">
        <f>COUNTIFS('Coded Passages'!$H:$H,$A152,'Coded Passages'!$B:$B,"D1.1")</f>
        <v>0</v>
      </c>
      <c r="H152">
        <f>COUNTIFS('Coded Passages'!$H:$H,$A152,'Coded Passages'!$B:$B,"D1.2")</f>
        <v>0</v>
      </c>
      <c r="I152">
        <f>COUNTIFS('Coded Passages'!$H:$H,$A152,'Coded Passages'!$B:$B,"D1.3")</f>
        <v>1</v>
      </c>
      <c r="J152">
        <f>G152+H152+I152</f>
        <v>1</v>
      </c>
    </row>
    <row r="153" spans="1:10" x14ac:dyDescent="0.45">
      <c r="A153" t="s">
        <v>1036</v>
      </c>
      <c r="B153" t="s">
        <v>1037</v>
      </c>
      <c r="C153" t="s">
        <v>1038</v>
      </c>
      <c r="D153" t="s">
        <v>1653</v>
      </c>
      <c r="E153" t="s">
        <v>200</v>
      </c>
      <c r="F153" t="s">
        <v>87</v>
      </c>
      <c r="G153">
        <f>COUNTIFS('Coded Passages'!$H:$H,$A153,'Coded Passages'!$B:$B,"D1.1")</f>
        <v>1</v>
      </c>
      <c r="H153">
        <f>COUNTIFS('Coded Passages'!$H:$H,$A153,'Coded Passages'!$B:$B,"D1.2")</f>
        <v>0</v>
      </c>
      <c r="I153">
        <f>COUNTIFS('Coded Passages'!$H:$H,$A153,'Coded Passages'!$B:$B,"D1.3")</f>
        <v>0</v>
      </c>
      <c r="J153">
        <f>G153+H153+I153</f>
        <v>1</v>
      </c>
    </row>
    <row r="154" spans="1:10" x14ac:dyDescent="0.45">
      <c r="A154" t="s">
        <v>1041</v>
      </c>
      <c r="B154" t="s">
        <v>1042</v>
      </c>
      <c r="C154" t="s">
        <v>21</v>
      </c>
      <c r="D154" t="s">
        <v>1643</v>
      </c>
      <c r="E154" t="s">
        <v>40</v>
      </c>
      <c r="F154" t="s">
        <v>24</v>
      </c>
      <c r="G154">
        <f>COUNTIFS('Coded Passages'!$H:$H,$A154,'Coded Passages'!$B:$B,"D1.1")</f>
        <v>0</v>
      </c>
      <c r="H154">
        <f>COUNTIFS('Coded Passages'!$H:$H,$A154,'Coded Passages'!$B:$B,"D1.2")</f>
        <v>0</v>
      </c>
      <c r="I154">
        <f>COUNTIFS('Coded Passages'!$H:$H,$A154,'Coded Passages'!$B:$B,"D1.3")</f>
        <v>1</v>
      </c>
      <c r="J154">
        <f>G154+H154+I154</f>
        <v>1</v>
      </c>
    </row>
    <row r="155" spans="1:10" x14ac:dyDescent="0.45">
      <c r="A155" t="s">
        <v>1045</v>
      </c>
      <c r="B155" t="s">
        <v>1046</v>
      </c>
      <c r="C155" t="s">
        <v>21</v>
      </c>
      <c r="D155" t="s">
        <v>1647</v>
      </c>
      <c r="E155" t="s">
        <v>170</v>
      </c>
      <c r="F155" t="s">
        <v>24</v>
      </c>
      <c r="G155">
        <f>COUNTIFS('Coded Passages'!$H:$H,$A155,'Coded Passages'!$B:$B,"D1.1")</f>
        <v>1</v>
      </c>
      <c r="H155">
        <f>COUNTIFS('Coded Passages'!$H:$H,$A155,'Coded Passages'!$B:$B,"D1.2")</f>
        <v>0</v>
      </c>
      <c r="I155">
        <f>COUNTIFS('Coded Passages'!$H:$H,$A155,'Coded Passages'!$B:$B,"D1.3")</f>
        <v>0</v>
      </c>
      <c r="J155">
        <f>G155+H155+I155</f>
        <v>1</v>
      </c>
    </row>
    <row r="156" spans="1:10" x14ac:dyDescent="0.45">
      <c r="A156" t="s">
        <v>1173</v>
      </c>
      <c r="B156" t="s">
        <v>1174</v>
      </c>
      <c r="C156" t="s">
        <v>198</v>
      </c>
      <c r="D156" t="s">
        <v>1654</v>
      </c>
      <c r="E156" t="s">
        <v>86</v>
      </c>
      <c r="F156" t="s">
        <v>24</v>
      </c>
      <c r="G156">
        <f>COUNTIFS('Coded Passages'!$H:$H,$A156,'Coded Passages'!$B:$B,"D1.1")</f>
        <v>1</v>
      </c>
      <c r="H156">
        <f>COUNTIFS('Coded Passages'!$H:$H,$A156,'Coded Passages'!$B:$B,"D1.2")</f>
        <v>0</v>
      </c>
      <c r="I156">
        <f>COUNTIFS('Coded Passages'!$H:$H,$A156,'Coded Passages'!$B:$B,"D1.3")</f>
        <v>0</v>
      </c>
      <c r="J156">
        <f>G156+H156+I156</f>
        <v>1</v>
      </c>
    </row>
    <row r="157" spans="1:10" x14ac:dyDescent="0.45">
      <c r="A157" t="s">
        <v>1206</v>
      </c>
      <c r="B157" t="s">
        <v>1207</v>
      </c>
      <c r="C157" t="s">
        <v>948</v>
      </c>
      <c r="D157" t="s">
        <v>1646</v>
      </c>
      <c r="E157" t="s">
        <v>23</v>
      </c>
      <c r="F157" t="s">
        <v>87</v>
      </c>
      <c r="G157">
        <f>COUNTIFS('Coded Passages'!$H:$H,$A157,'Coded Passages'!$B:$B,"D1.1")</f>
        <v>0</v>
      </c>
      <c r="H157">
        <f>COUNTIFS('Coded Passages'!$H:$H,$A157,'Coded Passages'!$B:$B,"D1.2")</f>
        <v>0</v>
      </c>
      <c r="I157">
        <f>COUNTIFS('Coded Passages'!$H:$H,$A157,'Coded Passages'!$B:$B,"D1.3")</f>
        <v>1</v>
      </c>
      <c r="J157">
        <f>G157+H157+I157</f>
        <v>1</v>
      </c>
    </row>
    <row r="158" spans="1:10" x14ac:dyDescent="0.45">
      <c r="A158" t="s">
        <v>1222</v>
      </c>
      <c r="B158" t="s">
        <v>1207</v>
      </c>
      <c r="C158" t="s">
        <v>21</v>
      </c>
      <c r="D158" t="s">
        <v>1644</v>
      </c>
      <c r="E158" t="s">
        <v>40</v>
      </c>
      <c r="F158" t="s">
        <v>24</v>
      </c>
      <c r="G158">
        <f>COUNTIFS('Coded Passages'!$H:$H,$A158,'Coded Passages'!$B:$B,"D1.1")</f>
        <v>1</v>
      </c>
      <c r="H158">
        <f>COUNTIFS('Coded Passages'!$H:$H,$A158,'Coded Passages'!$B:$B,"D1.2")</f>
        <v>0</v>
      </c>
      <c r="I158">
        <f>COUNTIFS('Coded Passages'!$H:$H,$A158,'Coded Passages'!$B:$B,"D1.3")</f>
        <v>0</v>
      </c>
      <c r="J158">
        <f>G158+H158+I158</f>
        <v>1</v>
      </c>
    </row>
    <row r="159" spans="1:10" x14ac:dyDescent="0.45">
      <c r="A159" t="s">
        <v>1255</v>
      </c>
      <c r="B159" t="s">
        <v>1256</v>
      </c>
      <c r="C159" t="s">
        <v>321</v>
      </c>
      <c r="D159" t="s">
        <v>1652</v>
      </c>
      <c r="E159" t="s">
        <v>86</v>
      </c>
      <c r="F159" t="s">
        <v>24</v>
      </c>
      <c r="G159">
        <f>COUNTIFS('Coded Passages'!$H:$H,$A159,'Coded Passages'!$B:$B,"D1.1")</f>
        <v>1</v>
      </c>
      <c r="H159">
        <f>COUNTIFS('Coded Passages'!$H:$H,$A159,'Coded Passages'!$B:$B,"D1.2")</f>
        <v>0</v>
      </c>
      <c r="I159">
        <f>COUNTIFS('Coded Passages'!$H:$H,$A159,'Coded Passages'!$B:$B,"D1.3")</f>
        <v>0</v>
      </c>
      <c r="J159">
        <f>G159+H159+I159</f>
        <v>1</v>
      </c>
    </row>
    <row r="160" spans="1:10" x14ac:dyDescent="0.45">
      <c r="A160" t="s">
        <v>1272</v>
      </c>
      <c r="B160" t="s">
        <v>1273</v>
      </c>
      <c r="C160" t="s">
        <v>21</v>
      </c>
      <c r="D160" t="s">
        <v>1643</v>
      </c>
      <c r="E160" t="s">
        <v>40</v>
      </c>
      <c r="F160" t="s">
        <v>24</v>
      </c>
      <c r="G160">
        <f>COUNTIFS('Coded Passages'!$H:$H,$A160,'Coded Passages'!$B:$B,"D1.1")</f>
        <v>0</v>
      </c>
      <c r="H160">
        <f>COUNTIFS('Coded Passages'!$H:$H,$A160,'Coded Passages'!$B:$B,"D1.2")</f>
        <v>1</v>
      </c>
      <c r="I160">
        <f>COUNTIFS('Coded Passages'!$H:$H,$A160,'Coded Passages'!$B:$B,"D1.3")</f>
        <v>0</v>
      </c>
      <c r="J160">
        <f>G160+H160+I160</f>
        <v>1</v>
      </c>
    </row>
    <row r="161" spans="1:10" x14ac:dyDescent="0.45">
      <c r="A161" t="s">
        <v>1389</v>
      </c>
      <c r="B161" t="s">
        <v>1390</v>
      </c>
      <c r="C161" t="s">
        <v>829</v>
      </c>
      <c r="D161" t="s">
        <v>1643</v>
      </c>
      <c r="E161" t="s">
        <v>40</v>
      </c>
      <c r="F161" t="s">
        <v>24</v>
      </c>
      <c r="G161">
        <f>COUNTIFS('Coded Passages'!$H:$H,$A161,'Coded Passages'!$B:$B,"D1.1")</f>
        <v>1</v>
      </c>
      <c r="H161">
        <f>COUNTIFS('Coded Passages'!$H:$H,$A161,'Coded Passages'!$B:$B,"D1.2")</f>
        <v>0</v>
      </c>
      <c r="I161">
        <f>COUNTIFS('Coded Passages'!$H:$H,$A161,'Coded Passages'!$B:$B,"D1.3")</f>
        <v>0</v>
      </c>
      <c r="J161">
        <f>G161+H161+I161</f>
        <v>1</v>
      </c>
    </row>
    <row r="162" spans="1:10" x14ac:dyDescent="0.45">
      <c r="A162" t="s">
        <v>1400</v>
      </c>
      <c r="B162" t="s">
        <v>1401</v>
      </c>
      <c r="C162" t="s">
        <v>948</v>
      </c>
      <c r="D162" t="s">
        <v>1656</v>
      </c>
      <c r="E162" t="s">
        <v>177</v>
      </c>
      <c r="F162" t="s">
        <v>87</v>
      </c>
      <c r="G162">
        <f>COUNTIFS('Coded Passages'!$H:$H,$A162,'Coded Passages'!$B:$B,"D1.1")</f>
        <v>1</v>
      </c>
      <c r="H162">
        <f>COUNTIFS('Coded Passages'!$H:$H,$A162,'Coded Passages'!$B:$B,"D1.2")</f>
        <v>0</v>
      </c>
      <c r="I162">
        <f>COUNTIFS('Coded Passages'!$H:$H,$A162,'Coded Passages'!$B:$B,"D1.3")</f>
        <v>0</v>
      </c>
      <c r="J162">
        <f>G162+H162+I162</f>
        <v>1</v>
      </c>
    </row>
    <row r="163" spans="1:10" x14ac:dyDescent="0.45">
      <c r="A163" t="s">
        <v>1420</v>
      </c>
      <c r="B163" t="s">
        <v>1421</v>
      </c>
      <c r="C163" t="s">
        <v>1422</v>
      </c>
      <c r="D163" t="s">
        <v>1647</v>
      </c>
      <c r="E163" t="s">
        <v>170</v>
      </c>
      <c r="F163" t="s">
        <v>24</v>
      </c>
      <c r="G163">
        <f>COUNTIFS('Coded Passages'!$H:$H,$A163,'Coded Passages'!$B:$B,"D1.1")</f>
        <v>1</v>
      </c>
      <c r="H163">
        <f>COUNTIFS('Coded Passages'!$H:$H,$A163,'Coded Passages'!$B:$B,"D1.2")</f>
        <v>0</v>
      </c>
      <c r="I163">
        <f>COUNTIFS('Coded Passages'!$H:$H,$A163,'Coded Passages'!$B:$B,"D1.3")</f>
        <v>0</v>
      </c>
      <c r="J163">
        <f>G163+H163+I163</f>
        <v>1</v>
      </c>
    </row>
    <row r="164" spans="1:10" x14ac:dyDescent="0.45">
      <c r="A164" t="s">
        <v>1444</v>
      </c>
      <c r="B164" t="s">
        <v>1445</v>
      </c>
      <c r="C164" t="s">
        <v>21</v>
      </c>
      <c r="D164" t="s">
        <v>1655</v>
      </c>
      <c r="E164" t="s">
        <v>86</v>
      </c>
      <c r="F164" t="s">
        <v>24</v>
      </c>
      <c r="G164">
        <f>COUNTIFS('Coded Passages'!$H:$H,$A164,'Coded Passages'!$B:$B,"D1.1")</f>
        <v>1</v>
      </c>
      <c r="H164">
        <f>COUNTIFS('Coded Passages'!$H:$H,$A164,'Coded Passages'!$B:$B,"D1.2")</f>
        <v>0</v>
      </c>
      <c r="I164">
        <f>COUNTIFS('Coded Passages'!$H:$H,$A164,'Coded Passages'!$B:$B,"D1.3")</f>
        <v>0</v>
      </c>
      <c r="J164">
        <f>G164+H164+I164</f>
        <v>1</v>
      </c>
    </row>
    <row r="165" spans="1:10" x14ac:dyDescent="0.45">
      <c r="A165" t="s">
        <v>1468</v>
      </c>
      <c r="B165" t="s">
        <v>1449</v>
      </c>
      <c r="C165" t="s">
        <v>555</v>
      </c>
      <c r="D165" t="s">
        <v>1651</v>
      </c>
      <c r="E165" t="s">
        <v>200</v>
      </c>
      <c r="F165" t="s">
        <v>87</v>
      </c>
      <c r="G165">
        <f>COUNTIFS('Coded Passages'!$H:$H,$A165,'Coded Passages'!$B:$B,"D1.1")</f>
        <v>0</v>
      </c>
      <c r="H165">
        <f>COUNTIFS('Coded Passages'!$H:$H,$A165,'Coded Passages'!$B:$B,"D1.2")</f>
        <v>0</v>
      </c>
      <c r="I165">
        <f>COUNTIFS('Coded Passages'!$H:$H,$A165,'Coded Passages'!$B:$B,"D1.3")</f>
        <v>1</v>
      </c>
      <c r="J165">
        <f>G165+H165+I165</f>
        <v>1</v>
      </c>
    </row>
    <row r="166" spans="1:10" x14ac:dyDescent="0.45">
      <c r="A166" t="s">
        <v>1526</v>
      </c>
      <c r="B166" t="s">
        <v>1527</v>
      </c>
      <c r="C166" t="s">
        <v>511</v>
      </c>
      <c r="D166" t="s">
        <v>1646</v>
      </c>
      <c r="E166" t="s">
        <v>23</v>
      </c>
      <c r="F166" t="s">
        <v>24</v>
      </c>
      <c r="G166">
        <f>COUNTIFS('Coded Passages'!$H:$H,$A166,'Coded Passages'!$B:$B,"D1.1")</f>
        <v>0</v>
      </c>
      <c r="H166">
        <f>COUNTIFS('Coded Passages'!$H:$H,$A166,'Coded Passages'!$B:$B,"D1.2")</f>
        <v>0</v>
      </c>
      <c r="I166">
        <f>COUNTIFS('Coded Passages'!$H:$H,$A166,'Coded Passages'!$B:$B,"D1.3")</f>
        <v>1</v>
      </c>
      <c r="J166">
        <f>G166+H166+I166</f>
        <v>1</v>
      </c>
    </row>
    <row r="167" spans="1:10" x14ac:dyDescent="0.45">
      <c r="A167" t="s">
        <v>1530</v>
      </c>
      <c r="B167" t="s">
        <v>1531</v>
      </c>
      <c r="C167" t="s">
        <v>388</v>
      </c>
      <c r="D167" t="s">
        <v>1645</v>
      </c>
      <c r="E167" t="s">
        <v>86</v>
      </c>
      <c r="F167" t="s">
        <v>24</v>
      </c>
      <c r="G167">
        <f>COUNTIFS('Coded Passages'!$H:$H,$A167,'Coded Passages'!$B:$B,"D1.1")</f>
        <v>0</v>
      </c>
      <c r="H167">
        <f>COUNTIFS('Coded Passages'!$H:$H,$A167,'Coded Passages'!$B:$B,"D1.2")</f>
        <v>1</v>
      </c>
      <c r="I167">
        <f>COUNTIFS('Coded Passages'!$H:$H,$A167,'Coded Passages'!$B:$B,"D1.3")</f>
        <v>0</v>
      </c>
      <c r="J167">
        <f>G167+H167+I167</f>
        <v>1</v>
      </c>
    </row>
    <row r="168" spans="1:10" x14ac:dyDescent="0.45">
      <c r="A168" t="s">
        <v>1547</v>
      </c>
      <c r="B168" t="s">
        <v>1535</v>
      </c>
      <c r="C168" t="s">
        <v>1536</v>
      </c>
      <c r="D168" t="s">
        <v>1651</v>
      </c>
      <c r="E168" t="s">
        <v>200</v>
      </c>
      <c r="F168" t="s">
        <v>87</v>
      </c>
      <c r="G168">
        <f>COUNTIFS('Coded Passages'!$H:$H,$A168,'Coded Passages'!$B:$B,"D1.1")</f>
        <v>0</v>
      </c>
      <c r="H168">
        <f>COUNTIFS('Coded Passages'!$H:$H,$A168,'Coded Passages'!$B:$B,"D1.2")</f>
        <v>0</v>
      </c>
      <c r="I168">
        <f>COUNTIFS('Coded Passages'!$H:$H,$A168,'Coded Passages'!$B:$B,"D1.3")</f>
        <v>1</v>
      </c>
      <c r="J168">
        <f>G168+H168+I168</f>
        <v>1</v>
      </c>
    </row>
    <row r="169" spans="1:10" x14ac:dyDescent="0.45">
      <c r="A169" t="s">
        <v>1566</v>
      </c>
      <c r="B169" t="s">
        <v>1567</v>
      </c>
      <c r="C169" t="s">
        <v>1568</v>
      </c>
      <c r="D169" t="s">
        <v>1648</v>
      </c>
      <c r="E169" t="s">
        <v>177</v>
      </c>
      <c r="F169" t="s">
        <v>87</v>
      </c>
      <c r="G169">
        <f>COUNTIFS('Coded Passages'!$H:$H,$A169,'Coded Passages'!$B:$B,"D1.1")</f>
        <v>0</v>
      </c>
      <c r="H169">
        <f>COUNTIFS('Coded Passages'!$H:$H,$A169,'Coded Passages'!$B:$B,"D1.2")</f>
        <v>0</v>
      </c>
      <c r="I169">
        <f>COUNTIFS('Coded Passages'!$H:$H,$A169,'Coded Passages'!$B:$B,"D1.3")</f>
        <v>1</v>
      </c>
      <c r="J169">
        <f>G169+H169+I169</f>
        <v>1</v>
      </c>
    </row>
    <row r="170" spans="1:10" x14ac:dyDescent="0.45">
      <c r="A170" t="s">
        <v>1580</v>
      </c>
      <c r="B170" t="s">
        <v>1572</v>
      </c>
      <c r="C170" t="s">
        <v>1573</v>
      </c>
      <c r="D170" t="s">
        <v>1648</v>
      </c>
      <c r="E170" t="s">
        <v>177</v>
      </c>
      <c r="F170" t="s">
        <v>87</v>
      </c>
      <c r="G170">
        <f>COUNTIFS('Coded Passages'!$H:$H,$A170,'Coded Passages'!$B:$B,"D1.1")</f>
        <v>0</v>
      </c>
      <c r="H170">
        <f>COUNTIFS('Coded Passages'!$H:$H,$A170,'Coded Passages'!$B:$B,"D1.2")</f>
        <v>0</v>
      </c>
      <c r="I170">
        <f>COUNTIFS('Coded Passages'!$H:$H,$A170,'Coded Passages'!$B:$B,"D1.3")</f>
        <v>1</v>
      </c>
      <c r="J170">
        <f>G170+H170+I170</f>
        <v>1</v>
      </c>
    </row>
    <row r="171" spans="1:10" x14ac:dyDescent="0.45">
      <c r="A171" s="14" t="s">
        <v>1636</v>
      </c>
      <c r="G171" s="14">
        <f>SUM(G2:G170)</f>
        <v>377</v>
      </c>
      <c r="H171" s="14">
        <f>SUM(H2:H170)</f>
        <v>66</v>
      </c>
      <c r="I171" s="14">
        <f>SUM(I2:I170)</f>
        <v>170</v>
      </c>
      <c r="J171" s="14">
        <f>SUM(J2:J170)</f>
        <v>613</v>
      </c>
    </row>
  </sheetData>
  <autoFilter ref="A1:J1" xr:uid="{00000000-0001-0000-0300-000000000000}">
    <sortState xmlns:xlrd2="http://schemas.microsoft.com/office/spreadsheetml/2017/richdata2" ref="A2:J171">
      <sortCondition ref="J1"/>
    </sortState>
  </autoFilter>
  <sortState xmlns:xlrd2="http://schemas.microsoft.com/office/spreadsheetml/2017/richdata2" ref="A2:J170">
    <sortCondition descending="1" ref="J170"/>
  </sortState>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61"/>
  <sheetViews>
    <sheetView workbookViewId="0">
      <selection activeCell="B26" sqref="B26"/>
    </sheetView>
  </sheetViews>
  <sheetFormatPr defaultRowHeight="14.25" x14ac:dyDescent="0.45"/>
  <cols>
    <col min="1" max="1" width="8" customWidth="1"/>
    <col min="2" max="2" width="40" customWidth="1"/>
    <col min="3" max="3" width="10" customWidth="1"/>
    <col min="4" max="4" width="24" customWidth="1"/>
    <col min="5" max="5" width="10" customWidth="1"/>
    <col min="6" max="6" width="40" customWidth="1"/>
    <col min="7" max="7" width="10" customWidth="1"/>
  </cols>
  <sheetData>
    <row r="1" spans="1:5" x14ac:dyDescent="0.45">
      <c r="A1" s="21" t="s">
        <v>1663</v>
      </c>
      <c r="B1" s="20"/>
      <c r="C1" s="20"/>
      <c r="D1" s="20"/>
      <c r="E1" s="20"/>
    </row>
    <row r="2" spans="1:5" x14ac:dyDescent="0.45">
      <c r="A2" s="1" t="s">
        <v>2</v>
      </c>
      <c r="B2" s="1" t="s">
        <v>4</v>
      </c>
      <c r="C2" s="1" t="s">
        <v>24</v>
      </c>
      <c r="D2" s="1" t="s">
        <v>87</v>
      </c>
      <c r="E2" s="1" t="s">
        <v>1636</v>
      </c>
    </row>
    <row r="3" spans="1:5" x14ac:dyDescent="0.45">
      <c r="A3" s="9" t="s">
        <v>25</v>
      </c>
      <c r="B3" t="s">
        <v>27</v>
      </c>
      <c r="C3">
        <f>COUNTIFS('Coded Passages'!$B:$B,$A3,'Coded Passages'!$M:$M,"National")</f>
        <v>240</v>
      </c>
      <c r="D3">
        <f>COUNTIFS('Coded Passages'!$B:$B,$A3,'Coded Passages'!$M:$M,"International")</f>
        <v>137</v>
      </c>
      <c r="E3">
        <f>SUM(C3:D3)</f>
        <v>377</v>
      </c>
    </row>
    <row r="4" spans="1:5" x14ac:dyDescent="0.45">
      <c r="A4" s="11" t="s">
        <v>14</v>
      </c>
      <c r="B4" t="s">
        <v>16</v>
      </c>
      <c r="C4">
        <f>COUNTIFS('Coded Passages'!$B:$B,$A4,'Coded Passages'!$M:$M,"National")</f>
        <v>50</v>
      </c>
      <c r="D4">
        <f>COUNTIFS('Coded Passages'!$B:$B,$A4,'Coded Passages'!$M:$M,"International")</f>
        <v>16</v>
      </c>
      <c r="E4">
        <f>SUM(C4:D4)</f>
        <v>66</v>
      </c>
    </row>
    <row r="5" spans="1:5" x14ac:dyDescent="0.45">
      <c r="A5" s="12" t="s">
        <v>31</v>
      </c>
      <c r="B5" t="s">
        <v>33</v>
      </c>
      <c r="C5">
        <f>COUNTIFS('Coded Passages'!$B:$B,$A5,'Coded Passages'!$M:$M,"National")</f>
        <v>92</v>
      </c>
      <c r="D5">
        <f>COUNTIFS('Coded Passages'!$B:$B,$A5,'Coded Passages'!$M:$M,"International")</f>
        <v>78</v>
      </c>
      <c r="E5">
        <f>SUM(C5:D5)</f>
        <v>170</v>
      </c>
    </row>
    <row r="6" spans="1:5" x14ac:dyDescent="0.45">
      <c r="A6" s="14" t="s">
        <v>1636</v>
      </c>
      <c r="B6" s="14" t="s">
        <v>1637</v>
      </c>
      <c r="C6" s="14">
        <f>SUM(C3:C5)</f>
        <v>382</v>
      </c>
      <c r="D6" s="14">
        <f>SUM(D3:D5)</f>
        <v>231</v>
      </c>
      <c r="E6" s="14">
        <f>SUM(E3:E5)</f>
        <v>613</v>
      </c>
    </row>
    <row r="28" spans="1:5" x14ac:dyDescent="0.45">
      <c r="A28" s="22" t="s">
        <v>1668</v>
      </c>
      <c r="B28" s="20"/>
      <c r="C28" s="20"/>
      <c r="D28" s="20"/>
      <c r="E28" s="20"/>
    </row>
    <row r="29" spans="1:5" x14ac:dyDescent="0.45">
      <c r="A29" s="17" t="s">
        <v>1639</v>
      </c>
      <c r="B29" s="17" t="s">
        <v>1640</v>
      </c>
      <c r="C29" s="17" t="s">
        <v>24</v>
      </c>
      <c r="D29" s="17" t="s">
        <v>87</v>
      </c>
      <c r="E29" s="17" t="s">
        <v>1636</v>
      </c>
    </row>
    <row r="30" spans="1:5" x14ac:dyDescent="0.45">
      <c r="A30" s="9" t="s">
        <v>25</v>
      </c>
      <c r="B30" s="16" t="s">
        <v>44</v>
      </c>
      <c r="C30">
        <f>COUNTIFS('Coded Passages'!$B:$B,$A30,'Coded Passages'!$E:$E,$B30,'Coded Passages'!$M:$M,"National")</f>
        <v>17</v>
      </c>
      <c r="D30">
        <f>COUNTIFS('Coded Passages'!$B:$B,$A30,'Coded Passages'!$E:$E,$B30,'Coded Passages'!$M:$M,"International")</f>
        <v>18</v>
      </c>
      <c r="E30">
        <f t="shared" ref="E30:E43" si="0">SUM(C30:D30)</f>
        <v>35</v>
      </c>
    </row>
    <row r="31" spans="1:5" x14ac:dyDescent="0.45">
      <c r="A31" s="9" t="s">
        <v>25</v>
      </c>
      <c r="B31" s="16" t="s">
        <v>47</v>
      </c>
      <c r="C31">
        <f>COUNTIFS('Coded Passages'!$B:$B,$A31,'Coded Passages'!$E:$E,$B31,'Coded Passages'!$M:$M,"National")</f>
        <v>63</v>
      </c>
      <c r="D31">
        <f>COUNTIFS('Coded Passages'!$B:$B,$A31,'Coded Passages'!$E:$E,$B31,'Coded Passages'!$M:$M,"International")</f>
        <v>30</v>
      </c>
      <c r="E31">
        <f t="shared" si="0"/>
        <v>93</v>
      </c>
    </row>
    <row r="32" spans="1:5" x14ac:dyDescent="0.45">
      <c r="A32" s="9" t="s">
        <v>25</v>
      </c>
      <c r="B32" s="16" t="s">
        <v>41</v>
      </c>
      <c r="C32">
        <f>COUNTIFS('Coded Passages'!$B:$B,$A32,'Coded Passages'!$E:$E,$B32,'Coded Passages'!$M:$M,"National")</f>
        <v>87</v>
      </c>
      <c r="D32">
        <f>COUNTIFS('Coded Passages'!$B:$B,$A32,'Coded Passages'!$E:$E,$B32,'Coded Passages'!$M:$M,"International")</f>
        <v>29</v>
      </c>
      <c r="E32">
        <f t="shared" si="0"/>
        <v>116</v>
      </c>
    </row>
    <row r="33" spans="1:7" x14ac:dyDescent="0.45">
      <c r="A33" s="9" t="s">
        <v>25</v>
      </c>
      <c r="B33" s="16" t="s">
        <v>62</v>
      </c>
      <c r="C33">
        <f>COUNTIFS('Coded Passages'!$B:$B,$A33,'Coded Passages'!$E:$E,$B33,'Coded Passages'!$M:$M,"National")</f>
        <v>53</v>
      </c>
      <c r="D33">
        <f>COUNTIFS('Coded Passages'!$B:$B,$A33,'Coded Passages'!$E:$E,$B33,'Coded Passages'!$M:$M,"International")</f>
        <v>32</v>
      </c>
      <c r="E33">
        <f t="shared" si="0"/>
        <v>85</v>
      </c>
    </row>
    <row r="34" spans="1:7" x14ac:dyDescent="0.45">
      <c r="A34" s="9" t="s">
        <v>25</v>
      </c>
      <c r="B34" s="16" t="s">
        <v>26</v>
      </c>
      <c r="C34">
        <f>COUNTIFS('Coded Passages'!$B:$B,$A34,'Coded Passages'!$E:$E,$B34,'Coded Passages'!$M:$M,"National")</f>
        <v>16</v>
      </c>
      <c r="D34">
        <f>COUNTIFS('Coded Passages'!$B:$B,$A34,'Coded Passages'!$E:$E,$B34,'Coded Passages'!$M:$M,"International")</f>
        <v>8</v>
      </c>
      <c r="E34">
        <f t="shared" si="0"/>
        <v>24</v>
      </c>
    </row>
    <row r="35" spans="1:7" x14ac:dyDescent="0.45">
      <c r="A35" s="9" t="s">
        <v>25</v>
      </c>
      <c r="B35" s="16" t="s">
        <v>114</v>
      </c>
      <c r="C35">
        <f>COUNTIFS('Coded Passages'!$B:$B,$A35,'Coded Passages'!$E:$E,$B35,'Coded Passages'!$M:$M,"National")</f>
        <v>4</v>
      </c>
      <c r="D35">
        <f>COUNTIFS('Coded Passages'!$B:$B,$A35,'Coded Passages'!$E:$E,$B35,'Coded Passages'!$M:$M,"International")</f>
        <v>20</v>
      </c>
      <c r="E35">
        <f t="shared" si="0"/>
        <v>24</v>
      </c>
    </row>
    <row r="36" spans="1:7" x14ac:dyDescent="0.45">
      <c r="A36" s="11" t="s">
        <v>14</v>
      </c>
      <c r="B36" s="16" t="s">
        <v>137</v>
      </c>
      <c r="C36">
        <f>COUNTIFS('Coded Passages'!$B:$B,$A36,'Coded Passages'!$E:$E,$B36,'Coded Passages'!$M:$M,"National")</f>
        <v>11</v>
      </c>
      <c r="D36">
        <f>COUNTIFS('Coded Passages'!$B:$B,$A36,'Coded Passages'!$E:$E,$B36,'Coded Passages'!$M:$M,"International")</f>
        <v>3</v>
      </c>
      <c r="E36">
        <f t="shared" si="0"/>
        <v>14</v>
      </c>
    </row>
    <row r="37" spans="1:7" x14ac:dyDescent="0.45">
      <c r="A37" s="11" t="s">
        <v>14</v>
      </c>
      <c r="B37" s="16" t="s">
        <v>29</v>
      </c>
      <c r="C37">
        <f>COUNTIFS('Coded Passages'!$B:$B,$A37,'Coded Passages'!$E:$E,$B37,'Coded Passages'!$M:$M,"National")</f>
        <v>28</v>
      </c>
      <c r="D37">
        <f>COUNTIFS('Coded Passages'!$B:$B,$A37,'Coded Passages'!$E:$E,$B37,'Coded Passages'!$M:$M,"International")</f>
        <v>4</v>
      </c>
      <c r="E37">
        <f t="shared" si="0"/>
        <v>32</v>
      </c>
    </row>
    <row r="38" spans="1:7" x14ac:dyDescent="0.45">
      <c r="A38" s="11" t="s">
        <v>14</v>
      </c>
      <c r="B38" s="16" t="s">
        <v>15</v>
      </c>
      <c r="C38">
        <f>COUNTIFS('Coded Passages'!$B:$B,$A38,'Coded Passages'!$E:$E,$B38,'Coded Passages'!$M:$M,"National")</f>
        <v>4</v>
      </c>
      <c r="D38">
        <f>COUNTIFS('Coded Passages'!$B:$B,$A38,'Coded Passages'!$E:$E,$B38,'Coded Passages'!$M:$M,"International")</f>
        <v>3</v>
      </c>
      <c r="E38">
        <f t="shared" si="0"/>
        <v>7</v>
      </c>
    </row>
    <row r="39" spans="1:7" x14ac:dyDescent="0.45">
      <c r="A39" s="11" t="s">
        <v>14</v>
      </c>
      <c r="B39" s="16" t="s">
        <v>96</v>
      </c>
      <c r="C39">
        <f>COUNTIFS('Coded Passages'!$B:$B,$A39,'Coded Passages'!$E:$E,$B39,'Coded Passages'!$M:$M,"National")</f>
        <v>5</v>
      </c>
      <c r="D39">
        <f>COUNTIFS('Coded Passages'!$B:$B,$A39,'Coded Passages'!$E:$E,$B39,'Coded Passages'!$M:$M,"International")</f>
        <v>5</v>
      </c>
      <c r="E39">
        <f t="shared" si="0"/>
        <v>10</v>
      </c>
    </row>
    <row r="40" spans="1:7" x14ac:dyDescent="0.45">
      <c r="A40" s="11" t="s">
        <v>14</v>
      </c>
      <c r="B40" s="16" t="s">
        <v>91</v>
      </c>
      <c r="C40">
        <f>COUNTIFS('Coded Passages'!$B:$B,$A40,'Coded Passages'!$E:$E,$B40,'Coded Passages'!$M:$M,"National")</f>
        <v>2</v>
      </c>
      <c r="D40">
        <f>COUNTIFS('Coded Passages'!$B:$B,$A40,'Coded Passages'!$E:$E,$B40,'Coded Passages'!$M:$M,"International")</f>
        <v>1</v>
      </c>
      <c r="E40">
        <f t="shared" si="0"/>
        <v>3</v>
      </c>
    </row>
    <row r="41" spans="1:7" x14ac:dyDescent="0.45">
      <c r="A41" s="12" t="s">
        <v>31</v>
      </c>
      <c r="B41" s="16" t="s">
        <v>109</v>
      </c>
      <c r="C41">
        <f>COUNTIFS('Coded Passages'!$B:$B,$A41,'Coded Passages'!$E:$E,$B41,'Coded Passages'!$M:$M,"National")</f>
        <v>22</v>
      </c>
      <c r="D41">
        <f>COUNTIFS('Coded Passages'!$B:$B,$A41,'Coded Passages'!$E:$E,$B41,'Coded Passages'!$M:$M,"International")</f>
        <v>19</v>
      </c>
      <c r="E41">
        <f t="shared" si="0"/>
        <v>41</v>
      </c>
    </row>
    <row r="42" spans="1:7" x14ac:dyDescent="0.45">
      <c r="A42" s="12" t="s">
        <v>31</v>
      </c>
      <c r="B42" s="16" t="s">
        <v>32</v>
      </c>
      <c r="C42">
        <f>COUNTIFS('Coded Passages'!$B:$B,$A42,'Coded Passages'!$E:$E,$B42,'Coded Passages'!$M:$M,"National")</f>
        <v>65</v>
      </c>
      <c r="D42">
        <f>COUNTIFS('Coded Passages'!$B:$B,$A42,'Coded Passages'!$E:$E,$B42,'Coded Passages'!$M:$M,"International")</f>
        <v>37</v>
      </c>
      <c r="E42">
        <f t="shared" si="0"/>
        <v>102</v>
      </c>
    </row>
    <row r="43" spans="1:7" x14ac:dyDescent="0.45">
      <c r="A43" s="12" t="s">
        <v>31</v>
      </c>
      <c r="B43" s="16" t="s">
        <v>79</v>
      </c>
      <c r="C43">
        <f>COUNTIFS('Coded Passages'!$B:$B,$A43,'Coded Passages'!$E:$E,$B43,'Coded Passages'!$M:$M,"National")</f>
        <v>5</v>
      </c>
      <c r="D43">
        <f>COUNTIFS('Coded Passages'!$B:$B,$A43,'Coded Passages'!$E:$E,$B43,'Coded Passages'!$M:$M,"International")</f>
        <v>22</v>
      </c>
      <c r="E43">
        <f t="shared" si="0"/>
        <v>27</v>
      </c>
    </row>
    <row r="44" spans="1:7" x14ac:dyDescent="0.45">
      <c r="A44" s="14" t="s">
        <v>1636</v>
      </c>
      <c r="B44" s="14" t="s">
        <v>1641</v>
      </c>
      <c r="C44" s="14">
        <f>SUM(C30:C43)</f>
        <v>382</v>
      </c>
      <c r="D44" s="14">
        <f>SUM(D30:D43)</f>
        <v>231</v>
      </c>
      <c r="E44" s="14">
        <f>SUM(E30:E43)</f>
        <v>613</v>
      </c>
    </row>
    <row r="46" spans="1:7" x14ac:dyDescent="0.45">
      <c r="A46" s="22" t="s">
        <v>1664</v>
      </c>
      <c r="B46" s="20"/>
      <c r="C46" s="20"/>
      <c r="D46" s="20"/>
      <c r="E46" s="20"/>
      <c r="F46" s="20"/>
    </row>
    <row r="47" spans="1:7" x14ac:dyDescent="0.45">
      <c r="A47" s="18" t="s">
        <v>24</v>
      </c>
      <c r="B47" s="18" t="s">
        <v>1640</v>
      </c>
      <c r="C47" s="18" t="s">
        <v>1665</v>
      </c>
      <c r="E47" s="18" t="s">
        <v>87</v>
      </c>
      <c r="F47" s="18" t="s">
        <v>1640</v>
      </c>
      <c r="G47" s="18" t="s">
        <v>1665</v>
      </c>
    </row>
    <row r="48" spans="1:7" x14ac:dyDescent="0.45">
      <c r="A48" s="9" t="s">
        <v>25</v>
      </c>
      <c r="B48" s="16" t="s">
        <v>41</v>
      </c>
      <c r="C48">
        <v>87</v>
      </c>
      <c r="E48" s="12" t="s">
        <v>31</v>
      </c>
      <c r="F48" s="16" t="s">
        <v>32</v>
      </c>
      <c r="G48">
        <v>37</v>
      </c>
    </row>
    <row r="49" spans="1:7" x14ac:dyDescent="0.45">
      <c r="A49" s="12" t="s">
        <v>31</v>
      </c>
      <c r="B49" s="16" t="s">
        <v>32</v>
      </c>
      <c r="C49">
        <v>65</v>
      </c>
      <c r="E49" s="9" t="s">
        <v>25</v>
      </c>
      <c r="F49" s="16" t="s">
        <v>62</v>
      </c>
      <c r="G49">
        <v>32</v>
      </c>
    </row>
    <row r="50" spans="1:7" x14ac:dyDescent="0.45">
      <c r="A50" s="9" t="s">
        <v>25</v>
      </c>
      <c r="B50" s="16" t="s">
        <v>47</v>
      </c>
      <c r="C50">
        <v>63</v>
      </c>
      <c r="E50" s="9" t="s">
        <v>25</v>
      </c>
      <c r="F50" s="16" t="s">
        <v>47</v>
      </c>
      <c r="G50">
        <v>30</v>
      </c>
    </row>
    <row r="51" spans="1:7" x14ac:dyDescent="0.45">
      <c r="A51" s="9" t="s">
        <v>25</v>
      </c>
      <c r="B51" s="16" t="s">
        <v>62</v>
      </c>
      <c r="C51">
        <v>53</v>
      </c>
      <c r="E51" s="9" t="s">
        <v>25</v>
      </c>
      <c r="F51" s="16" t="s">
        <v>41</v>
      </c>
      <c r="G51">
        <v>29</v>
      </c>
    </row>
    <row r="52" spans="1:7" x14ac:dyDescent="0.45">
      <c r="A52" s="11" t="s">
        <v>14</v>
      </c>
      <c r="B52" s="16" t="s">
        <v>29</v>
      </c>
      <c r="C52">
        <v>28</v>
      </c>
      <c r="E52" s="12" t="s">
        <v>31</v>
      </c>
      <c r="F52" s="16" t="s">
        <v>79</v>
      </c>
      <c r="G52">
        <v>22</v>
      </c>
    </row>
    <row r="53" spans="1:7" x14ac:dyDescent="0.45">
      <c r="A53" s="12" t="s">
        <v>31</v>
      </c>
      <c r="B53" s="16" t="s">
        <v>109</v>
      </c>
      <c r="C53">
        <v>22</v>
      </c>
      <c r="E53" s="9" t="s">
        <v>25</v>
      </c>
      <c r="F53" s="16" t="s">
        <v>114</v>
      </c>
      <c r="G53">
        <v>20</v>
      </c>
    </row>
    <row r="54" spans="1:7" x14ac:dyDescent="0.45">
      <c r="A54" s="9" t="s">
        <v>25</v>
      </c>
      <c r="B54" s="16" t="s">
        <v>44</v>
      </c>
      <c r="C54">
        <v>17</v>
      </c>
      <c r="E54" s="12" t="s">
        <v>31</v>
      </c>
      <c r="F54" s="16" t="s">
        <v>109</v>
      </c>
      <c r="G54">
        <v>19</v>
      </c>
    </row>
    <row r="55" spans="1:7" x14ac:dyDescent="0.45">
      <c r="A55" s="9" t="s">
        <v>25</v>
      </c>
      <c r="B55" s="16" t="s">
        <v>26</v>
      </c>
      <c r="C55">
        <v>16</v>
      </c>
      <c r="E55" s="9" t="s">
        <v>25</v>
      </c>
      <c r="F55" s="16" t="s">
        <v>44</v>
      </c>
      <c r="G55">
        <v>18</v>
      </c>
    </row>
    <row r="56" spans="1:7" x14ac:dyDescent="0.45">
      <c r="A56" s="11" t="s">
        <v>14</v>
      </c>
      <c r="B56" s="16" t="s">
        <v>137</v>
      </c>
      <c r="C56">
        <v>11</v>
      </c>
      <c r="E56" s="9" t="s">
        <v>25</v>
      </c>
      <c r="F56" s="16" t="s">
        <v>26</v>
      </c>
      <c r="G56">
        <v>8</v>
      </c>
    </row>
    <row r="57" spans="1:7" x14ac:dyDescent="0.45">
      <c r="A57" s="11" t="s">
        <v>14</v>
      </c>
      <c r="B57" s="16" t="s">
        <v>96</v>
      </c>
      <c r="C57">
        <v>5</v>
      </c>
      <c r="E57" s="11" t="s">
        <v>14</v>
      </c>
      <c r="F57" s="16" t="s">
        <v>96</v>
      </c>
      <c r="G57">
        <v>5</v>
      </c>
    </row>
    <row r="58" spans="1:7" x14ac:dyDescent="0.45">
      <c r="A58" s="12" t="s">
        <v>31</v>
      </c>
      <c r="B58" s="16" t="s">
        <v>79</v>
      </c>
      <c r="C58">
        <v>5</v>
      </c>
      <c r="E58" s="11" t="s">
        <v>14</v>
      </c>
      <c r="F58" s="16" t="s">
        <v>29</v>
      </c>
      <c r="G58">
        <v>4</v>
      </c>
    </row>
    <row r="59" spans="1:7" x14ac:dyDescent="0.45">
      <c r="A59" s="9" t="s">
        <v>25</v>
      </c>
      <c r="B59" s="16" t="s">
        <v>114</v>
      </c>
      <c r="C59">
        <v>4</v>
      </c>
      <c r="E59" s="11" t="s">
        <v>14</v>
      </c>
      <c r="F59" s="16" t="s">
        <v>137</v>
      </c>
      <c r="G59">
        <v>3</v>
      </c>
    </row>
    <row r="60" spans="1:7" x14ac:dyDescent="0.45">
      <c r="A60" s="11" t="s">
        <v>14</v>
      </c>
      <c r="B60" s="16" t="s">
        <v>15</v>
      </c>
      <c r="C60">
        <v>4</v>
      </c>
      <c r="E60" s="11" t="s">
        <v>14</v>
      </c>
      <c r="F60" s="16" t="s">
        <v>15</v>
      </c>
      <c r="G60">
        <v>3</v>
      </c>
    </row>
    <row r="61" spans="1:7" x14ac:dyDescent="0.45">
      <c r="A61" s="11" t="s">
        <v>14</v>
      </c>
      <c r="B61" s="16" t="s">
        <v>91</v>
      </c>
      <c r="C61">
        <v>2</v>
      </c>
      <c r="E61" s="11" t="s">
        <v>14</v>
      </c>
      <c r="F61" s="16" t="s">
        <v>91</v>
      </c>
      <c r="G61">
        <v>1</v>
      </c>
    </row>
  </sheetData>
  <mergeCells count="3">
    <mergeCell ref="A1:E1"/>
    <mergeCell ref="A46:F46"/>
    <mergeCell ref="A28:E28"/>
  </mergeCells>
  <conditionalFormatting sqref="D30:D43">
    <cfRule type="colorScale" priority="2">
      <colorScale>
        <cfvo type="min"/>
        <cfvo type="max"/>
        <color rgb="FFFCFCFF"/>
        <color rgb="FF63BE7B"/>
      </colorScale>
    </cfRule>
  </conditionalFormatting>
  <conditionalFormatting sqref="C30:C43">
    <cfRule type="colorScale" priority="1">
      <colorScale>
        <cfvo type="min"/>
        <cfvo type="max"/>
        <color rgb="FFFCFCFF"/>
        <color rgb="FF63BE7B"/>
      </colorScale>
    </cfRule>
  </conditionalFormatting>
  <pageMargins left="0.75" right="0.75" top="1" bottom="1" header="0.5" footer="0.5"/>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62"/>
  <sheetViews>
    <sheetView workbookViewId="0">
      <selection activeCell="D35" sqref="D35"/>
    </sheetView>
  </sheetViews>
  <sheetFormatPr defaultRowHeight="14.25" x14ac:dyDescent="0.45"/>
  <cols>
    <col min="1" max="1" width="8" customWidth="1"/>
    <col min="2" max="2" width="34" customWidth="1"/>
    <col min="3" max="8" width="24" customWidth="1"/>
    <col min="9" max="9" width="10" customWidth="1"/>
  </cols>
  <sheetData>
    <row r="1" spans="1:9" x14ac:dyDescent="0.45">
      <c r="A1" s="21" t="s">
        <v>1666</v>
      </c>
      <c r="B1" s="20"/>
      <c r="C1" s="20"/>
      <c r="D1" s="20"/>
      <c r="E1" s="20"/>
      <c r="F1" s="20"/>
      <c r="G1" s="20"/>
      <c r="H1" s="20"/>
      <c r="I1" s="20"/>
    </row>
    <row r="2" spans="1:9" x14ac:dyDescent="0.45">
      <c r="A2" s="1" t="s">
        <v>2</v>
      </c>
      <c r="B2" s="1" t="s">
        <v>4</v>
      </c>
      <c r="C2" s="1" t="s">
        <v>86</v>
      </c>
      <c r="D2" s="1" t="s">
        <v>40</v>
      </c>
      <c r="E2" s="1" t="s">
        <v>200</v>
      </c>
      <c r="F2" s="1" t="s">
        <v>177</v>
      </c>
      <c r="G2" s="1" t="s">
        <v>23</v>
      </c>
      <c r="H2" s="1" t="s">
        <v>170</v>
      </c>
      <c r="I2" s="1" t="s">
        <v>1636</v>
      </c>
    </row>
    <row r="3" spans="1:9" x14ac:dyDescent="0.45">
      <c r="A3" s="9" t="s">
        <v>25</v>
      </c>
      <c r="B3" t="s">
        <v>27</v>
      </c>
      <c r="C3">
        <f>COUNTIFS('Coded Passages'!$B:$B,$A3,'Coded Passages'!$L:$L,"Economic &amp; Business Forums")</f>
        <v>153</v>
      </c>
      <c r="D3">
        <f>COUNTIFS('Coded Passages'!$B:$B,$A3,'Coded Passages'!$L:$L,"State &amp; Institutional Acts")</f>
        <v>64</v>
      </c>
      <c r="E3">
        <f>COUNTIFS('Coded Passages'!$B:$B,$A3,'Coded Passages'!$L:$L,"Awards, Academic &amp; Think Tanks")</f>
        <v>60</v>
      </c>
      <c r="F3">
        <f>COUNTIFS('Coded Passages'!$B:$B,$A3,'Coded Passages'!$L:$L,"International &amp; Diplomatic")</f>
        <v>43</v>
      </c>
      <c r="G3">
        <f>COUNTIFS('Coded Passages'!$B:$B,$A3,'Coded Passages'!$L:$L,"Ideological &amp; Political Events")</f>
        <v>39</v>
      </c>
      <c r="H3">
        <f>COUNTIFS('Coded Passages'!$B:$B,$A3,'Coded Passages'!$L:$L,"Commemorative &amp; Community")</f>
        <v>18</v>
      </c>
      <c r="I3">
        <f>SUM(C3:H3)</f>
        <v>377</v>
      </c>
    </row>
    <row r="4" spans="1:9" x14ac:dyDescent="0.45">
      <c r="A4" s="11" t="s">
        <v>14</v>
      </c>
      <c r="B4" t="s">
        <v>16</v>
      </c>
      <c r="C4">
        <f>COUNTIFS('Coded Passages'!$B:$B,$A4,'Coded Passages'!$L:$L,"Economic &amp; Business Forums")</f>
        <v>34</v>
      </c>
      <c r="D4">
        <f>COUNTIFS('Coded Passages'!$B:$B,$A4,'Coded Passages'!$L:$L,"State &amp; Institutional Acts")</f>
        <v>7</v>
      </c>
      <c r="E4">
        <f>COUNTIFS('Coded Passages'!$B:$B,$A4,'Coded Passages'!$L:$L,"Awards, Academic &amp; Think Tanks")</f>
        <v>13</v>
      </c>
      <c r="F4">
        <f>COUNTIFS('Coded Passages'!$B:$B,$A4,'Coded Passages'!$L:$L,"International &amp; Diplomatic")</f>
        <v>2</v>
      </c>
      <c r="G4">
        <f>COUNTIFS('Coded Passages'!$B:$B,$A4,'Coded Passages'!$L:$L,"Ideological &amp; Political Events")</f>
        <v>10</v>
      </c>
      <c r="H4">
        <f>COUNTIFS('Coded Passages'!$B:$B,$A4,'Coded Passages'!$L:$L,"Commemorative &amp; Community")</f>
        <v>0</v>
      </c>
      <c r="I4">
        <f>SUM(C4:H4)</f>
        <v>66</v>
      </c>
    </row>
    <row r="5" spans="1:9" x14ac:dyDescent="0.45">
      <c r="A5" s="12" t="s">
        <v>31</v>
      </c>
      <c r="B5" t="s">
        <v>33</v>
      </c>
      <c r="C5">
        <f>COUNTIFS('Coded Passages'!$B:$B,$A5,'Coded Passages'!$L:$L,"Economic &amp; Business Forums")</f>
        <v>58</v>
      </c>
      <c r="D5">
        <f>COUNTIFS('Coded Passages'!$B:$B,$A5,'Coded Passages'!$L:$L,"State &amp; Institutional Acts")</f>
        <v>19</v>
      </c>
      <c r="E5">
        <f>COUNTIFS('Coded Passages'!$B:$B,$A5,'Coded Passages'!$L:$L,"Awards, Academic &amp; Think Tanks")</f>
        <v>29</v>
      </c>
      <c r="F5">
        <f>COUNTIFS('Coded Passages'!$B:$B,$A5,'Coded Passages'!$L:$L,"International &amp; Diplomatic")</f>
        <v>17</v>
      </c>
      <c r="G5">
        <f>COUNTIFS('Coded Passages'!$B:$B,$A5,'Coded Passages'!$L:$L,"Ideological &amp; Political Events")</f>
        <v>43</v>
      </c>
      <c r="H5">
        <f>COUNTIFS('Coded Passages'!$B:$B,$A5,'Coded Passages'!$L:$L,"Commemorative &amp; Community")</f>
        <v>4</v>
      </c>
      <c r="I5">
        <f>SUM(C5:H5)</f>
        <v>170</v>
      </c>
    </row>
    <row r="6" spans="1:9" x14ac:dyDescent="0.45">
      <c r="A6" s="14" t="s">
        <v>1636</v>
      </c>
      <c r="B6" s="14" t="s">
        <v>1637</v>
      </c>
      <c r="C6" s="14">
        <f>SUM(C3:C5)</f>
        <v>245</v>
      </c>
      <c r="D6" s="14">
        <f>SUM(D3:D5)</f>
        <v>90</v>
      </c>
      <c r="E6" s="14">
        <f>SUM(E3:E5)</f>
        <v>102</v>
      </c>
      <c r="F6" s="14">
        <f>SUM(F3:F5)</f>
        <v>62</v>
      </c>
      <c r="G6" s="14">
        <f>SUM(G3:G5)</f>
        <v>92</v>
      </c>
      <c r="H6" s="14">
        <f>SUM(H3:H5)</f>
        <v>22</v>
      </c>
      <c r="I6" s="14">
        <f>SUM(I3:I5)</f>
        <v>613</v>
      </c>
    </row>
    <row r="28" spans="1:9" x14ac:dyDescent="0.45">
      <c r="A28" s="22" t="s">
        <v>1667</v>
      </c>
      <c r="B28" s="20"/>
      <c r="C28" s="20"/>
      <c r="D28" s="20"/>
      <c r="E28" s="20"/>
      <c r="F28" s="20"/>
      <c r="G28" s="20"/>
      <c r="H28" s="20"/>
      <c r="I28" s="20"/>
    </row>
    <row r="29" spans="1:9" x14ac:dyDescent="0.45">
      <c r="A29" s="17" t="s">
        <v>1639</v>
      </c>
      <c r="B29" s="17" t="s">
        <v>1640</v>
      </c>
      <c r="C29" s="17" t="s">
        <v>86</v>
      </c>
      <c r="D29" s="17" t="s">
        <v>40</v>
      </c>
      <c r="E29" s="17" t="s">
        <v>200</v>
      </c>
      <c r="F29" s="17" t="s">
        <v>177</v>
      </c>
      <c r="G29" s="17" t="s">
        <v>23</v>
      </c>
      <c r="H29" s="17" t="s">
        <v>170</v>
      </c>
      <c r="I29" s="17" t="s">
        <v>1636</v>
      </c>
    </row>
    <row r="30" spans="1:9" x14ac:dyDescent="0.45">
      <c r="A30" s="9" t="s">
        <v>25</v>
      </c>
      <c r="B30" s="16" t="s">
        <v>44</v>
      </c>
      <c r="C30">
        <f>COUNTIFS('Coded Passages'!$B:$B,$A30,'Coded Passages'!$E:$E,$B30,'Coded Passages'!$L:$L,"Economic &amp; Business Forums")</f>
        <v>17</v>
      </c>
      <c r="D30">
        <f>COUNTIFS('Coded Passages'!$B:$B,$A30,'Coded Passages'!$E:$E,$B30,'Coded Passages'!$L:$L,"State &amp; Institutional Acts")</f>
        <v>5</v>
      </c>
      <c r="E30">
        <f>COUNTIFS('Coded Passages'!$B:$B,$A30,'Coded Passages'!$E:$E,$B30,'Coded Passages'!$L:$L,"Awards, Academic &amp; Think Tanks")</f>
        <v>4</v>
      </c>
      <c r="F30">
        <f>COUNTIFS('Coded Passages'!$B:$B,$A30,'Coded Passages'!$E:$E,$B30,'Coded Passages'!$L:$L,"International &amp; Diplomatic")</f>
        <v>2</v>
      </c>
      <c r="G30">
        <f>COUNTIFS('Coded Passages'!$B:$B,$A30,'Coded Passages'!$E:$E,$B30,'Coded Passages'!$L:$L,"Ideological &amp; Political Events")</f>
        <v>6</v>
      </c>
      <c r="H30">
        <f>COUNTIFS('Coded Passages'!$B:$B,$A30,'Coded Passages'!$E:$E,$B30,'Coded Passages'!$L:$L,"Commemorative &amp; Community")</f>
        <v>1</v>
      </c>
      <c r="I30">
        <f t="shared" ref="I30:I43" si="0">SUM(C30:H30)</f>
        <v>35</v>
      </c>
    </row>
    <row r="31" spans="1:9" x14ac:dyDescent="0.45">
      <c r="A31" s="9" t="s">
        <v>25</v>
      </c>
      <c r="B31" s="16" t="s">
        <v>47</v>
      </c>
      <c r="C31">
        <f>COUNTIFS('Coded Passages'!$B:$B,$A31,'Coded Passages'!$E:$E,$B31,'Coded Passages'!$L:$L,"Economic &amp; Business Forums")</f>
        <v>37</v>
      </c>
      <c r="D31">
        <f>COUNTIFS('Coded Passages'!$B:$B,$A31,'Coded Passages'!$E:$E,$B31,'Coded Passages'!$L:$L,"State &amp; Institutional Acts")</f>
        <v>16</v>
      </c>
      <c r="E31">
        <f>COUNTIFS('Coded Passages'!$B:$B,$A31,'Coded Passages'!$E:$E,$B31,'Coded Passages'!$L:$L,"Awards, Academic &amp; Think Tanks")</f>
        <v>17</v>
      </c>
      <c r="F31">
        <f>COUNTIFS('Coded Passages'!$B:$B,$A31,'Coded Passages'!$E:$E,$B31,'Coded Passages'!$L:$L,"International &amp; Diplomatic")</f>
        <v>10</v>
      </c>
      <c r="G31">
        <f>COUNTIFS('Coded Passages'!$B:$B,$A31,'Coded Passages'!$E:$E,$B31,'Coded Passages'!$L:$L,"Ideological &amp; Political Events")</f>
        <v>6</v>
      </c>
      <c r="H31">
        <f>COUNTIFS('Coded Passages'!$B:$B,$A31,'Coded Passages'!$E:$E,$B31,'Coded Passages'!$L:$L,"Commemorative &amp; Community")</f>
        <v>7</v>
      </c>
      <c r="I31">
        <f t="shared" si="0"/>
        <v>93</v>
      </c>
    </row>
    <row r="32" spans="1:9" x14ac:dyDescent="0.45">
      <c r="A32" s="9" t="s">
        <v>25</v>
      </c>
      <c r="B32" s="16" t="s">
        <v>41</v>
      </c>
      <c r="C32">
        <f>COUNTIFS('Coded Passages'!$B:$B,$A32,'Coded Passages'!$E:$E,$B32,'Coded Passages'!$L:$L,"Economic &amp; Business Forums")</f>
        <v>49</v>
      </c>
      <c r="D32">
        <f>COUNTIFS('Coded Passages'!$B:$B,$A32,'Coded Passages'!$E:$E,$B32,'Coded Passages'!$L:$L,"State &amp; Institutional Acts")</f>
        <v>25</v>
      </c>
      <c r="E32">
        <f>COUNTIFS('Coded Passages'!$B:$B,$A32,'Coded Passages'!$E:$E,$B32,'Coded Passages'!$L:$L,"Awards, Academic &amp; Think Tanks")</f>
        <v>16</v>
      </c>
      <c r="F32">
        <f>COUNTIFS('Coded Passages'!$B:$B,$A32,'Coded Passages'!$E:$E,$B32,'Coded Passages'!$L:$L,"International &amp; Diplomatic")</f>
        <v>3</v>
      </c>
      <c r="G32">
        <f>COUNTIFS('Coded Passages'!$B:$B,$A32,'Coded Passages'!$E:$E,$B32,'Coded Passages'!$L:$L,"Ideological &amp; Political Events")</f>
        <v>14</v>
      </c>
      <c r="H32">
        <f>COUNTIFS('Coded Passages'!$B:$B,$A32,'Coded Passages'!$E:$E,$B32,'Coded Passages'!$L:$L,"Commemorative &amp; Community")</f>
        <v>9</v>
      </c>
      <c r="I32">
        <f t="shared" si="0"/>
        <v>116</v>
      </c>
    </row>
    <row r="33" spans="1:9" x14ac:dyDescent="0.45">
      <c r="A33" s="9" t="s">
        <v>25</v>
      </c>
      <c r="B33" s="16" t="s">
        <v>62</v>
      </c>
      <c r="C33">
        <f>COUNTIFS('Coded Passages'!$B:$B,$A33,'Coded Passages'!$E:$E,$B33,'Coded Passages'!$L:$L,"Economic &amp; Business Forums")</f>
        <v>38</v>
      </c>
      <c r="D33">
        <f>COUNTIFS('Coded Passages'!$B:$B,$A33,'Coded Passages'!$E:$E,$B33,'Coded Passages'!$L:$L,"State &amp; Institutional Acts")</f>
        <v>13</v>
      </c>
      <c r="E33">
        <f>COUNTIFS('Coded Passages'!$B:$B,$A33,'Coded Passages'!$E:$E,$B33,'Coded Passages'!$L:$L,"Awards, Academic &amp; Think Tanks")</f>
        <v>20</v>
      </c>
      <c r="F33">
        <f>COUNTIFS('Coded Passages'!$B:$B,$A33,'Coded Passages'!$E:$E,$B33,'Coded Passages'!$L:$L,"International &amp; Diplomatic")</f>
        <v>9</v>
      </c>
      <c r="G33">
        <f>COUNTIFS('Coded Passages'!$B:$B,$A33,'Coded Passages'!$E:$E,$B33,'Coded Passages'!$L:$L,"Ideological &amp; Political Events")</f>
        <v>4</v>
      </c>
      <c r="H33">
        <f>COUNTIFS('Coded Passages'!$B:$B,$A33,'Coded Passages'!$E:$E,$B33,'Coded Passages'!$L:$L,"Commemorative &amp; Community")</f>
        <v>1</v>
      </c>
      <c r="I33">
        <f t="shared" si="0"/>
        <v>85</v>
      </c>
    </row>
    <row r="34" spans="1:9" x14ac:dyDescent="0.45">
      <c r="A34" s="9" t="s">
        <v>25</v>
      </c>
      <c r="B34" s="16" t="s">
        <v>26</v>
      </c>
      <c r="C34">
        <f>COUNTIFS('Coded Passages'!$B:$B,$A34,'Coded Passages'!$E:$E,$B34,'Coded Passages'!$L:$L,"Economic &amp; Business Forums")</f>
        <v>8</v>
      </c>
      <c r="D34">
        <f>COUNTIFS('Coded Passages'!$B:$B,$A34,'Coded Passages'!$E:$E,$B34,'Coded Passages'!$L:$L,"State &amp; Institutional Acts")</f>
        <v>3</v>
      </c>
      <c r="E34">
        <f>COUNTIFS('Coded Passages'!$B:$B,$A34,'Coded Passages'!$E:$E,$B34,'Coded Passages'!$L:$L,"Awards, Academic &amp; Think Tanks")</f>
        <v>3</v>
      </c>
      <c r="F34">
        <f>COUNTIFS('Coded Passages'!$B:$B,$A34,'Coded Passages'!$E:$E,$B34,'Coded Passages'!$L:$L,"International &amp; Diplomatic")</f>
        <v>5</v>
      </c>
      <c r="G34">
        <f>COUNTIFS('Coded Passages'!$B:$B,$A34,'Coded Passages'!$E:$E,$B34,'Coded Passages'!$L:$L,"Ideological &amp; Political Events")</f>
        <v>5</v>
      </c>
      <c r="H34">
        <f>COUNTIFS('Coded Passages'!$B:$B,$A34,'Coded Passages'!$E:$E,$B34,'Coded Passages'!$L:$L,"Commemorative &amp; Community")</f>
        <v>0</v>
      </c>
      <c r="I34">
        <f t="shared" si="0"/>
        <v>24</v>
      </c>
    </row>
    <row r="35" spans="1:9" x14ac:dyDescent="0.45">
      <c r="A35" s="9" t="s">
        <v>25</v>
      </c>
      <c r="B35" s="16" t="s">
        <v>114</v>
      </c>
      <c r="C35">
        <f>COUNTIFS('Coded Passages'!$B:$B,$A35,'Coded Passages'!$E:$E,$B35,'Coded Passages'!$L:$L,"Economic &amp; Business Forums")</f>
        <v>4</v>
      </c>
      <c r="D35">
        <f>COUNTIFS('Coded Passages'!$B:$B,$A35,'Coded Passages'!$E:$E,$B35,'Coded Passages'!$L:$L,"State &amp; Institutional Acts")</f>
        <v>2</v>
      </c>
      <c r="E35">
        <f>COUNTIFS('Coded Passages'!$B:$B,$A35,'Coded Passages'!$E:$E,$B35,'Coded Passages'!$L:$L,"Awards, Academic &amp; Think Tanks")</f>
        <v>0</v>
      </c>
      <c r="F35">
        <f>COUNTIFS('Coded Passages'!$B:$B,$A35,'Coded Passages'!$E:$E,$B35,'Coded Passages'!$L:$L,"International &amp; Diplomatic")</f>
        <v>14</v>
      </c>
      <c r="G35">
        <f>COUNTIFS('Coded Passages'!$B:$B,$A35,'Coded Passages'!$E:$E,$B35,'Coded Passages'!$L:$L,"Ideological &amp; Political Events")</f>
        <v>4</v>
      </c>
      <c r="H35">
        <f>COUNTIFS('Coded Passages'!$B:$B,$A35,'Coded Passages'!$E:$E,$B35,'Coded Passages'!$L:$L,"Commemorative &amp; Community")</f>
        <v>0</v>
      </c>
      <c r="I35">
        <f t="shared" si="0"/>
        <v>24</v>
      </c>
    </row>
    <row r="36" spans="1:9" x14ac:dyDescent="0.45">
      <c r="A36" s="11" t="s">
        <v>14</v>
      </c>
      <c r="B36" s="16" t="s">
        <v>137</v>
      </c>
      <c r="C36">
        <f>COUNTIFS('Coded Passages'!$B:$B,$A36,'Coded Passages'!$E:$E,$B36,'Coded Passages'!$L:$L,"Economic &amp; Business Forums")</f>
        <v>4</v>
      </c>
      <c r="D36">
        <f>COUNTIFS('Coded Passages'!$B:$B,$A36,'Coded Passages'!$E:$E,$B36,'Coded Passages'!$L:$L,"State &amp; Institutional Acts")</f>
        <v>5</v>
      </c>
      <c r="E36">
        <f>COUNTIFS('Coded Passages'!$B:$B,$A36,'Coded Passages'!$E:$E,$B36,'Coded Passages'!$L:$L,"Awards, Academic &amp; Think Tanks")</f>
        <v>2</v>
      </c>
      <c r="F36">
        <f>COUNTIFS('Coded Passages'!$B:$B,$A36,'Coded Passages'!$E:$E,$B36,'Coded Passages'!$L:$L,"International &amp; Diplomatic")</f>
        <v>0</v>
      </c>
      <c r="G36">
        <f>COUNTIFS('Coded Passages'!$B:$B,$A36,'Coded Passages'!$E:$E,$B36,'Coded Passages'!$L:$L,"Ideological &amp; Political Events")</f>
        <v>3</v>
      </c>
      <c r="H36">
        <f>COUNTIFS('Coded Passages'!$B:$B,$A36,'Coded Passages'!$E:$E,$B36,'Coded Passages'!$L:$L,"Commemorative &amp; Community")</f>
        <v>0</v>
      </c>
      <c r="I36">
        <f t="shared" si="0"/>
        <v>14</v>
      </c>
    </row>
    <row r="37" spans="1:9" x14ac:dyDescent="0.45">
      <c r="A37" s="11" t="s">
        <v>14</v>
      </c>
      <c r="B37" s="16" t="s">
        <v>29</v>
      </c>
      <c r="C37">
        <f>COUNTIFS('Coded Passages'!$B:$B,$A37,'Coded Passages'!$E:$E,$B37,'Coded Passages'!$L:$L,"Economic &amp; Business Forums")</f>
        <v>19</v>
      </c>
      <c r="D37">
        <f>COUNTIFS('Coded Passages'!$B:$B,$A37,'Coded Passages'!$E:$E,$B37,'Coded Passages'!$L:$L,"State &amp; Institutional Acts")</f>
        <v>2</v>
      </c>
      <c r="E37">
        <f>COUNTIFS('Coded Passages'!$B:$B,$A37,'Coded Passages'!$E:$E,$B37,'Coded Passages'!$L:$L,"Awards, Academic &amp; Think Tanks")</f>
        <v>7</v>
      </c>
      <c r="F37">
        <f>COUNTIFS('Coded Passages'!$B:$B,$A37,'Coded Passages'!$E:$E,$B37,'Coded Passages'!$L:$L,"International &amp; Diplomatic")</f>
        <v>2</v>
      </c>
      <c r="G37">
        <f>COUNTIFS('Coded Passages'!$B:$B,$A37,'Coded Passages'!$E:$E,$B37,'Coded Passages'!$L:$L,"Ideological &amp; Political Events")</f>
        <v>2</v>
      </c>
      <c r="H37">
        <f>COUNTIFS('Coded Passages'!$B:$B,$A37,'Coded Passages'!$E:$E,$B37,'Coded Passages'!$L:$L,"Commemorative &amp; Community")</f>
        <v>0</v>
      </c>
      <c r="I37">
        <f t="shared" si="0"/>
        <v>32</v>
      </c>
    </row>
    <row r="38" spans="1:9" x14ac:dyDescent="0.45">
      <c r="A38" s="11" t="s">
        <v>14</v>
      </c>
      <c r="B38" s="16" t="s">
        <v>15</v>
      </c>
      <c r="C38">
        <f>COUNTIFS('Coded Passages'!$B:$B,$A38,'Coded Passages'!$E:$E,$B38,'Coded Passages'!$L:$L,"Economic &amp; Business Forums")</f>
        <v>2</v>
      </c>
      <c r="D38">
        <f>COUNTIFS('Coded Passages'!$B:$B,$A38,'Coded Passages'!$E:$E,$B38,'Coded Passages'!$L:$L,"State &amp; Institutional Acts")</f>
        <v>0</v>
      </c>
      <c r="E38">
        <f>COUNTIFS('Coded Passages'!$B:$B,$A38,'Coded Passages'!$E:$E,$B38,'Coded Passages'!$L:$L,"Awards, Academic &amp; Think Tanks")</f>
        <v>1</v>
      </c>
      <c r="F38">
        <f>COUNTIFS('Coded Passages'!$B:$B,$A38,'Coded Passages'!$E:$E,$B38,'Coded Passages'!$L:$L,"International &amp; Diplomatic")</f>
        <v>0</v>
      </c>
      <c r="G38">
        <f>COUNTIFS('Coded Passages'!$B:$B,$A38,'Coded Passages'!$E:$E,$B38,'Coded Passages'!$L:$L,"Ideological &amp; Political Events")</f>
        <v>4</v>
      </c>
      <c r="H38">
        <f>COUNTIFS('Coded Passages'!$B:$B,$A38,'Coded Passages'!$E:$E,$B38,'Coded Passages'!$L:$L,"Commemorative &amp; Community")</f>
        <v>0</v>
      </c>
      <c r="I38">
        <f t="shared" si="0"/>
        <v>7</v>
      </c>
    </row>
    <row r="39" spans="1:9" x14ac:dyDescent="0.45">
      <c r="A39" s="11" t="s">
        <v>14</v>
      </c>
      <c r="B39" s="16" t="s">
        <v>96</v>
      </c>
      <c r="C39">
        <f>COUNTIFS('Coded Passages'!$B:$B,$A39,'Coded Passages'!$E:$E,$B39,'Coded Passages'!$L:$L,"Economic &amp; Business Forums")</f>
        <v>6</v>
      </c>
      <c r="D39">
        <f>COUNTIFS('Coded Passages'!$B:$B,$A39,'Coded Passages'!$E:$E,$B39,'Coded Passages'!$L:$L,"State &amp; Institutional Acts")</f>
        <v>0</v>
      </c>
      <c r="E39">
        <f>COUNTIFS('Coded Passages'!$B:$B,$A39,'Coded Passages'!$E:$E,$B39,'Coded Passages'!$L:$L,"Awards, Academic &amp; Think Tanks")</f>
        <v>3</v>
      </c>
      <c r="F39">
        <f>COUNTIFS('Coded Passages'!$B:$B,$A39,'Coded Passages'!$E:$E,$B39,'Coded Passages'!$L:$L,"International &amp; Diplomatic")</f>
        <v>0</v>
      </c>
      <c r="G39">
        <f>COUNTIFS('Coded Passages'!$B:$B,$A39,'Coded Passages'!$E:$E,$B39,'Coded Passages'!$L:$L,"Ideological &amp; Political Events")</f>
        <v>1</v>
      </c>
      <c r="H39">
        <f>COUNTIFS('Coded Passages'!$B:$B,$A39,'Coded Passages'!$E:$E,$B39,'Coded Passages'!$L:$L,"Commemorative &amp; Community")</f>
        <v>0</v>
      </c>
      <c r="I39">
        <f t="shared" si="0"/>
        <v>10</v>
      </c>
    </row>
    <row r="40" spans="1:9" x14ac:dyDescent="0.45">
      <c r="A40" s="11" t="s">
        <v>14</v>
      </c>
      <c r="B40" s="16" t="s">
        <v>91</v>
      </c>
      <c r="C40">
        <f>COUNTIFS('Coded Passages'!$B:$B,$A40,'Coded Passages'!$E:$E,$B40,'Coded Passages'!$L:$L,"Economic &amp; Business Forums")</f>
        <v>3</v>
      </c>
      <c r="D40">
        <f>COUNTIFS('Coded Passages'!$B:$B,$A40,'Coded Passages'!$E:$E,$B40,'Coded Passages'!$L:$L,"State &amp; Institutional Acts")</f>
        <v>0</v>
      </c>
      <c r="E40">
        <f>COUNTIFS('Coded Passages'!$B:$B,$A40,'Coded Passages'!$E:$E,$B40,'Coded Passages'!$L:$L,"Awards, Academic &amp; Think Tanks")</f>
        <v>0</v>
      </c>
      <c r="F40">
        <f>COUNTIFS('Coded Passages'!$B:$B,$A40,'Coded Passages'!$E:$E,$B40,'Coded Passages'!$L:$L,"International &amp; Diplomatic")</f>
        <v>0</v>
      </c>
      <c r="G40">
        <f>COUNTIFS('Coded Passages'!$B:$B,$A40,'Coded Passages'!$E:$E,$B40,'Coded Passages'!$L:$L,"Ideological &amp; Political Events")</f>
        <v>0</v>
      </c>
      <c r="H40">
        <f>COUNTIFS('Coded Passages'!$B:$B,$A40,'Coded Passages'!$E:$E,$B40,'Coded Passages'!$L:$L,"Commemorative &amp; Community")</f>
        <v>0</v>
      </c>
      <c r="I40">
        <f t="shared" si="0"/>
        <v>3</v>
      </c>
    </row>
    <row r="41" spans="1:9" x14ac:dyDescent="0.45">
      <c r="A41" s="12" t="s">
        <v>31</v>
      </c>
      <c r="B41" s="16" t="s">
        <v>109</v>
      </c>
      <c r="C41">
        <f>COUNTIFS('Coded Passages'!$B:$B,$A41,'Coded Passages'!$E:$E,$B41,'Coded Passages'!$L:$L,"Economic &amp; Business Forums")</f>
        <v>12</v>
      </c>
      <c r="D41">
        <f>COUNTIFS('Coded Passages'!$B:$B,$A41,'Coded Passages'!$E:$E,$B41,'Coded Passages'!$L:$L,"State &amp; Institutional Acts")</f>
        <v>5</v>
      </c>
      <c r="E41">
        <f>COUNTIFS('Coded Passages'!$B:$B,$A41,'Coded Passages'!$E:$E,$B41,'Coded Passages'!$L:$L,"Awards, Academic &amp; Think Tanks")</f>
        <v>4</v>
      </c>
      <c r="F41">
        <f>COUNTIFS('Coded Passages'!$B:$B,$A41,'Coded Passages'!$E:$E,$B41,'Coded Passages'!$L:$L,"International &amp; Diplomatic")</f>
        <v>7</v>
      </c>
      <c r="G41">
        <f>COUNTIFS('Coded Passages'!$B:$B,$A41,'Coded Passages'!$E:$E,$B41,'Coded Passages'!$L:$L,"Ideological &amp; Political Events")</f>
        <v>12</v>
      </c>
      <c r="H41">
        <f>COUNTIFS('Coded Passages'!$B:$B,$A41,'Coded Passages'!$E:$E,$B41,'Coded Passages'!$L:$L,"Commemorative &amp; Community")</f>
        <v>1</v>
      </c>
      <c r="I41">
        <f t="shared" si="0"/>
        <v>41</v>
      </c>
    </row>
    <row r="42" spans="1:9" x14ac:dyDescent="0.45">
      <c r="A42" s="12" t="s">
        <v>31</v>
      </c>
      <c r="B42" s="16" t="s">
        <v>32</v>
      </c>
      <c r="C42">
        <f>COUNTIFS('Coded Passages'!$B:$B,$A42,'Coded Passages'!$E:$E,$B42,'Coded Passages'!$L:$L,"Economic &amp; Business Forums")</f>
        <v>38</v>
      </c>
      <c r="D42">
        <f>COUNTIFS('Coded Passages'!$B:$B,$A42,'Coded Passages'!$E:$E,$B42,'Coded Passages'!$L:$L,"State &amp; Institutional Acts")</f>
        <v>13</v>
      </c>
      <c r="E42">
        <f>COUNTIFS('Coded Passages'!$B:$B,$A42,'Coded Passages'!$E:$E,$B42,'Coded Passages'!$L:$L,"Awards, Academic &amp; Think Tanks")</f>
        <v>23</v>
      </c>
      <c r="F42">
        <f>COUNTIFS('Coded Passages'!$B:$B,$A42,'Coded Passages'!$E:$E,$B42,'Coded Passages'!$L:$L,"International &amp; Diplomatic")</f>
        <v>4</v>
      </c>
      <c r="G42">
        <f>COUNTIFS('Coded Passages'!$B:$B,$A42,'Coded Passages'!$E:$E,$B42,'Coded Passages'!$L:$L,"Ideological &amp; Political Events")</f>
        <v>23</v>
      </c>
      <c r="H42">
        <f>COUNTIFS('Coded Passages'!$B:$B,$A42,'Coded Passages'!$E:$E,$B42,'Coded Passages'!$L:$L,"Commemorative &amp; Community")</f>
        <v>1</v>
      </c>
      <c r="I42">
        <f t="shared" si="0"/>
        <v>102</v>
      </c>
    </row>
    <row r="43" spans="1:9" x14ac:dyDescent="0.45">
      <c r="A43" s="12" t="s">
        <v>31</v>
      </c>
      <c r="B43" s="16" t="s">
        <v>79</v>
      </c>
      <c r="C43">
        <f>COUNTIFS('Coded Passages'!$B:$B,$A43,'Coded Passages'!$E:$E,$B43,'Coded Passages'!$L:$L,"Economic &amp; Business Forums")</f>
        <v>8</v>
      </c>
      <c r="D43">
        <f>COUNTIFS('Coded Passages'!$B:$B,$A43,'Coded Passages'!$E:$E,$B43,'Coded Passages'!$L:$L,"State &amp; Institutional Acts")</f>
        <v>1</v>
      </c>
      <c r="E43">
        <f>COUNTIFS('Coded Passages'!$B:$B,$A43,'Coded Passages'!$E:$E,$B43,'Coded Passages'!$L:$L,"Awards, Academic &amp; Think Tanks")</f>
        <v>2</v>
      </c>
      <c r="F43">
        <f>COUNTIFS('Coded Passages'!$B:$B,$A43,'Coded Passages'!$E:$E,$B43,'Coded Passages'!$L:$L,"International &amp; Diplomatic")</f>
        <v>6</v>
      </c>
      <c r="G43">
        <f>COUNTIFS('Coded Passages'!$B:$B,$A43,'Coded Passages'!$E:$E,$B43,'Coded Passages'!$L:$L,"Ideological &amp; Political Events")</f>
        <v>8</v>
      </c>
      <c r="H43">
        <f>COUNTIFS('Coded Passages'!$B:$B,$A43,'Coded Passages'!$E:$E,$B43,'Coded Passages'!$L:$L,"Commemorative &amp; Community")</f>
        <v>2</v>
      </c>
      <c r="I43">
        <f t="shared" si="0"/>
        <v>27</v>
      </c>
    </row>
    <row r="44" spans="1:9" x14ac:dyDescent="0.45">
      <c r="A44" s="14" t="s">
        <v>1636</v>
      </c>
      <c r="B44" s="14" t="s">
        <v>1641</v>
      </c>
      <c r="C44" s="14">
        <f t="shared" ref="C44:I44" si="1">SUM(C30:C43)</f>
        <v>245</v>
      </c>
      <c r="D44" s="14">
        <f t="shared" si="1"/>
        <v>90</v>
      </c>
      <c r="E44" s="14">
        <f t="shared" si="1"/>
        <v>102</v>
      </c>
      <c r="F44" s="14">
        <f t="shared" si="1"/>
        <v>62</v>
      </c>
      <c r="G44" s="14">
        <f t="shared" si="1"/>
        <v>92</v>
      </c>
      <c r="H44" s="14">
        <f t="shared" si="1"/>
        <v>22</v>
      </c>
      <c r="I44" s="14">
        <f t="shared" si="1"/>
        <v>613</v>
      </c>
    </row>
    <row r="46" spans="1:9" x14ac:dyDescent="0.45">
      <c r="A46" s="22" t="s">
        <v>1667</v>
      </c>
      <c r="B46" s="20"/>
      <c r="C46" s="20"/>
      <c r="D46" s="20"/>
      <c r="E46" s="20"/>
      <c r="F46" s="20"/>
      <c r="G46" s="20"/>
      <c r="H46" s="20"/>
      <c r="I46" s="20"/>
    </row>
    <row r="47" spans="1:9" x14ac:dyDescent="0.45">
      <c r="A47" s="17" t="s">
        <v>1639</v>
      </c>
      <c r="B47" s="17" t="s">
        <v>1640</v>
      </c>
      <c r="C47" s="17" t="s">
        <v>86</v>
      </c>
      <c r="D47" s="17" t="s">
        <v>40</v>
      </c>
      <c r="E47" s="17" t="s">
        <v>200</v>
      </c>
      <c r="F47" s="17" t="s">
        <v>177</v>
      </c>
      <c r="G47" s="17" t="s">
        <v>23</v>
      </c>
      <c r="H47" s="17" t="s">
        <v>170</v>
      </c>
      <c r="I47" s="17" t="s">
        <v>1636</v>
      </c>
    </row>
    <row r="48" spans="1:9" x14ac:dyDescent="0.45">
      <c r="A48" s="9" t="s">
        <v>25</v>
      </c>
      <c r="B48" s="16" t="s">
        <v>44</v>
      </c>
      <c r="C48" s="24">
        <f>C30/$I30</f>
        <v>0.48571428571428571</v>
      </c>
      <c r="D48" s="24">
        <f t="shared" ref="D48:H48" si="2">D30/$I30</f>
        <v>0.14285714285714285</v>
      </c>
      <c r="E48" s="24">
        <f t="shared" si="2"/>
        <v>0.11428571428571428</v>
      </c>
      <c r="F48" s="24">
        <f t="shared" si="2"/>
        <v>5.7142857142857141E-2</v>
      </c>
      <c r="G48" s="24">
        <f t="shared" si="2"/>
        <v>0.17142857142857143</v>
      </c>
      <c r="H48" s="24">
        <f t="shared" si="2"/>
        <v>2.8571428571428571E-2</v>
      </c>
      <c r="I48">
        <v>35</v>
      </c>
    </row>
    <row r="49" spans="1:9" x14ac:dyDescent="0.45">
      <c r="A49" s="9" t="s">
        <v>25</v>
      </c>
      <c r="B49" s="16" t="s">
        <v>47</v>
      </c>
      <c r="C49" s="24">
        <f t="shared" ref="C49:H61" si="3">C31/$I31</f>
        <v>0.39784946236559138</v>
      </c>
      <c r="D49" s="24">
        <f t="shared" si="3"/>
        <v>0.17204301075268819</v>
      </c>
      <c r="E49" s="24">
        <f t="shared" si="3"/>
        <v>0.18279569892473119</v>
      </c>
      <c r="F49" s="24">
        <f t="shared" si="3"/>
        <v>0.10752688172043011</v>
      </c>
      <c r="G49" s="24">
        <f t="shared" si="3"/>
        <v>6.4516129032258063E-2</v>
      </c>
      <c r="H49" s="24">
        <f t="shared" si="3"/>
        <v>7.5268817204301078E-2</v>
      </c>
      <c r="I49">
        <v>93</v>
      </c>
    </row>
    <row r="50" spans="1:9" x14ac:dyDescent="0.45">
      <c r="A50" s="9" t="s">
        <v>25</v>
      </c>
      <c r="B50" s="16" t="s">
        <v>41</v>
      </c>
      <c r="C50" s="24">
        <f t="shared" si="3"/>
        <v>0.42241379310344829</v>
      </c>
      <c r="D50" s="24">
        <f t="shared" si="3"/>
        <v>0.21551724137931033</v>
      </c>
      <c r="E50" s="24">
        <f t="shared" si="3"/>
        <v>0.13793103448275862</v>
      </c>
      <c r="F50" s="24">
        <f t="shared" si="3"/>
        <v>2.5862068965517241E-2</v>
      </c>
      <c r="G50" s="24">
        <f t="shared" si="3"/>
        <v>0.1206896551724138</v>
      </c>
      <c r="H50" s="24">
        <f t="shared" si="3"/>
        <v>7.7586206896551727E-2</v>
      </c>
      <c r="I50">
        <v>116</v>
      </c>
    </row>
    <row r="51" spans="1:9" x14ac:dyDescent="0.45">
      <c r="A51" s="9" t="s">
        <v>25</v>
      </c>
      <c r="B51" s="16" t="s">
        <v>62</v>
      </c>
      <c r="C51" s="24">
        <f t="shared" si="3"/>
        <v>0.44705882352941179</v>
      </c>
      <c r="D51" s="24">
        <f t="shared" si="3"/>
        <v>0.15294117647058825</v>
      </c>
      <c r="E51" s="24">
        <f t="shared" si="3"/>
        <v>0.23529411764705882</v>
      </c>
      <c r="F51" s="24">
        <f t="shared" si="3"/>
        <v>0.10588235294117647</v>
      </c>
      <c r="G51" s="24">
        <f t="shared" si="3"/>
        <v>4.7058823529411764E-2</v>
      </c>
      <c r="H51" s="24">
        <f t="shared" si="3"/>
        <v>1.1764705882352941E-2</v>
      </c>
      <c r="I51">
        <v>85</v>
      </c>
    </row>
    <row r="52" spans="1:9" x14ac:dyDescent="0.45">
      <c r="A52" s="9" t="s">
        <v>25</v>
      </c>
      <c r="B52" s="16" t="s">
        <v>26</v>
      </c>
      <c r="C52" s="24">
        <f t="shared" si="3"/>
        <v>0.33333333333333331</v>
      </c>
      <c r="D52" s="24">
        <f t="shared" si="3"/>
        <v>0.125</v>
      </c>
      <c r="E52" s="24">
        <f t="shared" si="3"/>
        <v>0.125</v>
      </c>
      <c r="F52" s="24">
        <f t="shared" si="3"/>
        <v>0.20833333333333334</v>
      </c>
      <c r="G52" s="24">
        <f t="shared" si="3"/>
        <v>0.20833333333333334</v>
      </c>
      <c r="H52" s="24">
        <f t="shared" si="3"/>
        <v>0</v>
      </c>
      <c r="I52">
        <v>24</v>
      </c>
    </row>
    <row r="53" spans="1:9" x14ac:dyDescent="0.45">
      <c r="A53" s="9" t="s">
        <v>25</v>
      </c>
      <c r="B53" s="16" t="s">
        <v>114</v>
      </c>
      <c r="C53" s="24">
        <f t="shared" si="3"/>
        <v>0.16666666666666666</v>
      </c>
      <c r="D53" s="24">
        <f t="shared" si="3"/>
        <v>8.3333333333333329E-2</v>
      </c>
      <c r="E53" s="24">
        <f t="shared" si="3"/>
        <v>0</v>
      </c>
      <c r="F53" s="24">
        <f t="shared" si="3"/>
        <v>0.58333333333333337</v>
      </c>
      <c r="G53" s="24">
        <f t="shared" si="3"/>
        <v>0.16666666666666666</v>
      </c>
      <c r="H53" s="24">
        <f t="shared" si="3"/>
        <v>0</v>
      </c>
      <c r="I53">
        <v>24</v>
      </c>
    </row>
    <row r="54" spans="1:9" x14ac:dyDescent="0.45">
      <c r="A54" s="11" t="s">
        <v>14</v>
      </c>
      <c r="B54" s="16" t="s">
        <v>137</v>
      </c>
      <c r="C54" s="24">
        <f t="shared" si="3"/>
        <v>0.2857142857142857</v>
      </c>
      <c r="D54" s="24">
        <f t="shared" si="3"/>
        <v>0.35714285714285715</v>
      </c>
      <c r="E54" s="24">
        <f t="shared" si="3"/>
        <v>0.14285714285714285</v>
      </c>
      <c r="F54" s="24">
        <f t="shared" si="3"/>
        <v>0</v>
      </c>
      <c r="G54" s="24">
        <f t="shared" si="3"/>
        <v>0.21428571428571427</v>
      </c>
      <c r="H54" s="24">
        <f t="shared" si="3"/>
        <v>0</v>
      </c>
      <c r="I54">
        <v>14</v>
      </c>
    </row>
    <row r="55" spans="1:9" x14ac:dyDescent="0.45">
      <c r="A55" s="11" t="s">
        <v>14</v>
      </c>
      <c r="B55" s="16" t="s">
        <v>29</v>
      </c>
      <c r="C55" s="24">
        <f t="shared" si="3"/>
        <v>0.59375</v>
      </c>
      <c r="D55" s="24">
        <f t="shared" si="3"/>
        <v>6.25E-2</v>
      </c>
      <c r="E55" s="24">
        <f t="shared" si="3"/>
        <v>0.21875</v>
      </c>
      <c r="F55" s="24">
        <f t="shared" si="3"/>
        <v>6.25E-2</v>
      </c>
      <c r="G55" s="24">
        <f t="shared" si="3"/>
        <v>6.25E-2</v>
      </c>
      <c r="H55" s="24">
        <f t="shared" si="3"/>
        <v>0</v>
      </c>
      <c r="I55">
        <v>32</v>
      </c>
    </row>
    <row r="56" spans="1:9" x14ac:dyDescent="0.45">
      <c r="A56" s="11" t="s">
        <v>14</v>
      </c>
      <c r="B56" s="16" t="s">
        <v>15</v>
      </c>
      <c r="C56" s="24">
        <f t="shared" si="3"/>
        <v>0.2857142857142857</v>
      </c>
      <c r="D56" s="24">
        <f t="shared" si="3"/>
        <v>0</v>
      </c>
      <c r="E56" s="24">
        <f t="shared" si="3"/>
        <v>0.14285714285714285</v>
      </c>
      <c r="F56" s="24">
        <f t="shared" si="3"/>
        <v>0</v>
      </c>
      <c r="G56" s="24">
        <f t="shared" si="3"/>
        <v>0.5714285714285714</v>
      </c>
      <c r="H56" s="24">
        <f t="shared" si="3"/>
        <v>0</v>
      </c>
      <c r="I56">
        <v>7</v>
      </c>
    </row>
    <row r="57" spans="1:9" x14ac:dyDescent="0.45">
      <c r="A57" s="11" t="s">
        <v>14</v>
      </c>
      <c r="B57" s="16" t="s">
        <v>96</v>
      </c>
      <c r="C57" s="24">
        <f t="shared" si="3"/>
        <v>0.6</v>
      </c>
      <c r="D57" s="24">
        <f t="shared" si="3"/>
        <v>0</v>
      </c>
      <c r="E57" s="24">
        <f t="shared" si="3"/>
        <v>0.3</v>
      </c>
      <c r="F57" s="24">
        <f t="shared" si="3"/>
        <v>0</v>
      </c>
      <c r="G57" s="24">
        <f t="shared" si="3"/>
        <v>0.1</v>
      </c>
      <c r="H57" s="24">
        <f t="shared" si="3"/>
        <v>0</v>
      </c>
      <c r="I57">
        <v>10</v>
      </c>
    </row>
    <row r="58" spans="1:9" x14ac:dyDescent="0.45">
      <c r="A58" s="11" t="s">
        <v>14</v>
      </c>
      <c r="B58" s="16" t="s">
        <v>91</v>
      </c>
      <c r="C58" s="24">
        <f t="shared" si="3"/>
        <v>1</v>
      </c>
      <c r="D58" s="24">
        <f t="shared" si="3"/>
        <v>0</v>
      </c>
      <c r="E58" s="24">
        <f t="shared" si="3"/>
        <v>0</v>
      </c>
      <c r="F58" s="24">
        <f t="shared" si="3"/>
        <v>0</v>
      </c>
      <c r="G58" s="24">
        <f t="shared" si="3"/>
        <v>0</v>
      </c>
      <c r="H58" s="24">
        <f t="shared" si="3"/>
        <v>0</v>
      </c>
      <c r="I58">
        <v>3</v>
      </c>
    </row>
    <row r="59" spans="1:9" x14ac:dyDescent="0.45">
      <c r="A59" s="12" t="s">
        <v>31</v>
      </c>
      <c r="B59" s="16" t="s">
        <v>109</v>
      </c>
      <c r="C59" s="24">
        <f t="shared" si="3"/>
        <v>0.29268292682926828</v>
      </c>
      <c r="D59" s="24">
        <f t="shared" si="3"/>
        <v>0.12195121951219512</v>
      </c>
      <c r="E59" s="24">
        <f t="shared" si="3"/>
        <v>9.7560975609756101E-2</v>
      </c>
      <c r="F59" s="24">
        <f t="shared" si="3"/>
        <v>0.17073170731707318</v>
      </c>
      <c r="G59" s="24">
        <f t="shared" si="3"/>
        <v>0.29268292682926828</v>
      </c>
      <c r="H59" s="24">
        <f t="shared" si="3"/>
        <v>2.4390243902439025E-2</v>
      </c>
      <c r="I59">
        <v>41</v>
      </c>
    </row>
    <row r="60" spans="1:9" x14ac:dyDescent="0.45">
      <c r="A60" s="12" t="s">
        <v>31</v>
      </c>
      <c r="B60" s="16" t="s">
        <v>32</v>
      </c>
      <c r="C60" s="24">
        <f>C42/$I42</f>
        <v>0.37254901960784315</v>
      </c>
      <c r="D60" s="24">
        <f t="shared" si="3"/>
        <v>0.12745098039215685</v>
      </c>
      <c r="E60" s="24">
        <f t="shared" si="3"/>
        <v>0.22549019607843138</v>
      </c>
      <c r="F60" s="24">
        <f t="shared" si="3"/>
        <v>3.9215686274509803E-2</v>
      </c>
      <c r="G60" s="24">
        <f t="shared" si="3"/>
        <v>0.22549019607843138</v>
      </c>
      <c r="H60" s="24">
        <f t="shared" si="3"/>
        <v>9.8039215686274508E-3</v>
      </c>
      <c r="I60">
        <v>102</v>
      </c>
    </row>
    <row r="61" spans="1:9" x14ac:dyDescent="0.45">
      <c r="A61" s="12" t="s">
        <v>31</v>
      </c>
      <c r="B61" s="16" t="s">
        <v>79</v>
      </c>
      <c r="C61" s="24">
        <f t="shared" si="3"/>
        <v>0.29629629629629628</v>
      </c>
      <c r="D61" s="24">
        <f t="shared" si="3"/>
        <v>3.7037037037037035E-2</v>
      </c>
      <c r="E61" s="24">
        <f t="shared" si="3"/>
        <v>7.407407407407407E-2</v>
      </c>
      <c r="F61" s="24">
        <f t="shared" si="3"/>
        <v>0.22222222222222221</v>
      </c>
      <c r="G61" s="24">
        <f t="shared" si="3"/>
        <v>0.29629629629629628</v>
      </c>
      <c r="H61" s="24">
        <f t="shared" si="3"/>
        <v>7.407407407407407E-2</v>
      </c>
      <c r="I61">
        <v>27</v>
      </c>
    </row>
    <row r="62" spans="1:9" x14ac:dyDescent="0.45">
      <c r="A62" s="14" t="s">
        <v>1636</v>
      </c>
      <c r="B62" s="14" t="s">
        <v>1641</v>
      </c>
      <c r="C62" s="14">
        <v>245</v>
      </c>
      <c r="D62" s="14">
        <v>90</v>
      </c>
      <c r="E62" s="14">
        <v>102</v>
      </c>
      <c r="F62" s="14">
        <v>62</v>
      </c>
      <c r="G62" s="14">
        <v>92</v>
      </c>
      <c r="H62" s="14">
        <v>22</v>
      </c>
      <c r="I62" s="14">
        <v>613</v>
      </c>
    </row>
  </sheetData>
  <mergeCells count="3">
    <mergeCell ref="A1:I1"/>
    <mergeCell ref="A28:I28"/>
    <mergeCell ref="A46:I46"/>
  </mergeCells>
  <conditionalFormatting sqref="C3:H5">
    <cfRule type="colorScale" priority="16">
      <colorScale>
        <cfvo type="min"/>
        <cfvo type="max"/>
        <color rgb="FFFCFCFF"/>
        <color rgb="FF63BE7B"/>
      </colorScale>
    </cfRule>
  </conditionalFormatting>
  <conditionalFormatting sqref="C48:H48">
    <cfRule type="colorScale" priority="15">
      <colorScale>
        <cfvo type="min"/>
        <cfvo type="max"/>
        <color rgb="FFFCFCFF"/>
        <color rgb="FF63BE7B"/>
      </colorScale>
    </cfRule>
  </conditionalFormatting>
  <conditionalFormatting sqref="C49:H49">
    <cfRule type="colorScale" priority="14">
      <colorScale>
        <cfvo type="min"/>
        <cfvo type="max"/>
        <color rgb="FFFCFCFF"/>
        <color rgb="FF63BE7B"/>
      </colorScale>
    </cfRule>
  </conditionalFormatting>
  <conditionalFormatting sqref="C50:H50">
    <cfRule type="colorScale" priority="13">
      <colorScale>
        <cfvo type="min"/>
        <cfvo type="max"/>
        <color rgb="FFFCFCFF"/>
        <color rgb="FF63BE7B"/>
      </colorScale>
    </cfRule>
  </conditionalFormatting>
  <conditionalFormatting sqref="C51:H51">
    <cfRule type="colorScale" priority="12">
      <colorScale>
        <cfvo type="min"/>
        <cfvo type="max"/>
        <color rgb="FFFCFCFF"/>
        <color rgb="FF63BE7B"/>
      </colorScale>
    </cfRule>
  </conditionalFormatting>
  <conditionalFormatting sqref="C52:H52">
    <cfRule type="colorScale" priority="11">
      <colorScale>
        <cfvo type="min"/>
        <cfvo type="max"/>
        <color rgb="FFFCFCFF"/>
        <color rgb="FF63BE7B"/>
      </colorScale>
    </cfRule>
  </conditionalFormatting>
  <conditionalFormatting sqref="C53:H53">
    <cfRule type="colorScale" priority="10">
      <colorScale>
        <cfvo type="min"/>
        <cfvo type="max"/>
        <color rgb="FFFCFCFF"/>
        <color rgb="FF63BE7B"/>
      </colorScale>
    </cfRule>
  </conditionalFormatting>
  <conditionalFormatting sqref="C54:H54">
    <cfRule type="colorScale" priority="9">
      <colorScale>
        <cfvo type="min"/>
        <cfvo type="max"/>
        <color rgb="FFFCFCFF"/>
        <color rgb="FF63BE7B"/>
      </colorScale>
    </cfRule>
  </conditionalFormatting>
  <conditionalFormatting sqref="C55:H55">
    <cfRule type="colorScale" priority="8">
      <colorScale>
        <cfvo type="min"/>
        <cfvo type="max"/>
        <color rgb="FFFCFCFF"/>
        <color rgb="FF63BE7B"/>
      </colorScale>
    </cfRule>
  </conditionalFormatting>
  <conditionalFormatting sqref="C56:H56">
    <cfRule type="colorScale" priority="7">
      <colorScale>
        <cfvo type="min"/>
        <cfvo type="max"/>
        <color rgb="FFFCFCFF"/>
        <color rgb="FF63BE7B"/>
      </colorScale>
    </cfRule>
  </conditionalFormatting>
  <conditionalFormatting sqref="C57:H57">
    <cfRule type="colorScale" priority="6">
      <colorScale>
        <cfvo type="min"/>
        <cfvo type="max"/>
        <color rgb="FFFCFCFF"/>
        <color rgb="FF63BE7B"/>
      </colorScale>
    </cfRule>
  </conditionalFormatting>
  <conditionalFormatting sqref="C58:H58">
    <cfRule type="colorScale" priority="5">
      <colorScale>
        <cfvo type="min"/>
        <cfvo type="max"/>
        <color rgb="FFFCFCFF"/>
        <color rgb="FF63BE7B"/>
      </colorScale>
    </cfRule>
  </conditionalFormatting>
  <conditionalFormatting sqref="C59:H59">
    <cfRule type="colorScale" priority="4">
      <colorScale>
        <cfvo type="min"/>
        <cfvo type="max"/>
        <color rgb="FFFCFCFF"/>
        <color rgb="FF63BE7B"/>
      </colorScale>
    </cfRule>
  </conditionalFormatting>
  <conditionalFormatting sqref="C60:H60">
    <cfRule type="colorScale" priority="3">
      <colorScale>
        <cfvo type="min"/>
        <cfvo type="max"/>
        <color rgb="FFFCFCFF"/>
        <color rgb="FF63BE7B"/>
      </colorScale>
    </cfRule>
  </conditionalFormatting>
  <conditionalFormatting sqref="C61:H61">
    <cfRule type="colorScale" priority="2">
      <colorScale>
        <cfvo type="min"/>
        <cfvo type="max"/>
        <color rgb="FFFCFCFF"/>
        <color rgb="FF63BE7B"/>
      </colorScale>
    </cfRule>
  </conditionalFormatting>
  <conditionalFormatting sqref="C30:H43">
    <cfRule type="colorScale" priority="1">
      <colorScale>
        <cfvo type="min"/>
        <cfvo type="max"/>
        <color rgb="FFFCFCFF"/>
        <color rgb="FF63BE7B"/>
      </colorScale>
    </cfRule>
  </conditionalFormatting>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Coded Passages</vt:lpstr>
      <vt:lpstr>Freq — By Dimension</vt:lpstr>
      <vt:lpstr>Freq — By Sub-code</vt:lpstr>
      <vt:lpstr>Speech Overview</vt:lpstr>
      <vt:lpstr>Freq — By Scope</vt:lpstr>
      <vt:lpstr>Freq — By Venue Type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Juan Ignacio Arroyo</cp:lastModifiedBy>
  <dcterms:created xsi:type="dcterms:W3CDTF">2026-08-08T20:57:06Z</dcterms:created>
  <dcterms:modified xsi:type="dcterms:W3CDTF">2026-08-09T20:46:32Z</dcterms:modified>
</cp:coreProperties>
</file>